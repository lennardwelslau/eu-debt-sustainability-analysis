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24226"/>
  <mc:AlternateContent xmlns:mc="http://schemas.openxmlformats.org/markup-compatibility/2006">
    <mc:Choice Requires="x15">
      <x15ac:absPath xmlns:x15ac="http://schemas.microsoft.com/office/spreadsheetml/2010/11/ac" url="\\net1.cec.eu.int\offline\085\eliaaan\Desktop\"/>
    </mc:Choice>
  </mc:AlternateContent>
  <xr:revisionPtr revIDLastSave="0" documentId="8_{D5646F70-E884-4741-8900-E26A68A6F0F1}" xr6:coauthVersionLast="47" xr6:coauthVersionMax="47" xr10:uidLastSave="{00000000-0000-0000-0000-000000000000}"/>
  <bookViews>
    <workbookView xWindow="-108" yWindow="-108" windowWidth="23256" windowHeight="14976" tabRatio="788" activeTab="1" xr2:uid="{00000000-000D-0000-FFFF-FFFF00000000}"/>
  </bookViews>
  <sheets>
    <sheet name="Read me" sheetId="32" r:id="rId1"/>
    <sheet name="Criteria results" sheetId="20" r:id="rId2"/>
    <sheet name="Input data" sheetId="8" r:id="rId3"/>
    <sheet name="Baseline NFPC" sheetId="9" r:id="rId4"/>
    <sheet name="Adjustment scenario" sheetId="21" r:id="rId5"/>
    <sheet name="Adjust. no safeguard" sheetId="40" r:id="rId6"/>
    <sheet name="Financial stress" sheetId="17" r:id="rId7"/>
    <sheet name="Lower SPB" sheetId="18" r:id="rId8"/>
    <sheet name="Adverse (r-g)" sheetId="19" r:id="rId9"/>
    <sheet name="Stochastic" sheetId="22" r:id="rId10"/>
    <sheet name="FASTOP reporting" sheetId="44" r:id="rId11"/>
    <sheet name="Data_stochastic" sheetId="43" r:id="rId12"/>
  </sheets>
  <calcPr calcId="191028" calcMode="autoNoTable"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44" l="1"/>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29" i="44"/>
  <c r="G29" i="44" s="1"/>
  <c r="H29" i="44" s="1"/>
  <c r="I29" i="44" s="1"/>
  <c r="J29" i="44" s="1"/>
  <c r="K29" i="44" s="1"/>
  <c r="L29" i="44" s="1"/>
  <c r="M29" i="44" s="1"/>
  <c r="N29" i="44" s="1"/>
  <c r="O29" i="44" s="1"/>
  <c r="P29" i="44" s="1"/>
  <c r="Q29" i="44" s="1"/>
  <c r="R29" i="44" s="1"/>
  <c r="S29" i="44" s="1"/>
  <c r="T29" i="44" s="1"/>
  <c r="U29" i="44" s="1"/>
  <c r="V29" i="44" s="1"/>
  <c r="W29" i="44" s="1"/>
  <c r="X29" i="44" s="1"/>
  <c r="F26" i="44"/>
  <c r="G26" i="44" s="1"/>
  <c r="H26" i="44" s="1"/>
  <c r="I26" i="44" s="1"/>
  <c r="J26" i="44" s="1"/>
  <c r="K26" i="44" s="1"/>
  <c r="L26" i="44" s="1"/>
  <c r="M26" i="44" s="1"/>
  <c r="N26" i="44" s="1"/>
  <c r="O26" i="44" s="1"/>
  <c r="P26" i="44" s="1"/>
  <c r="Q26" i="44" s="1"/>
  <c r="R26" i="44" s="1"/>
  <c r="S26" i="44" s="1"/>
  <c r="T26" i="44" s="1"/>
  <c r="U26" i="44" s="1"/>
  <c r="V26" i="44" s="1"/>
  <c r="W26" i="44" s="1"/>
  <c r="X26" i="44" s="1"/>
  <c r="F22" i="44"/>
  <c r="G22" i="44" s="1"/>
  <c r="H22" i="44" s="1"/>
  <c r="I22" i="44" s="1"/>
  <c r="J22" i="44" s="1"/>
  <c r="K22" i="44" s="1"/>
  <c r="L22" i="44" s="1"/>
  <c r="M22" i="44" s="1"/>
  <c r="N22" i="44" s="1"/>
  <c r="O22" i="44" s="1"/>
  <c r="P22" i="44" s="1"/>
  <c r="Q22" i="44" s="1"/>
  <c r="R22" i="44" s="1"/>
  <c r="S22" i="44" s="1"/>
  <c r="T22" i="44" s="1"/>
  <c r="U22" i="44" s="1"/>
  <c r="V22" i="44" s="1"/>
  <c r="W22" i="44" s="1"/>
  <c r="X22"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C6" i="8" l="1"/>
  <c r="F35" i="44" l="1"/>
  <c r="E35" i="44" s="1"/>
  <c r="W104" i="40"/>
  <c r="W112" i="21" s="1"/>
  <c r="V104" i="40"/>
  <c r="V112" i="21" s="1"/>
  <c r="U104" i="40"/>
  <c r="U112" i="21" s="1"/>
  <c r="T104" i="40"/>
  <c r="T112" i="21" s="1"/>
  <c r="S104" i="40"/>
  <c r="S112" i="21" s="1"/>
  <c r="R104" i="40"/>
  <c r="R112" i="21" s="1"/>
  <c r="Q104" i="40"/>
  <c r="Q112" i="21" s="1"/>
  <c r="P104" i="40"/>
  <c r="P112" i="21" s="1"/>
  <c r="O104" i="40"/>
  <c r="O112" i="21" s="1"/>
  <c r="N104" i="40"/>
  <c r="N112" i="21" s="1"/>
  <c r="M104" i="40"/>
  <c r="M112" i="21" s="1"/>
  <c r="L104" i="40"/>
  <c r="L112" i="21" s="1"/>
  <c r="K104" i="40"/>
  <c r="K112" i="21" s="1"/>
  <c r="J104" i="40"/>
  <c r="J112" i="21" s="1"/>
  <c r="I104" i="40"/>
  <c r="I112" i="21" s="1"/>
  <c r="H104" i="40"/>
  <c r="H112" i="21" s="1"/>
  <c r="G104" i="40"/>
  <c r="G112" i="21" s="1"/>
  <c r="F104" i="40"/>
  <c r="F112" i="21" s="1"/>
  <c r="C47" i="40"/>
  <c r="B17" i="40"/>
  <c r="C5" i="40"/>
  <c r="D65" i="40" s="1"/>
  <c r="B5" i="40"/>
  <c r="C7" i="40" l="1"/>
  <c r="C6" i="40"/>
  <c r="J64" i="40" s="1"/>
  <c r="E65" i="40"/>
  <c r="F65" i="40"/>
  <c r="E64" i="40" l="1"/>
  <c r="J65" i="40"/>
  <c r="I65" i="40"/>
  <c r="H65" i="40"/>
  <c r="G65" i="40"/>
  <c r="I64" i="40"/>
  <c r="H64" i="40"/>
  <c r="G64" i="40"/>
  <c r="F64" i="40"/>
  <c r="D64" i="40"/>
  <c r="B5" i="22" l="1"/>
  <c r="B5" i="19"/>
  <c r="B5" i="18"/>
  <c r="B5" i="17"/>
  <c r="B5" i="21"/>
  <c r="B5" i="9"/>
  <c r="I99" i="9" l="1"/>
  <c r="J99" i="9"/>
  <c r="K99" i="9"/>
  <c r="L99" i="9"/>
  <c r="M99" i="9"/>
  <c r="N99" i="9"/>
  <c r="O99" i="9"/>
  <c r="P99" i="9"/>
  <c r="Q99" i="9"/>
  <c r="R99" i="9"/>
  <c r="S99" i="9"/>
  <c r="T99" i="9"/>
  <c r="U99" i="9"/>
  <c r="V99" i="9"/>
  <c r="W99" i="9"/>
  <c r="H99" i="9"/>
  <c r="F99" i="9" l="1"/>
  <c r="G99" i="9"/>
  <c r="B17" i="21" l="1"/>
  <c r="B16" i="19"/>
  <c r="B16" i="18"/>
  <c r="B16" i="17"/>
  <c r="B16" i="9"/>
  <c r="F96" i="19" l="1"/>
  <c r="G96" i="19"/>
  <c r="F95" i="18"/>
  <c r="G95" i="18"/>
  <c r="F95" i="17"/>
  <c r="G95" i="17"/>
  <c r="H36" i="18" l="1"/>
  <c r="H35" i="9"/>
  <c r="P36" i="18"/>
  <c r="H37" i="18"/>
  <c r="Q23" i="9"/>
  <c r="R23" i="9"/>
  <c r="S23" i="9"/>
  <c r="T23" i="9"/>
  <c r="U23" i="9"/>
  <c r="V23" i="9"/>
  <c r="W23" i="9"/>
  <c r="I23" i="9"/>
  <c r="J23" i="9"/>
  <c r="K23" i="9"/>
  <c r="L23" i="9"/>
  <c r="N23" i="9"/>
  <c r="P23" i="9"/>
  <c r="M23" i="9"/>
  <c r="O23" i="9"/>
  <c r="F87" i="21"/>
  <c r="E42" i="40"/>
  <c r="C19" i="40"/>
  <c r="Q72" i="40"/>
  <c r="F15" i="40"/>
  <c r="F73" i="40" s="1"/>
  <c r="C57" i="40"/>
  <c r="D42" i="40"/>
  <c r="P72" i="40"/>
  <c r="U15" i="40"/>
  <c r="U73" i="40" s="1"/>
  <c r="E15" i="40"/>
  <c r="E73" i="40" s="1"/>
  <c r="O72" i="40"/>
  <c r="D15" i="40"/>
  <c r="D73" i="40" s="1"/>
  <c r="N72" i="40"/>
  <c r="C15" i="40"/>
  <c r="M72" i="40"/>
  <c r="Q15" i="40"/>
  <c r="Q73" i="40" s="1"/>
  <c r="F14" i="40"/>
  <c r="O15" i="40"/>
  <c r="O73" i="40" s="1"/>
  <c r="D14" i="40"/>
  <c r="D63" i="40" s="1"/>
  <c r="N15" i="40"/>
  <c r="N73" i="40" s="1"/>
  <c r="I19" i="40"/>
  <c r="C24" i="40"/>
  <c r="F36" i="40"/>
  <c r="U72" i="40"/>
  <c r="C12" i="40"/>
  <c r="E36" i="40"/>
  <c r="C42" i="40"/>
  <c r="T15" i="40"/>
  <c r="T73" i="40" s="1"/>
  <c r="G37" i="40"/>
  <c r="S15" i="40"/>
  <c r="S73" i="40" s="1"/>
  <c r="F37" i="40"/>
  <c r="R15" i="40"/>
  <c r="R73" i="40" s="1"/>
  <c r="G14" i="40"/>
  <c r="E37" i="40"/>
  <c r="L72" i="40"/>
  <c r="J19" i="40"/>
  <c r="M15" i="40"/>
  <c r="M73" i="40" s="1"/>
  <c r="L15" i="40"/>
  <c r="L73" i="40" s="1"/>
  <c r="V72" i="40"/>
  <c r="D12" i="40"/>
  <c r="G19" i="40"/>
  <c r="J15" i="40"/>
  <c r="J73" i="40" s="1"/>
  <c r="F19" i="40"/>
  <c r="D37" i="40"/>
  <c r="K72" i="40"/>
  <c r="P15" i="40"/>
  <c r="P73" i="40" s="1"/>
  <c r="E14" i="40"/>
  <c r="J72" i="40"/>
  <c r="I72" i="40"/>
  <c r="C14" i="40"/>
  <c r="H72" i="40"/>
  <c r="D38" i="40"/>
  <c r="W72" i="40"/>
  <c r="H19" i="40"/>
  <c r="K15" i="40"/>
  <c r="K73" i="40" s="1"/>
  <c r="E72" i="40"/>
  <c r="C48" i="40"/>
  <c r="F42" i="40"/>
  <c r="D36" i="40"/>
  <c r="C36" i="40"/>
  <c r="E19" i="40"/>
  <c r="R72" i="40"/>
  <c r="D71" i="9"/>
  <c r="W15" i="40"/>
  <c r="W73" i="40" s="1"/>
  <c r="I15" i="40"/>
  <c r="I73" i="40" s="1"/>
  <c r="T72" i="40"/>
  <c r="S72" i="40"/>
  <c r="D19" i="40"/>
  <c r="H15" i="40"/>
  <c r="H73" i="40" s="1"/>
  <c r="D79" i="40"/>
  <c r="C3" i="40"/>
  <c r="P13" i="9" l="1"/>
  <c r="P13" i="19"/>
  <c r="P13" i="18"/>
  <c r="P13" i="17"/>
  <c r="P14" i="40"/>
  <c r="P14" i="21"/>
  <c r="W13" i="9"/>
  <c r="W13" i="19"/>
  <c r="W13" i="18"/>
  <c r="W13" i="17"/>
  <c r="W14" i="40"/>
  <c r="W14" i="21"/>
  <c r="T13" i="9"/>
  <c r="T13" i="19"/>
  <c r="T13" i="18"/>
  <c r="T13" i="17"/>
  <c r="T14" i="40"/>
  <c r="T14" i="21"/>
  <c r="H13" i="9"/>
  <c r="H62" i="9" s="1"/>
  <c r="H13" i="19"/>
  <c r="H13" i="18"/>
  <c r="H13" i="17"/>
  <c r="H14" i="40"/>
  <c r="H14" i="21"/>
  <c r="J13" i="9"/>
  <c r="J13" i="18"/>
  <c r="J14" i="21"/>
  <c r="J13" i="17"/>
  <c r="J14" i="40"/>
  <c r="J13" i="19"/>
  <c r="K13" i="9"/>
  <c r="K14" i="40"/>
  <c r="K14" i="21"/>
  <c r="K13" i="18"/>
  <c r="K13" i="17"/>
  <c r="K13" i="19"/>
  <c r="Q13" i="9"/>
  <c r="Q13" i="17"/>
  <c r="Q14" i="21"/>
  <c r="Q14" i="40"/>
  <c r="Q13" i="19"/>
  <c r="Q13" i="18"/>
  <c r="V13" i="9"/>
  <c r="V14" i="21"/>
  <c r="V13" i="19"/>
  <c r="V13" i="18"/>
  <c r="V13" i="17"/>
  <c r="V14" i="40"/>
  <c r="R13" i="9"/>
  <c r="R14" i="21"/>
  <c r="R13" i="19"/>
  <c r="R13" i="18"/>
  <c r="R13" i="17"/>
  <c r="R14" i="40"/>
  <c r="O13" i="9"/>
  <c r="O14" i="40"/>
  <c r="O13" i="19"/>
  <c r="O13" i="18"/>
  <c r="O13" i="17"/>
  <c r="O14" i="21"/>
  <c r="L13" i="9"/>
  <c r="L13" i="17"/>
  <c r="L13" i="18"/>
  <c r="L14" i="40"/>
  <c r="L14" i="21"/>
  <c r="M9" i="44" s="1"/>
  <c r="L13" i="19"/>
  <c r="U13" i="9"/>
  <c r="U13" i="19"/>
  <c r="U13" i="18"/>
  <c r="U13" i="17"/>
  <c r="U14" i="40"/>
  <c r="U14" i="21"/>
  <c r="I13" i="9"/>
  <c r="I13" i="18"/>
  <c r="I14" i="21"/>
  <c r="I13" i="19"/>
  <c r="I13" i="17"/>
  <c r="I14" i="40"/>
  <c r="M13" i="9"/>
  <c r="M13" i="17"/>
  <c r="M14" i="21"/>
  <c r="M14" i="40"/>
  <c r="M13" i="18"/>
  <c r="M13" i="19"/>
  <c r="S13" i="9"/>
  <c r="S13" i="19"/>
  <c r="S13" i="18"/>
  <c r="S13" i="17"/>
  <c r="S14" i="40"/>
  <c r="S14" i="21"/>
  <c r="N13" i="9"/>
  <c r="N14" i="40"/>
  <c r="N14" i="21"/>
  <c r="N13" i="17"/>
  <c r="N13" i="19"/>
  <c r="N13" i="18"/>
  <c r="H23" i="9"/>
  <c r="H98" i="9"/>
  <c r="E63" i="40"/>
  <c r="F63" i="40"/>
  <c r="G63" i="40"/>
  <c r="P37" i="9"/>
  <c r="P37" i="18"/>
  <c r="I37" i="18" s="1"/>
  <c r="J37" i="18" s="1"/>
  <c r="K37" i="18" s="1"/>
  <c r="L37" i="18" s="1"/>
  <c r="M37" i="18" s="1"/>
  <c r="N37" i="18" s="1"/>
  <c r="O37" i="18" s="1"/>
  <c r="I36" i="18"/>
  <c r="J36" i="18" s="1"/>
  <c r="K36" i="18" s="1"/>
  <c r="L36" i="18" s="1"/>
  <c r="M36" i="18" s="1"/>
  <c r="N36" i="18" s="1"/>
  <c r="O36" i="18" s="1"/>
  <c r="H41" i="17"/>
  <c r="H42" i="19"/>
  <c r="H38" i="19"/>
  <c r="H38" i="40"/>
  <c r="H37" i="17"/>
  <c r="H37" i="40"/>
  <c r="H37" i="19"/>
  <c r="H36" i="17"/>
  <c r="H41" i="9"/>
  <c r="H42" i="21"/>
  <c r="H42" i="40"/>
  <c r="H37" i="9"/>
  <c r="H38" i="21"/>
  <c r="H36" i="9"/>
  <c r="H37" i="21"/>
  <c r="D50" i="40"/>
  <c r="E51" i="40" s="1"/>
  <c r="P41" i="9"/>
  <c r="P36" i="9"/>
  <c r="C27" i="40"/>
  <c r="D27" i="40" s="1"/>
  <c r="E27" i="40" s="1"/>
  <c r="C23" i="40"/>
  <c r="F79" i="40"/>
  <c r="E79" i="40"/>
  <c r="V15" i="40"/>
  <c r="V73" i="40" s="1"/>
  <c r="V74" i="40" s="1"/>
  <c r="E12" i="40"/>
  <c r="C11" i="22"/>
  <c r="D79" i="21"/>
  <c r="D78" i="9"/>
  <c r="L74" i="40"/>
  <c r="F79" i="21"/>
  <c r="F78" i="9"/>
  <c r="E79" i="21"/>
  <c r="E78" i="9"/>
  <c r="W74" i="40"/>
  <c r="K19" i="40"/>
  <c r="K65" i="40"/>
  <c r="L19" i="40"/>
  <c r="L65" i="40"/>
  <c r="C33" i="40"/>
  <c r="M19" i="40"/>
  <c r="M65" i="40"/>
  <c r="E74" i="40"/>
  <c r="R74" i="40"/>
  <c r="U74" i="40"/>
  <c r="H74" i="40"/>
  <c r="D72" i="40"/>
  <c r="D74" i="40" s="1"/>
  <c r="I74" i="40"/>
  <c r="S74" i="40"/>
  <c r="P19" i="40"/>
  <c r="P65" i="40"/>
  <c r="G14" i="9"/>
  <c r="G15" i="40"/>
  <c r="G73" i="40" s="1"/>
  <c r="G36" i="19"/>
  <c r="G36" i="40"/>
  <c r="M74" i="40"/>
  <c r="F12" i="21"/>
  <c r="F12" i="40"/>
  <c r="R19" i="40"/>
  <c r="R65" i="40"/>
  <c r="W19" i="40"/>
  <c r="W65" i="40"/>
  <c r="F71" i="9"/>
  <c r="F72" i="40"/>
  <c r="K74" i="40"/>
  <c r="S19" i="40"/>
  <c r="S65" i="40"/>
  <c r="G23" i="9"/>
  <c r="N19" i="40"/>
  <c r="N65" i="40"/>
  <c r="U19" i="40"/>
  <c r="U65" i="40"/>
  <c r="P74" i="40"/>
  <c r="V19" i="40"/>
  <c r="V65" i="40"/>
  <c r="E37" i="9"/>
  <c r="E38" i="40"/>
  <c r="F37" i="9"/>
  <c r="F38" i="40"/>
  <c r="Q19" i="40"/>
  <c r="Q65" i="40"/>
  <c r="G71" i="9"/>
  <c r="G72" i="40"/>
  <c r="G37" i="9"/>
  <c r="G38" i="40"/>
  <c r="D60" i="40"/>
  <c r="Q74" i="40"/>
  <c r="J74" i="40"/>
  <c r="T19" i="40"/>
  <c r="T65" i="40"/>
  <c r="G42" i="19"/>
  <c r="G42" i="40"/>
  <c r="O19" i="40"/>
  <c r="O65" i="40"/>
  <c r="T74" i="40"/>
  <c r="C92" i="40"/>
  <c r="D70" i="40"/>
  <c r="O74" i="40"/>
  <c r="N74" i="40"/>
  <c r="D52" i="40"/>
  <c r="C58" i="8"/>
  <c r="V14" i="9"/>
  <c r="V14" i="19"/>
  <c r="V14" i="18"/>
  <c r="V14" i="17"/>
  <c r="V15" i="21"/>
  <c r="L14" i="9"/>
  <c r="L14" i="19"/>
  <c r="L14" i="18"/>
  <c r="L15" i="21"/>
  <c r="L14" i="17"/>
  <c r="W14" i="9"/>
  <c r="W14" i="19"/>
  <c r="W14" i="18"/>
  <c r="W14" i="17"/>
  <c r="W15" i="21"/>
  <c r="M14" i="9"/>
  <c r="M14" i="19"/>
  <c r="M14" i="18"/>
  <c r="M14" i="17"/>
  <c r="M15" i="21"/>
  <c r="N14" i="9"/>
  <c r="N14" i="18"/>
  <c r="N14" i="17"/>
  <c r="N15" i="21"/>
  <c r="N14" i="19"/>
  <c r="Q14" i="9"/>
  <c r="Q14" i="19"/>
  <c r="Q14" i="18"/>
  <c r="Q14" i="17"/>
  <c r="Q15" i="21"/>
  <c r="T14" i="9"/>
  <c r="T15" i="21"/>
  <c r="T14" i="18"/>
  <c r="T14" i="17"/>
  <c r="T14" i="19"/>
  <c r="K14" i="9"/>
  <c r="K14" i="19"/>
  <c r="K15" i="21"/>
  <c r="K14" i="17"/>
  <c r="K14" i="18"/>
  <c r="J14" i="9"/>
  <c r="J14" i="19"/>
  <c r="J14" i="17"/>
  <c r="J14" i="18"/>
  <c r="J15" i="21"/>
  <c r="S14" i="9"/>
  <c r="S14" i="19"/>
  <c r="S15" i="21"/>
  <c r="S14" i="18"/>
  <c r="S14" i="17"/>
  <c r="U14" i="9"/>
  <c r="U14" i="19"/>
  <c r="U14" i="18"/>
  <c r="U14" i="17"/>
  <c r="U15" i="21"/>
  <c r="R14" i="9"/>
  <c r="R14" i="18"/>
  <c r="R14" i="17"/>
  <c r="R14" i="19"/>
  <c r="R15" i="21"/>
  <c r="H14" i="9"/>
  <c r="H72" i="9" s="1"/>
  <c r="H14" i="19"/>
  <c r="H14" i="17"/>
  <c r="H14" i="18"/>
  <c r="H15" i="21"/>
  <c r="P14" i="9"/>
  <c r="P14" i="19"/>
  <c r="P14" i="18"/>
  <c r="P14" i="17"/>
  <c r="P15" i="21"/>
  <c r="I14" i="9"/>
  <c r="I14" i="19"/>
  <c r="I14" i="18"/>
  <c r="I15" i="21"/>
  <c r="I14" i="17"/>
  <c r="O14" i="9"/>
  <c r="O14" i="19"/>
  <c r="O14" i="18"/>
  <c r="O14" i="17"/>
  <c r="O15" i="21"/>
  <c r="F37" i="19"/>
  <c r="F36" i="18"/>
  <c r="G37" i="18"/>
  <c r="G38" i="19"/>
  <c r="E37" i="19"/>
  <c r="E36" i="18"/>
  <c r="F37" i="18"/>
  <c r="F38" i="19"/>
  <c r="E38" i="19"/>
  <c r="E37" i="18"/>
  <c r="D38" i="19"/>
  <c r="D37" i="18"/>
  <c r="G37" i="19"/>
  <c r="G36" i="18"/>
  <c r="D37" i="19"/>
  <c r="D36" i="18"/>
  <c r="F37" i="21"/>
  <c r="G11" i="44" s="1"/>
  <c r="F36" i="17"/>
  <c r="F36" i="9"/>
  <c r="G38" i="21"/>
  <c r="H12" i="44" s="1"/>
  <c r="G37" i="17"/>
  <c r="E36" i="17"/>
  <c r="E37" i="21"/>
  <c r="F11" i="44" s="1"/>
  <c r="E36" i="9"/>
  <c r="E38" i="21"/>
  <c r="F12" i="44" s="1"/>
  <c r="E37" i="17"/>
  <c r="D38" i="21"/>
  <c r="D37" i="17"/>
  <c r="F37" i="17"/>
  <c r="F38" i="21"/>
  <c r="G12" i="44" s="1"/>
  <c r="G36" i="17"/>
  <c r="G36" i="9"/>
  <c r="G37" i="21"/>
  <c r="H11" i="44" s="1"/>
  <c r="D36" i="17"/>
  <c r="D37" i="21"/>
  <c r="G13" i="17"/>
  <c r="G13" i="18"/>
  <c r="G13" i="19"/>
  <c r="G14" i="17"/>
  <c r="G14" i="18"/>
  <c r="G14" i="19"/>
  <c r="G35" i="9"/>
  <c r="G35" i="18"/>
  <c r="G35" i="17"/>
  <c r="G41" i="17"/>
  <c r="G41" i="18"/>
  <c r="G42" i="21"/>
  <c r="G41" i="9"/>
  <c r="G15" i="21"/>
  <c r="G14" i="21"/>
  <c r="H9" i="44" s="1"/>
  <c r="G13" i="9"/>
  <c r="G36" i="21"/>
  <c r="C5" i="9"/>
  <c r="C6" i="9" s="1"/>
  <c r="H2" i="43" l="1" a="1"/>
  <c r="H2" i="43" s="1"/>
  <c r="L63" i="40"/>
  <c r="V63" i="40"/>
  <c r="K63" i="40"/>
  <c r="I63" i="40"/>
  <c r="J63" i="40"/>
  <c r="N63" i="40"/>
  <c r="W63" i="40"/>
  <c r="S63" i="40"/>
  <c r="O63" i="40"/>
  <c r="Q63" i="40"/>
  <c r="U63" i="40"/>
  <c r="H63" i="40"/>
  <c r="R63" i="40"/>
  <c r="P63" i="40"/>
  <c r="M63" i="40"/>
  <c r="T63" i="40"/>
  <c r="Q41" i="9"/>
  <c r="W41" i="9"/>
  <c r="V41" i="9"/>
  <c r="U41" i="9"/>
  <c r="T41" i="9"/>
  <c r="S41" i="9"/>
  <c r="R41" i="9"/>
  <c r="H32" i="9"/>
  <c r="H47" i="44"/>
  <c r="H50" i="44"/>
  <c r="F46" i="44"/>
  <c r="H46" i="44"/>
  <c r="G47" i="44"/>
  <c r="F47" i="44"/>
  <c r="G46" i="44"/>
  <c r="P41" i="18"/>
  <c r="E52" i="40"/>
  <c r="F27" i="40"/>
  <c r="O36" i="17"/>
  <c r="I37" i="9"/>
  <c r="J37" i="9" s="1"/>
  <c r="P36" i="17"/>
  <c r="W36" i="9"/>
  <c r="V36" i="9"/>
  <c r="U36" i="9"/>
  <c r="T36" i="9"/>
  <c r="S36" i="9"/>
  <c r="R36" i="9"/>
  <c r="P37" i="17"/>
  <c r="W37" i="9"/>
  <c r="V37" i="9"/>
  <c r="U37" i="9"/>
  <c r="T37" i="9"/>
  <c r="S37" i="9"/>
  <c r="R37" i="9"/>
  <c r="N37" i="19"/>
  <c r="O37" i="19"/>
  <c r="L37" i="19"/>
  <c r="J37" i="19"/>
  <c r="I37" i="19"/>
  <c r="K37" i="19"/>
  <c r="M37" i="19"/>
  <c r="M37" i="17"/>
  <c r="O37" i="17"/>
  <c r="L37" i="17"/>
  <c r="M38" i="19"/>
  <c r="O38" i="19"/>
  <c r="N38" i="19"/>
  <c r="J38" i="19"/>
  <c r="K38" i="19"/>
  <c r="I38" i="19"/>
  <c r="L38" i="19"/>
  <c r="P42" i="40"/>
  <c r="P41" i="17"/>
  <c r="P42" i="19"/>
  <c r="J41" i="9"/>
  <c r="P42" i="21"/>
  <c r="E50" i="40"/>
  <c r="O41" i="9"/>
  <c r="L41" i="9"/>
  <c r="M41" i="9"/>
  <c r="K41" i="9"/>
  <c r="N41" i="9"/>
  <c r="C30" i="40"/>
  <c r="H48" i="44"/>
  <c r="F74" i="40"/>
  <c r="H13" i="44"/>
  <c r="E60" i="40"/>
  <c r="G7" i="44"/>
  <c r="H17" i="44"/>
  <c r="H24" i="44"/>
  <c r="F25" i="44"/>
  <c r="F24" i="44"/>
  <c r="G32" i="44"/>
  <c r="F32" i="44"/>
  <c r="H25" i="44"/>
  <c r="F31" i="44"/>
  <c r="H32" i="44"/>
  <c r="H31" i="44"/>
  <c r="G24" i="44"/>
  <c r="G31" i="44"/>
  <c r="G25" i="44"/>
  <c r="I41" i="9"/>
  <c r="H51" i="44"/>
  <c r="Q51" i="44"/>
  <c r="I2" i="43" a="1"/>
  <c r="I2" i="43" s="1"/>
  <c r="F12" i="18"/>
  <c r="H64" i="9"/>
  <c r="F60" i="40"/>
  <c r="F52" i="40"/>
  <c r="G74" i="40"/>
  <c r="G98" i="9"/>
  <c r="F63" i="9"/>
  <c r="F64" i="9"/>
  <c r="Q37" i="9"/>
  <c r="Q36" i="9"/>
  <c r="G32" i="9"/>
  <c r="D23" i="9"/>
  <c r="D24" i="40" s="1"/>
  <c r="F41" i="17"/>
  <c r="E23" i="9"/>
  <c r="F23" i="9"/>
  <c r="C56" i="17"/>
  <c r="C3" i="9"/>
  <c r="I9" i="44"/>
  <c r="J9" i="44"/>
  <c r="K9" i="44"/>
  <c r="L9" i="44"/>
  <c r="N9" i="44"/>
  <c r="O9" i="44"/>
  <c r="P9" i="44"/>
  <c r="Q9" i="44"/>
  <c r="R9" i="44"/>
  <c r="S9" i="44"/>
  <c r="T9" i="44"/>
  <c r="U9" i="44"/>
  <c r="V9" i="44"/>
  <c r="W9" i="44"/>
  <c r="X9" i="44"/>
  <c r="R51" i="44" l="1"/>
  <c r="Q42" i="40"/>
  <c r="I38" i="21"/>
  <c r="P32" i="44"/>
  <c r="O41" i="18"/>
  <c r="I37" i="17"/>
  <c r="J38" i="40"/>
  <c r="H52" i="44"/>
  <c r="P31" i="44"/>
  <c r="I38" i="40"/>
  <c r="R46" i="44"/>
  <c r="G27" i="40"/>
  <c r="F50" i="40"/>
  <c r="G51" i="40" s="1"/>
  <c r="F51" i="40"/>
  <c r="O41" i="17"/>
  <c r="O42" i="19"/>
  <c r="O42" i="21"/>
  <c r="O42" i="40"/>
  <c r="K37" i="9"/>
  <c r="J38" i="21"/>
  <c r="P51" i="44"/>
  <c r="P38" i="9"/>
  <c r="P39" i="40" s="1"/>
  <c r="O51" i="44"/>
  <c r="J38" i="9"/>
  <c r="C43" i="40"/>
  <c r="D39" i="40"/>
  <c r="C39" i="40"/>
  <c r="G43" i="40"/>
  <c r="E43" i="40"/>
  <c r="D43" i="40"/>
  <c r="F43" i="40"/>
  <c r="N25" i="44"/>
  <c r="O32" i="44"/>
  <c r="M25" i="44"/>
  <c r="I31" i="44"/>
  <c r="L32" i="44"/>
  <c r="J31" i="44"/>
  <c r="N32" i="44"/>
  <c r="J32" i="44"/>
  <c r="M32" i="44"/>
  <c r="K32" i="44"/>
  <c r="L31" i="44"/>
  <c r="I32" i="44"/>
  <c r="M31" i="44"/>
  <c r="O31" i="44"/>
  <c r="K31" i="44"/>
  <c r="N31" i="44"/>
  <c r="P37" i="40"/>
  <c r="Q46" i="44"/>
  <c r="I47" i="44"/>
  <c r="P38" i="40"/>
  <c r="Q47" i="44"/>
  <c r="Q38" i="40"/>
  <c r="R47" i="44"/>
  <c r="I42" i="40"/>
  <c r="J51" i="44"/>
  <c r="F24" i="40"/>
  <c r="G50" i="44"/>
  <c r="M42" i="40"/>
  <c r="N51" i="44"/>
  <c r="L42" i="40"/>
  <c r="M51" i="44"/>
  <c r="K42" i="40"/>
  <c r="L51" i="44"/>
  <c r="E24" i="40"/>
  <c r="F50" i="44"/>
  <c r="J42" i="40"/>
  <c r="K51" i="44"/>
  <c r="I51" i="44"/>
  <c r="G28" i="44"/>
  <c r="D33" i="40"/>
  <c r="D68" i="40" s="1"/>
  <c r="N42" i="40"/>
  <c r="Q37" i="21"/>
  <c r="R11" i="44" s="1"/>
  <c r="Q37" i="40"/>
  <c r="G96" i="9"/>
  <c r="V38" i="9"/>
  <c r="V39" i="40" s="1"/>
  <c r="W38" i="9"/>
  <c r="W39" i="40" s="1"/>
  <c r="U38" i="9"/>
  <c r="N41" i="17"/>
  <c r="P37" i="21"/>
  <c r="Q11" i="44" s="1"/>
  <c r="N42" i="21"/>
  <c r="E24" i="21"/>
  <c r="F16" i="44" s="1"/>
  <c r="E23" i="17"/>
  <c r="F23" i="17"/>
  <c r="F24" i="21"/>
  <c r="D24" i="21"/>
  <c r="D23" i="17"/>
  <c r="E33" i="40" l="1"/>
  <c r="F33" i="40"/>
  <c r="K38" i="40"/>
  <c r="J37" i="17"/>
  <c r="H27" i="40"/>
  <c r="L37" i="9"/>
  <c r="K38" i="21"/>
  <c r="W42" i="40"/>
  <c r="X51" i="44"/>
  <c r="S42" i="40"/>
  <c r="T51" i="44"/>
  <c r="R42" i="40"/>
  <c r="S51" i="44"/>
  <c r="U42" i="40"/>
  <c r="V51" i="44"/>
  <c r="T42" i="40"/>
  <c r="U51" i="44"/>
  <c r="V42" i="40"/>
  <c r="W51" i="44"/>
  <c r="P17" i="44"/>
  <c r="I38" i="9"/>
  <c r="I39" i="40" s="1"/>
  <c r="H38" i="9"/>
  <c r="H39" i="40" s="1"/>
  <c r="O38" i="9"/>
  <c r="O39" i="40" s="1"/>
  <c r="N38" i="9"/>
  <c r="N39" i="40" s="1"/>
  <c r="M38" i="9"/>
  <c r="M39" i="40" s="1"/>
  <c r="L38" i="9"/>
  <c r="L39" i="40" s="1"/>
  <c r="K38" i="9"/>
  <c r="K39" i="40" s="1"/>
  <c r="G38" i="9"/>
  <c r="G39" i="40" s="1"/>
  <c r="G12" i="40"/>
  <c r="G16" i="44"/>
  <c r="I17" i="44"/>
  <c r="Q24" i="44"/>
  <c r="J47" i="44"/>
  <c r="O17" i="44"/>
  <c r="J12" i="44"/>
  <c r="G101" i="40"/>
  <c r="G101" i="9"/>
  <c r="D69" i="40"/>
  <c r="H43" i="21"/>
  <c r="H43"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F42" i="17"/>
  <c r="G43" i="21"/>
  <c r="G42" i="17"/>
  <c r="C38" i="17"/>
  <c r="C39" i="19"/>
  <c r="C39" i="21"/>
  <c r="C38" i="18"/>
  <c r="E43" i="21"/>
  <c r="E42" i="17"/>
  <c r="D38" i="17"/>
  <c r="D39" i="19"/>
  <c r="D39" i="21"/>
  <c r="D38" i="18"/>
  <c r="C42" i="17"/>
  <c r="C43" i="21"/>
  <c r="D43" i="21"/>
  <c r="D42" i="17"/>
  <c r="J11" i="20"/>
  <c r="C5" i="22"/>
  <c r="C5" i="19"/>
  <c r="C6" i="19" s="1"/>
  <c r="C5" i="18"/>
  <c r="C6" i="18" s="1"/>
  <c r="C5" i="17"/>
  <c r="C6" i="17" s="1"/>
  <c r="L38" i="40" l="1"/>
  <c r="I27" i="40"/>
  <c r="G52" i="40"/>
  <c r="M37" i="9"/>
  <c r="L38" i="21"/>
  <c r="G79" i="40"/>
  <c r="G2" i="43" a="1"/>
  <c r="G2" i="43" s="1"/>
  <c r="K47" i="44"/>
  <c r="H12" i="40"/>
  <c r="K12" i="44"/>
  <c r="G12" i="17"/>
  <c r="G60" i="40"/>
  <c r="G12" i="18"/>
  <c r="G12" i="19"/>
  <c r="G13" i="40"/>
  <c r="J39" i="21"/>
  <c r="J39" i="40"/>
  <c r="C3" i="22"/>
  <c r="C3" i="17"/>
  <c r="C3" i="18"/>
  <c r="C3" i="19"/>
  <c r="U70" i="17"/>
  <c r="U71" i="19"/>
  <c r="V71" i="19"/>
  <c r="W71" i="19"/>
  <c r="U70" i="18"/>
  <c r="V70" i="18"/>
  <c r="W70" i="18"/>
  <c r="V70" i="17"/>
  <c r="W70" i="17"/>
  <c r="N24" i="19"/>
  <c r="E92" i="17" l="1"/>
  <c r="D92" i="17"/>
  <c r="E92" i="18"/>
  <c r="D92" i="18"/>
  <c r="C92" i="18"/>
  <c r="M38" i="40"/>
  <c r="H52" i="40"/>
  <c r="J27" i="40"/>
  <c r="N37" i="9"/>
  <c r="M38" i="21"/>
  <c r="H79" i="40"/>
  <c r="H12" i="19"/>
  <c r="C92" i="17"/>
  <c r="E93" i="19"/>
  <c r="I12" i="40"/>
  <c r="H60" i="40"/>
  <c r="H13" i="40"/>
  <c r="H12" i="17"/>
  <c r="H28" i="44"/>
  <c r="H12" i="18"/>
  <c r="L47" i="44"/>
  <c r="L12" i="44"/>
  <c r="S38" i="9"/>
  <c r="S39" i="40" s="1"/>
  <c r="Q38" i="9"/>
  <c r="Q39" i="40" s="1"/>
  <c r="R38" i="9"/>
  <c r="R39" i="40" s="1"/>
  <c r="T38" i="9"/>
  <c r="C35" i="18"/>
  <c r="C36" i="21"/>
  <c r="C36" i="19"/>
  <c r="C35" i="17"/>
  <c r="D35" i="9"/>
  <c r="D35" i="18"/>
  <c r="D36" i="21"/>
  <c r="D36" i="19"/>
  <c r="D35" i="17"/>
  <c r="E36" i="19"/>
  <c r="E35" i="17"/>
  <c r="E36" i="21"/>
  <c r="F13" i="44" s="1"/>
  <c r="E35" i="18"/>
  <c r="F35" i="18"/>
  <c r="F36" i="21"/>
  <c r="F36" i="19"/>
  <c r="F35" i="17"/>
  <c r="C12" i="19"/>
  <c r="C12" i="21"/>
  <c r="C12" i="17"/>
  <c r="C12" i="9"/>
  <c r="D12" i="19"/>
  <c r="D12" i="21"/>
  <c r="D12" i="17"/>
  <c r="D12" i="9"/>
  <c r="E12" i="19"/>
  <c r="E12" i="21"/>
  <c r="E12" i="9"/>
  <c r="E12" i="17"/>
  <c r="F12" i="19"/>
  <c r="F12" i="17"/>
  <c r="F12" i="9"/>
  <c r="S70" i="17"/>
  <c r="N38" i="40" l="1"/>
  <c r="K27" i="40"/>
  <c r="I52" i="40"/>
  <c r="O37" i="9"/>
  <c r="N38" i="21"/>
  <c r="I79" i="40"/>
  <c r="G13" i="44"/>
  <c r="D49" i="17"/>
  <c r="I12" i="19"/>
  <c r="I13" i="40"/>
  <c r="I60" i="40"/>
  <c r="I12" i="18"/>
  <c r="J12" i="40"/>
  <c r="D50" i="19"/>
  <c r="I12" i="17"/>
  <c r="F43" i="44"/>
  <c r="F7" i="44"/>
  <c r="D49" i="9"/>
  <c r="E49" i="9" s="1"/>
  <c r="F49" i="9" s="1"/>
  <c r="I28" i="44"/>
  <c r="G43" i="44"/>
  <c r="M47" i="44"/>
  <c r="M12" i="44"/>
  <c r="T39" i="21"/>
  <c r="T39" i="40"/>
  <c r="D96" i="9"/>
  <c r="G12" i="9"/>
  <c r="H96" i="19"/>
  <c r="P96" i="19"/>
  <c r="O95" i="18"/>
  <c r="W95" i="18"/>
  <c r="N95" i="17"/>
  <c r="V95" i="17"/>
  <c r="O95" i="17"/>
  <c r="O96" i="19"/>
  <c r="N95" i="18"/>
  <c r="V95" i="18"/>
  <c r="M95" i="17"/>
  <c r="U95" i="17"/>
  <c r="I96" i="19"/>
  <c r="Q96" i="19"/>
  <c r="H95" i="18"/>
  <c r="P95" i="18"/>
  <c r="W95" i="17"/>
  <c r="J96" i="19"/>
  <c r="R96" i="19"/>
  <c r="I95" i="18"/>
  <c r="Q95" i="18"/>
  <c r="H95" i="17"/>
  <c r="P95" i="17"/>
  <c r="K96" i="19"/>
  <c r="S96" i="19"/>
  <c r="J95" i="18"/>
  <c r="R95" i="18"/>
  <c r="I95" i="17"/>
  <c r="Q95" i="17"/>
  <c r="L96" i="19"/>
  <c r="T96" i="19"/>
  <c r="K95" i="18"/>
  <c r="S95" i="18"/>
  <c r="J95" i="17"/>
  <c r="R95" i="17"/>
  <c r="M96" i="19"/>
  <c r="U96" i="19"/>
  <c r="L95" i="18"/>
  <c r="T95" i="18"/>
  <c r="K95" i="17"/>
  <c r="S95" i="17"/>
  <c r="N96" i="19"/>
  <c r="V96" i="19"/>
  <c r="M95" i="18"/>
  <c r="U95" i="18"/>
  <c r="L95" i="17"/>
  <c r="T95" i="17"/>
  <c r="W96" i="19"/>
  <c r="C6" i="22"/>
  <c r="C7" i="22" s="1"/>
  <c r="E25" i="22"/>
  <c r="G25" i="22"/>
  <c r="I25" i="22"/>
  <c r="F25" i="22"/>
  <c r="H25" i="22"/>
  <c r="V24" i="19"/>
  <c r="W24" i="19"/>
  <c r="U24" i="19"/>
  <c r="C35" i="9"/>
  <c r="C96" i="9" s="1"/>
  <c r="O38" i="40" l="1"/>
  <c r="J52" i="40"/>
  <c r="L27" i="40"/>
  <c r="E49" i="17"/>
  <c r="E50" i="17"/>
  <c r="E50" i="19"/>
  <c r="E51" i="19"/>
  <c r="O38" i="21"/>
  <c r="P47" i="44"/>
  <c r="J79" i="40"/>
  <c r="G78" i="9"/>
  <c r="G49" i="9"/>
  <c r="G50" i="40"/>
  <c r="J12" i="18"/>
  <c r="J13" i="40"/>
  <c r="J28" i="44"/>
  <c r="J60" i="40"/>
  <c r="K12" i="40"/>
  <c r="J12" i="17"/>
  <c r="J12" i="19"/>
  <c r="H43" i="44"/>
  <c r="O47" i="44"/>
  <c r="N47" i="44"/>
  <c r="N12" i="44"/>
  <c r="C101" i="40"/>
  <c r="C106" i="40" s="1"/>
  <c r="D101" i="40"/>
  <c r="D106" i="40" s="1"/>
  <c r="H12" i="9"/>
  <c r="E26" i="22"/>
  <c r="F26" i="22"/>
  <c r="G26" i="22"/>
  <c r="H26" i="22"/>
  <c r="F24" i="22"/>
  <c r="F23" i="22"/>
  <c r="H23" i="22"/>
  <c r="H24" i="22"/>
  <c r="G23" i="22"/>
  <c r="G24" i="22"/>
  <c r="I26" i="22"/>
  <c r="E23" i="22"/>
  <c r="E24" i="22"/>
  <c r="I23" i="22"/>
  <c r="I24" i="22"/>
  <c r="K52" i="40" l="1"/>
  <c r="M27" i="40"/>
  <c r="F50" i="19"/>
  <c r="F51" i="19"/>
  <c r="F49" i="17"/>
  <c r="F50" i="17"/>
  <c r="S47" i="44"/>
  <c r="R38" i="40"/>
  <c r="T38" i="40"/>
  <c r="U47" i="44"/>
  <c r="S38" i="40"/>
  <c r="T47" i="44"/>
  <c r="U38" i="40"/>
  <c r="V47" i="44"/>
  <c r="W38" i="40"/>
  <c r="X47" i="44"/>
  <c r="V38" i="40"/>
  <c r="W47" i="44"/>
  <c r="P12" i="44"/>
  <c r="I12" i="44"/>
  <c r="K28" i="44"/>
  <c r="K79" i="40"/>
  <c r="H78" i="9"/>
  <c r="H49" i="9"/>
  <c r="H50" i="40"/>
  <c r="K13" i="40"/>
  <c r="L12" i="40"/>
  <c r="K12" i="19"/>
  <c r="K60" i="40"/>
  <c r="K12" i="18"/>
  <c r="K12" i="17"/>
  <c r="H59" i="9"/>
  <c r="I43" i="44"/>
  <c r="O12" i="44"/>
  <c r="I12" i="9"/>
  <c r="C46" i="17"/>
  <c r="C46" i="18"/>
  <c r="C47" i="19"/>
  <c r="C47" i="21"/>
  <c r="C46" i="9"/>
  <c r="G52" i="19" l="1"/>
  <c r="H52" i="19"/>
  <c r="I52" i="19"/>
  <c r="G51" i="18"/>
  <c r="H51" i="18"/>
  <c r="I51" i="18"/>
  <c r="H51" i="17"/>
  <c r="G51" i="17"/>
  <c r="I51" i="17"/>
  <c r="J51" i="18"/>
  <c r="K51" i="17"/>
  <c r="J52" i="19"/>
  <c r="J51" i="17"/>
  <c r="G50" i="17"/>
  <c r="G49" i="17"/>
  <c r="H49" i="17" s="1"/>
  <c r="G51" i="19"/>
  <c r="G50" i="19"/>
  <c r="H50" i="19" s="1"/>
  <c r="K51" i="18"/>
  <c r="N27" i="40"/>
  <c r="L52" i="40"/>
  <c r="I50" i="19"/>
  <c r="I49" i="17"/>
  <c r="L79" i="40"/>
  <c r="I78" i="9"/>
  <c r="I50" i="40"/>
  <c r="I49" i="9"/>
  <c r="L12" i="18"/>
  <c r="L12" i="19"/>
  <c r="L13" i="40"/>
  <c r="L28" i="44"/>
  <c r="L60" i="40"/>
  <c r="M12" i="40"/>
  <c r="L12" i="17"/>
  <c r="L51" i="17" s="1"/>
  <c r="J12" i="9"/>
  <c r="J43" i="44"/>
  <c r="F51" i="9"/>
  <c r="G51" i="9"/>
  <c r="H51" i="9"/>
  <c r="C7" i="18"/>
  <c r="C7" i="17"/>
  <c r="C7" i="19"/>
  <c r="C21" i="22"/>
  <c r="E21" i="22"/>
  <c r="H21" i="22"/>
  <c r="G21" i="22"/>
  <c r="F21" i="22"/>
  <c r="I21" i="22"/>
  <c r="D21" i="22"/>
  <c r="K24" i="19"/>
  <c r="L24" i="19"/>
  <c r="M24" i="19"/>
  <c r="T70" i="18"/>
  <c r="S70" i="18"/>
  <c r="R70" i="18"/>
  <c r="Q70" i="18"/>
  <c r="P70" i="18"/>
  <c r="O70" i="18"/>
  <c r="N70" i="18"/>
  <c r="M70" i="18"/>
  <c r="L70" i="18"/>
  <c r="K70" i="18"/>
  <c r="J70" i="18"/>
  <c r="I70" i="18"/>
  <c r="H70" i="18"/>
  <c r="D50" i="9"/>
  <c r="B18" i="9"/>
  <c r="L51" i="18" l="1"/>
  <c r="M52" i="40"/>
  <c r="O27" i="40"/>
  <c r="J49" i="9"/>
  <c r="M28" i="44"/>
  <c r="J50" i="19"/>
  <c r="J49" i="17"/>
  <c r="M79" i="40"/>
  <c r="J78" i="9"/>
  <c r="J50" i="40"/>
  <c r="M13" i="40"/>
  <c r="M12" i="18"/>
  <c r="M60" i="40"/>
  <c r="N12" i="40"/>
  <c r="M12" i="17"/>
  <c r="M51" i="17" s="1"/>
  <c r="M12" i="19"/>
  <c r="K12" i="9"/>
  <c r="K43" i="44"/>
  <c r="G63" i="17"/>
  <c r="J63" i="17"/>
  <c r="H63" i="17"/>
  <c r="I63" i="17"/>
  <c r="B21" i="22"/>
  <c r="E63" i="9"/>
  <c r="D64" i="9"/>
  <c r="D63" i="9"/>
  <c r="E64" i="9"/>
  <c r="F64" i="18"/>
  <c r="E64" i="18"/>
  <c r="D64" i="18"/>
  <c r="D81" i="40" l="1"/>
  <c r="P27" i="40"/>
  <c r="M51" i="18"/>
  <c r="N79" i="40"/>
  <c r="N52" i="40"/>
  <c r="K49" i="18"/>
  <c r="K49" i="17"/>
  <c r="K50" i="19"/>
  <c r="K78" i="9"/>
  <c r="K50" i="40"/>
  <c r="K49" i="9"/>
  <c r="N28" i="44"/>
  <c r="N13" i="40"/>
  <c r="N60" i="40"/>
  <c r="O12" i="40"/>
  <c r="N12" i="18"/>
  <c r="L12" i="9"/>
  <c r="L43" i="44"/>
  <c r="C5" i="21"/>
  <c r="N51" i="18" l="1"/>
  <c r="Q27" i="40"/>
  <c r="O79" i="40"/>
  <c r="O52" i="40"/>
  <c r="L49" i="18"/>
  <c r="L50" i="19"/>
  <c r="L49" i="17"/>
  <c r="L78" i="9"/>
  <c r="L50" i="40"/>
  <c r="L49" i="9"/>
  <c r="O12" i="18"/>
  <c r="O28" i="44"/>
  <c r="O13" i="40"/>
  <c r="O60" i="40"/>
  <c r="P12" i="40"/>
  <c r="D50" i="21"/>
  <c r="M12" i="9"/>
  <c r="M43" i="44"/>
  <c r="C6" i="21"/>
  <c r="C7" i="21"/>
  <c r="D65" i="21"/>
  <c r="F65" i="21"/>
  <c r="E65" i="21"/>
  <c r="T71" i="19"/>
  <c r="S71" i="19"/>
  <c r="R71" i="19"/>
  <c r="Q71" i="19"/>
  <c r="P71" i="19"/>
  <c r="O71" i="19"/>
  <c r="N71" i="19"/>
  <c r="M71" i="19"/>
  <c r="L71" i="19"/>
  <c r="K71" i="19"/>
  <c r="J71" i="19"/>
  <c r="I71" i="19"/>
  <c r="H71" i="19"/>
  <c r="T70" i="17"/>
  <c r="R70" i="17"/>
  <c r="Q70" i="17"/>
  <c r="P70" i="17"/>
  <c r="O70" i="17"/>
  <c r="N70" i="17"/>
  <c r="M70" i="17"/>
  <c r="L70" i="17"/>
  <c r="K70" i="17"/>
  <c r="J70" i="17"/>
  <c r="I70" i="17"/>
  <c r="H70" i="17"/>
  <c r="F64" i="17"/>
  <c r="O51" i="18" l="1"/>
  <c r="R27" i="40"/>
  <c r="E50" i="21"/>
  <c r="F51" i="21" s="1"/>
  <c r="E51" i="21"/>
  <c r="P79" i="40"/>
  <c r="P52" i="40"/>
  <c r="M50" i="40"/>
  <c r="M50" i="19"/>
  <c r="M49" i="17"/>
  <c r="M49" i="18"/>
  <c r="M49" i="9"/>
  <c r="P28" i="44"/>
  <c r="M78" i="9"/>
  <c r="P60" i="40"/>
  <c r="P12" i="18"/>
  <c r="P13" i="40"/>
  <c r="Q12" i="40"/>
  <c r="N12" i="9"/>
  <c r="N43" i="44"/>
  <c r="I64" i="21"/>
  <c r="G64" i="21"/>
  <c r="H64" i="21"/>
  <c r="J64" i="21"/>
  <c r="F64" i="21"/>
  <c r="D64" i="21"/>
  <c r="D64" i="17"/>
  <c r="E64" i="17"/>
  <c r="E65" i="19"/>
  <c r="D65" i="19"/>
  <c r="F65" i="19"/>
  <c r="S27" i="40" l="1"/>
  <c r="P51" i="18"/>
  <c r="Q79" i="40"/>
  <c r="Q52" i="40"/>
  <c r="F50" i="21"/>
  <c r="G51" i="21" s="1"/>
  <c r="N50" i="40"/>
  <c r="N49" i="18"/>
  <c r="N49" i="9"/>
  <c r="N78" i="9"/>
  <c r="Q28" i="44"/>
  <c r="Q13" i="40"/>
  <c r="R12" i="40"/>
  <c r="Q60" i="40"/>
  <c r="Q12" i="18"/>
  <c r="O12" i="9"/>
  <c r="O43" i="44"/>
  <c r="C47" i="18"/>
  <c r="C48" i="19"/>
  <c r="C48" i="21"/>
  <c r="C47" i="17"/>
  <c r="C47" i="9"/>
  <c r="E35" i="9"/>
  <c r="F35" i="9"/>
  <c r="C3" i="21"/>
  <c r="Q24" i="19"/>
  <c r="E96" i="9" l="1"/>
  <c r="Q51" i="18"/>
  <c r="R52" i="40"/>
  <c r="T27" i="40"/>
  <c r="O50" i="40"/>
  <c r="P51" i="40" s="1"/>
  <c r="O49" i="18"/>
  <c r="O49" i="9"/>
  <c r="G48" i="44"/>
  <c r="F48" i="44"/>
  <c r="R60" i="40"/>
  <c r="R79" i="40"/>
  <c r="O78" i="9"/>
  <c r="S12" i="40"/>
  <c r="R13" i="40"/>
  <c r="R12" i="18"/>
  <c r="R28" i="44"/>
  <c r="P12" i="9"/>
  <c r="P43" i="44"/>
  <c r="A7" i="43"/>
  <c r="A12" i="43"/>
  <c r="A8" i="43"/>
  <c r="A22" i="43"/>
  <c r="A6" i="43"/>
  <c r="A5" i="43"/>
  <c r="A21" i="43"/>
  <c r="A20" i="43"/>
  <c r="A4" i="43"/>
  <c r="A19" i="43"/>
  <c r="A3" i="43"/>
  <c r="A13" i="43"/>
  <c r="A9" i="43"/>
  <c r="A18" i="43"/>
  <c r="A2" i="43"/>
  <c r="A11" i="43"/>
  <c r="A17" i="43"/>
  <c r="A15" i="43"/>
  <c r="A16" i="43"/>
  <c r="A14" i="43"/>
  <c r="A10" i="43"/>
  <c r="F98" i="9"/>
  <c r="C109" i="21"/>
  <c r="D109" i="21"/>
  <c r="C22" i="19"/>
  <c r="C22" i="17"/>
  <c r="C22" i="9"/>
  <c r="D22" i="9" s="1"/>
  <c r="D23" i="40" s="1"/>
  <c r="D30" i="40" s="1"/>
  <c r="D62" i="40" s="1"/>
  <c r="C23" i="21"/>
  <c r="C22" i="18"/>
  <c r="C27" i="21"/>
  <c r="D27" i="21" s="1"/>
  <c r="E27" i="21" s="1"/>
  <c r="C26" i="17"/>
  <c r="D26" i="17" s="1"/>
  <c r="E26" i="17" s="1"/>
  <c r="F26" i="17" s="1"/>
  <c r="G26" i="17" s="1"/>
  <c r="H26" i="17" s="1"/>
  <c r="C26" i="18"/>
  <c r="D26" i="18" s="1"/>
  <c r="E26" i="18" s="1"/>
  <c r="F26" i="18" s="1"/>
  <c r="G26" i="18" s="1"/>
  <c r="H26" i="18" s="1"/>
  <c r="C27" i="19"/>
  <c r="D27" i="19" s="1"/>
  <c r="C26" i="9"/>
  <c r="G59" i="9"/>
  <c r="O24" i="19"/>
  <c r="O51" i="9"/>
  <c r="J59" i="9"/>
  <c r="S24" i="19"/>
  <c r="I59" i="9"/>
  <c r="L51" i="9"/>
  <c r="L59" i="9"/>
  <c r="D59" i="9"/>
  <c r="D51" i="9"/>
  <c r="E59" i="9"/>
  <c r="N59" i="9"/>
  <c r="R24" i="19"/>
  <c r="F59" i="9"/>
  <c r="E51" i="9"/>
  <c r="M59" i="9"/>
  <c r="J51" i="9"/>
  <c r="K51" i="9"/>
  <c r="M51" i="9"/>
  <c r="O59" i="9"/>
  <c r="K59" i="9"/>
  <c r="I51" i="9"/>
  <c r="N51" i="9"/>
  <c r="C23" i="18"/>
  <c r="C23" i="9"/>
  <c r="P24" i="19"/>
  <c r="T24" i="19"/>
  <c r="C12" i="18"/>
  <c r="E12" i="18"/>
  <c r="C24" i="21"/>
  <c r="C23" i="17"/>
  <c r="C23" i="19"/>
  <c r="D12" i="18"/>
  <c r="D59" i="17"/>
  <c r="P50" i="40" l="1"/>
  <c r="Q51" i="40" s="1"/>
  <c r="R51" i="18"/>
  <c r="S52" i="40"/>
  <c r="U27" i="40"/>
  <c r="I26" i="18"/>
  <c r="J26" i="18" s="1"/>
  <c r="K26" i="18" s="1"/>
  <c r="L26" i="18" s="1"/>
  <c r="M26" i="18" s="1"/>
  <c r="N26" i="18" s="1"/>
  <c r="O26" i="18" s="1"/>
  <c r="P26" i="18" s="1"/>
  <c r="Q26" i="18" s="1"/>
  <c r="R26" i="18" s="1"/>
  <c r="S26" i="18" s="1"/>
  <c r="T26" i="18" s="1"/>
  <c r="U26" i="18" s="1"/>
  <c r="V26" i="18" s="1"/>
  <c r="W26" i="18" s="1"/>
  <c r="I26" i="17"/>
  <c r="P49" i="18"/>
  <c r="P49" i="9"/>
  <c r="S12" i="18"/>
  <c r="S79" i="40"/>
  <c r="P78" i="9"/>
  <c r="S13" i="40"/>
  <c r="T12" i="40"/>
  <c r="S60" i="40"/>
  <c r="S28" i="44"/>
  <c r="P51" i="9"/>
  <c r="P59" i="9"/>
  <c r="F28" i="44"/>
  <c r="D49" i="18"/>
  <c r="Q12" i="9"/>
  <c r="Q43" i="44"/>
  <c r="F27" i="21"/>
  <c r="F15" i="44"/>
  <c r="D59" i="40"/>
  <c r="D77" i="40" s="1"/>
  <c r="E101" i="40"/>
  <c r="E106" i="40" s="1"/>
  <c r="E27" i="19"/>
  <c r="F96" i="9"/>
  <c r="D22" i="17"/>
  <c r="D23" i="21"/>
  <c r="E22" i="9"/>
  <c r="E23" i="40" s="1"/>
  <c r="E30" i="40" s="1"/>
  <c r="E62" i="40" s="1"/>
  <c r="D26" i="9"/>
  <c r="E26" i="9" s="1"/>
  <c r="H38" i="17"/>
  <c r="M39" i="21"/>
  <c r="M38" i="18"/>
  <c r="M38" i="17"/>
  <c r="M39" i="19"/>
  <c r="F52" i="19"/>
  <c r="F51" i="17"/>
  <c r="C29" i="9"/>
  <c r="F52" i="21"/>
  <c r="C30" i="21"/>
  <c r="C29" i="18"/>
  <c r="E51" i="18"/>
  <c r="D59" i="18"/>
  <c r="D51" i="18"/>
  <c r="F50" i="9"/>
  <c r="E50" i="9"/>
  <c r="G50" i="9"/>
  <c r="E59" i="18"/>
  <c r="E52" i="19"/>
  <c r="E59" i="17"/>
  <c r="F60" i="21"/>
  <c r="F59" i="17"/>
  <c r="E60" i="21"/>
  <c r="E51" i="17"/>
  <c r="D60" i="19"/>
  <c r="C29" i="17"/>
  <c r="E52" i="21"/>
  <c r="D52" i="21"/>
  <c r="D60" i="21"/>
  <c r="D52" i="19"/>
  <c r="C30" i="19"/>
  <c r="D51" i="17"/>
  <c r="E60" i="19"/>
  <c r="F60" i="19"/>
  <c r="J26" i="17" l="1"/>
  <c r="E59" i="40"/>
  <c r="V27" i="40"/>
  <c r="T52" i="40"/>
  <c r="Q50" i="40"/>
  <c r="R51" i="40" s="1"/>
  <c r="E49" i="18"/>
  <c r="E50" i="18"/>
  <c r="S51" i="18"/>
  <c r="Q49" i="18"/>
  <c r="R50" i="18" s="1"/>
  <c r="Q49" i="9"/>
  <c r="U12" i="40"/>
  <c r="T79" i="40"/>
  <c r="T28" i="44"/>
  <c r="Q78" i="9"/>
  <c r="T12" i="18"/>
  <c r="T60" i="40"/>
  <c r="T13" i="40"/>
  <c r="F26" i="9"/>
  <c r="F49" i="44"/>
  <c r="R12" i="9"/>
  <c r="R43" i="44"/>
  <c r="Q51" i="9"/>
  <c r="Q59" i="9"/>
  <c r="F34" i="44"/>
  <c r="G27" i="21"/>
  <c r="G15" i="44"/>
  <c r="F101" i="40"/>
  <c r="F106" i="40" s="1"/>
  <c r="F59" i="18"/>
  <c r="F27" i="19"/>
  <c r="F22" i="9"/>
  <c r="F23" i="40" s="1"/>
  <c r="G23" i="40" s="1"/>
  <c r="E22" i="17"/>
  <c r="E23" i="21"/>
  <c r="H38" i="18"/>
  <c r="H39" i="21"/>
  <c r="H39" i="19"/>
  <c r="V39" i="19"/>
  <c r="V39" i="21"/>
  <c r="V38" i="18"/>
  <c r="V38" i="17"/>
  <c r="S38" i="18"/>
  <c r="S38" i="17"/>
  <c r="S39" i="19"/>
  <c r="S39" i="21"/>
  <c r="L38" i="18"/>
  <c r="L38" i="17"/>
  <c r="L39" i="19"/>
  <c r="L39" i="21"/>
  <c r="W39" i="21"/>
  <c r="W39" i="19"/>
  <c r="W38" i="18"/>
  <c r="W38" i="17"/>
  <c r="E38" i="17"/>
  <c r="E39" i="19"/>
  <c r="E39" i="21"/>
  <c r="E38" i="18"/>
  <c r="R38" i="17"/>
  <c r="R39" i="19"/>
  <c r="R39" i="21"/>
  <c r="R38" i="18"/>
  <c r="Q38" i="17"/>
  <c r="Q39" i="19"/>
  <c r="Q39" i="21"/>
  <c r="Q38" i="18"/>
  <c r="P38" i="17"/>
  <c r="P39" i="19"/>
  <c r="P39" i="21"/>
  <c r="P38" i="18"/>
  <c r="N39" i="19"/>
  <c r="N39" i="21"/>
  <c r="N38" i="18"/>
  <c r="N38" i="17"/>
  <c r="T38" i="18"/>
  <c r="T38" i="17"/>
  <c r="T39" i="19"/>
  <c r="G39" i="21"/>
  <c r="G39" i="19"/>
  <c r="G38" i="18"/>
  <c r="G38" i="17"/>
  <c r="F39" i="19"/>
  <c r="F39" i="21"/>
  <c r="F38" i="18"/>
  <c r="F38" i="17"/>
  <c r="K38" i="18"/>
  <c r="K38" i="17"/>
  <c r="K39" i="19"/>
  <c r="K39" i="21"/>
  <c r="I38" i="17"/>
  <c r="I39" i="19"/>
  <c r="I39" i="21"/>
  <c r="I38" i="18"/>
  <c r="O39" i="19"/>
  <c r="O39" i="21"/>
  <c r="O38" i="18"/>
  <c r="O38" i="17"/>
  <c r="J38" i="17"/>
  <c r="J39" i="19"/>
  <c r="J38" i="18"/>
  <c r="U38" i="18"/>
  <c r="U38" i="17"/>
  <c r="U39" i="19"/>
  <c r="F51" i="18"/>
  <c r="I64" i="19"/>
  <c r="G63" i="18"/>
  <c r="I64" i="17"/>
  <c r="H65" i="21"/>
  <c r="I65" i="21"/>
  <c r="F63" i="18"/>
  <c r="J63" i="18"/>
  <c r="G64" i="17"/>
  <c r="H64" i="17"/>
  <c r="D64" i="19"/>
  <c r="H64" i="19"/>
  <c r="G64" i="19"/>
  <c r="J64" i="17"/>
  <c r="H64" i="18"/>
  <c r="D63" i="18"/>
  <c r="J64" i="19"/>
  <c r="G64" i="18"/>
  <c r="E64" i="19"/>
  <c r="E63" i="17"/>
  <c r="E63" i="18"/>
  <c r="F63" i="17"/>
  <c r="H63" i="18"/>
  <c r="D63" i="17"/>
  <c r="I63" i="18"/>
  <c r="I65" i="19"/>
  <c r="I64" i="18"/>
  <c r="J64" i="18"/>
  <c r="G65" i="19"/>
  <c r="H65" i="19"/>
  <c r="J65" i="19"/>
  <c r="F64" i="19"/>
  <c r="G65" i="21"/>
  <c r="E64" i="21"/>
  <c r="J65" i="21"/>
  <c r="E29" i="9"/>
  <c r="E61" i="9" s="1"/>
  <c r="H50" i="9"/>
  <c r="D22" i="18"/>
  <c r="D29" i="9"/>
  <c r="D61" i="9" s="1"/>
  <c r="D22" i="19"/>
  <c r="K26" i="17" l="1"/>
  <c r="L26" i="17" s="1"/>
  <c r="M26" i="17" s="1"/>
  <c r="R50" i="40"/>
  <c r="S51" i="40" s="1"/>
  <c r="F44" i="44"/>
  <c r="W27" i="40"/>
  <c r="F49" i="18"/>
  <c r="F50" i="18"/>
  <c r="T51" i="18"/>
  <c r="U60" i="40"/>
  <c r="U52" i="40"/>
  <c r="R49" i="18"/>
  <c r="S50" i="18" s="1"/>
  <c r="R49" i="9"/>
  <c r="V12" i="40"/>
  <c r="U28" i="44"/>
  <c r="U13" i="40"/>
  <c r="U79" i="40"/>
  <c r="U12" i="18"/>
  <c r="R78" i="9"/>
  <c r="S12" i="9"/>
  <c r="S43" i="44"/>
  <c r="R59" i="9"/>
  <c r="R51" i="9"/>
  <c r="G26" i="9"/>
  <c r="G49" i="44"/>
  <c r="G34" i="44"/>
  <c r="H27" i="21"/>
  <c r="H15" i="44"/>
  <c r="G27" i="19"/>
  <c r="F30" i="40"/>
  <c r="F62" i="40" s="1"/>
  <c r="G22" i="9"/>
  <c r="H22" i="9" s="1"/>
  <c r="F22" i="17"/>
  <c r="G22" i="17" s="1"/>
  <c r="F23" i="21"/>
  <c r="D29" i="17"/>
  <c r="D61" i="17" s="1"/>
  <c r="I50" i="9"/>
  <c r="E22" i="18"/>
  <c r="D29" i="18"/>
  <c r="D61" i="18" s="1"/>
  <c r="D23" i="18"/>
  <c r="F29" i="9"/>
  <c r="F61" i="9" s="1"/>
  <c r="E30" i="21"/>
  <c r="E62" i="21" s="1"/>
  <c r="F8" i="44" s="1"/>
  <c r="E22" i="19"/>
  <c r="D30" i="19"/>
  <c r="D62" i="19" s="1"/>
  <c r="D23" i="19"/>
  <c r="D30" i="21"/>
  <c r="D62" i="21" s="1"/>
  <c r="N26" i="17" l="1"/>
  <c r="O26" i="17" s="1"/>
  <c r="P26" i="17" s="1"/>
  <c r="Q26" i="17" s="1"/>
  <c r="R26" i="17" s="1"/>
  <c r="S26" i="17" s="1"/>
  <c r="T26" i="17" s="1"/>
  <c r="U26" i="17" s="1"/>
  <c r="V26" i="17" s="1"/>
  <c r="W26" i="17" s="1"/>
  <c r="H26" i="9"/>
  <c r="I22" i="9"/>
  <c r="J22" i="9" s="1"/>
  <c r="K22" i="9" s="1"/>
  <c r="L22" i="9" s="1"/>
  <c r="M22" i="9" s="1"/>
  <c r="N22" i="9" s="1"/>
  <c r="O22" i="9" s="1"/>
  <c r="P22" i="9" s="1"/>
  <c r="Q22" i="9" s="1"/>
  <c r="R22" i="9" s="1"/>
  <c r="S22" i="9" s="1"/>
  <c r="T22" i="9" s="1"/>
  <c r="U22" i="9" s="1"/>
  <c r="V22" i="9" s="1"/>
  <c r="W22" i="9" s="1"/>
  <c r="F22" i="18"/>
  <c r="F29" i="18" s="1"/>
  <c r="F61" i="18" s="1"/>
  <c r="S50" i="40"/>
  <c r="T51" i="40" s="1"/>
  <c r="G44" i="44"/>
  <c r="U51" i="18"/>
  <c r="G49" i="18"/>
  <c r="G22" i="18" s="1"/>
  <c r="G50" i="18"/>
  <c r="V79" i="40"/>
  <c r="V52" i="40"/>
  <c r="S49" i="18"/>
  <c r="T50" i="18" s="1"/>
  <c r="S49" i="9"/>
  <c r="V12" i="18"/>
  <c r="V60" i="40"/>
  <c r="V13" i="40"/>
  <c r="W12" i="40"/>
  <c r="V28" i="44"/>
  <c r="S78" i="9"/>
  <c r="H49" i="44"/>
  <c r="T12" i="9"/>
  <c r="T43" i="44"/>
  <c r="S59" i="9"/>
  <c r="S51" i="9"/>
  <c r="H34" i="44"/>
  <c r="I27" i="21"/>
  <c r="I15" i="44"/>
  <c r="F59" i="40"/>
  <c r="H27" i="19"/>
  <c r="G24" i="40"/>
  <c r="G30" i="40"/>
  <c r="G29" i="9"/>
  <c r="E29" i="18"/>
  <c r="E61" i="18" s="1"/>
  <c r="E23" i="18"/>
  <c r="J50" i="9"/>
  <c r="E29" i="17"/>
  <c r="E61" i="17" s="1"/>
  <c r="F22" i="19"/>
  <c r="G22" i="19" s="1"/>
  <c r="F30" i="21"/>
  <c r="F62" i="21" s="1"/>
  <c r="G8" i="44" s="1"/>
  <c r="E23" i="19"/>
  <c r="E30" i="19"/>
  <c r="E62" i="19" s="1"/>
  <c r="F23" i="18" l="1"/>
  <c r="H29" i="9"/>
  <c r="H49" i="18"/>
  <c r="T50" i="40"/>
  <c r="U51" i="40" s="1"/>
  <c r="H51" i="40"/>
  <c r="H23" i="40" s="1"/>
  <c r="W79" i="40"/>
  <c r="W52" i="40"/>
  <c r="W28" i="44"/>
  <c r="V51" i="18"/>
  <c r="T49" i="18"/>
  <c r="U50" i="18" s="1"/>
  <c r="T49" i="9"/>
  <c r="C2" i="43" a="1"/>
  <c r="C2" i="43" s="1"/>
  <c r="W12" i="18"/>
  <c r="W13" i="40"/>
  <c r="G61" i="9"/>
  <c r="W60" i="40"/>
  <c r="T78" i="9"/>
  <c r="F33" i="44"/>
  <c r="U12" i="9"/>
  <c r="U43" i="44"/>
  <c r="T51" i="9"/>
  <c r="T59" i="9"/>
  <c r="I26" i="9"/>
  <c r="I49" i="44"/>
  <c r="I34" i="44"/>
  <c r="J27" i="21"/>
  <c r="J15" i="44"/>
  <c r="G106" i="40"/>
  <c r="I27" i="19"/>
  <c r="G62" i="40"/>
  <c r="G33" i="40"/>
  <c r="F29" i="17"/>
  <c r="F61" i="17" s="1"/>
  <c r="K50" i="9"/>
  <c r="F30" i="19"/>
  <c r="F62" i="19" s="1"/>
  <c r="F23" i="19"/>
  <c r="I49" i="18" l="1"/>
  <c r="U50" i="40"/>
  <c r="V51" i="40" s="1"/>
  <c r="H44" i="44"/>
  <c r="X28" i="44"/>
  <c r="W51" i="18"/>
  <c r="U49" i="18"/>
  <c r="V50" i="18" s="1"/>
  <c r="U49" i="9"/>
  <c r="U78" i="9"/>
  <c r="G33" i="44"/>
  <c r="V43" i="44"/>
  <c r="V12" i="9"/>
  <c r="U59" i="9"/>
  <c r="U51" i="9"/>
  <c r="J49" i="44"/>
  <c r="J26" i="9"/>
  <c r="J34" i="44"/>
  <c r="K27" i="21"/>
  <c r="K15" i="44"/>
  <c r="G59" i="40"/>
  <c r="J27" i="19"/>
  <c r="L50" i="9"/>
  <c r="J49" i="18" l="1"/>
  <c r="V50" i="40"/>
  <c r="W51" i="40" s="1"/>
  <c r="V49" i="18"/>
  <c r="W50" i="18" s="1"/>
  <c r="V49" i="9"/>
  <c r="V78" i="9"/>
  <c r="K26" i="9"/>
  <c r="K49" i="44"/>
  <c r="V51" i="9"/>
  <c r="W43" i="44"/>
  <c r="W12" i="9"/>
  <c r="V59" i="9"/>
  <c r="K34" i="44"/>
  <c r="L27" i="21"/>
  <c r="L15" i="44"/>
  <c r="K27" i="19"/>
  <c r="M50" i="9"/>
  <c r="W50" i="40" l="1"/>
  <c r="W49" i="18"/>
  <c r="W49" i="9"/>
  <c r="W78" i="9"/>
  <c r="X43" i="44"/>
  <c r="W51" i="9"/>
  <c r="W59" i="9"/>
  <c r="L26" i="9"/>
  <c r="L49" i="44"/>
  <c r="L34" i="44"/>
  <c r="M27" i="21"/>
  <c r="M15" i="44"/>
  <c r="L27" i="19"/>
  <c r="N50" i="9"/>
  <c r="M26" i="9" l="1"/>
  <c r="M49" i="44"/>
  <c r="M34" i="44"/>
  <c r="N27" i="21"/>
  <c r="N15" i="44"/>
  <c r="M27" i="19"/>
  <c r="O50" i="9"/>
  <c r="N26" i="9" l="1"/>
  <c r="N49" i="44"/>
  <c r="N34" i="44"/>
  <c r="O27" i="21"/>
  <c r="O15" i="44"/>
  <c r="N27" i="19"/>
  <c r="P50" i="9"/>
  <c r="O26" i="9" l="1"/>
  <c r="O49" i="44"/>
  <c r="O34" i="44"/>
  <c r="P27" i="21"/>
  <c r="P15" i="44"/>
  <c r="O27" i="19"/>
  <c r="Q50" i="9"/>
  <c r="P26" i="9" l="1"/>
  <c r="P49" i="44"/>
  <c r="P34" i="44"/>
  <c r="Q27" i="21"/>
  <c r="Q15" i="44"/>
  <c r="P27" i="19"/>
  <c r="R50" i="9"/>
  <c r="Q26" i="9" l="1"/>
  <c r="Q49" i="44"/>
  <c r="Q34" i="44"/>
  <c r="R27" i="21"/>
  <c r="R15" i="44"/>
  <c r="Q27" i="19"/>
  <c r="S50" i="9"/>
  <c r="R26" i="9" l="1"/>
  <c r="R49" i="44"/>
  <c r="R34" i="44"/>
  <c r="S27" i="21"/>
  <c r="S15" i="44"/>
  <c r="R27" i="19"/>
  <c r="T50" i="9"/>
  <c r="S26" i="9" l="1"/>
  <c r="S49" i="44"/>
  <c r="S34" i="44"/>
  <c r="T27" i="21"/>
  <c r="T15" i="44"/>
  <c r="S27" i="19"/>
  <c r="U50" i="9"/>
  <c r="T26" i="9" l="1"/>
  <c r="T49" i="44"/>
  <c r="T34" i="44"/>
  <c r="U15" i="44"/>
  <c r="U27" i="21"/>
  <c r="T27" i="19"/>
  <c r="V50" i="9"/>
  <c r="U26" i="9" l="1"/>
  <c r="U49" i="44"/>
  <c r="U34" i="44"/>
  <c r="V27" i="21"/>
  <c r="V15" i="44"/>
  <c r="U27" i="19"/>
  <c r="W50" i="9"/>
  <c r="V34" i="44" l="1"/>
  <c r="V26" i="9"/>
  <c r="V49" i="44"/>
  <c r="W27" i="21"/>
  <c r="X15" i="44" s="1"/>
  <c r="W15" i="44"/>
  <c r="V27" i="19"/>
  <c r="W34" i="44" l="1"/>
  <c r="W26" i="9"/>
  <c r="W49" i="44"/>
  <c r="W27" i="19"/>
  <c r="X49" i="44" l="1"/>
  <c r="X34" i="44"/>
  <c r="M71" i="17"/>
  <c r="M72" i="21"/>
  <c r="N14" i="44" s="1"/>
  <c r="M71" i="9"/>
  <c r="M71" i="18"/>
  <c r="M72" i="19"/>
  <c r="R71" i="18"/>
  <c r="R71" i="9"/>
  <c r="R72" i="21"/>
  <c r="S14" i="44" s="1"/>
  <c r="R71" i="17"/>
  <c r="R72" i="19"/>
  <c r="Q72" i="21"/>
  <c r="R14" i="44" s="1"/>
  <c r="Q71" i="17"/>
  <c r="Q71" i="9"/>
  <c r="Q71" i="18"/>
  <c r="Q72" i="19"/>
  <c r="J72" i="21"/>
  <c r="K14" i="44" s="1"/>
  <c r="J71" i="17"/>
  <c r="J71" i="9"/>
  <c r="J72" i="19"/>
  <c r="J71" i="18"/>
  <c r="S72" i="21"/>
  <c r="T14" i="44" s="1"/>
  <c r="S72" i="19"/>
  <c r="S71" i="9"/>
  <c r="S71" i="17"/>
  <c r="S71" i="18"/>
  <c r="P72" i="19"/>
  <c r="P71" i="17"/>
  <c r="P71" i="18"/>
  <c r="P71" i="9"/>
  <c r="P72" i="21"/>
  <c r="Q14" i="44" s="1"/>
  <c r="G71" i="18"/>
  <c r="G71" i="17"/>
  <c r="G72" i="21"/>
  <c r="H14" i="44" s="1"/>
  <c r="G72" i="19"/>
  <c r="K71" i="9"/>
  <c r="K72" i="21"/>
  <c r="L14" i="44" s="1"/>
  <c r="K71" i="17"/>
  <c r="K71" i="18"/>
  <c r="K72" i="19"/>
  <c r="H71" i="9"/>
  <c r="H72" i="21"/>
  <c r="I14" i="44" s="1"/>
  <c r="H71" i="18"/>
  <c r="H72" i="19"/>
  <c r="H71" i="17"/>
  <c r="U71" i="9"/>
  <c r="U72" i="21"/>
  <c r="V14" i="44" s="1"/>
  <c r="U71" i="18"/>
  <c r="U72" i="19"/>
  <c r="U71" i="17"/>
  <c r="V71" i="17"/>
  <c r="V72" i="19"/>
  <c r="V71" i="9"/>
  <c r="V72" i="21"/>
  <c r="W14" i="44" s="1"/>
  <c r="V71" i="18"/>
  <c r="I72" i="19"/>
  <c r="I71" i="17"/>
  <c r="I71" i="9"/>
  <c r="I72" i="21"/>
  <c r="J14" i="44" s="1"/>
  <c r="I71" i="18"/>
  <c r="T72" i="21"/>
  <c r="U14" i="44" s="1"/>
  <c r="T71" i="17"/>
  <c r="T72" i="19"/>
  <c r="T71" i="18"/>
  <c r="T71" i="9"/>
  <c r="N71" i="18"/>
  <c r="N72" i="19"/>
  <c r="N71" i="9"/>
  <c r="N71" i="17"/>
  <c r="N72" i="21"/>
  <c r="O14" i="44" s="1"/>
  <c r="W72" i="19"/>
  <c r="W71" i="17"/>
  <c r="W72" i="21"/>
  <c r="X14" i="44" s="1"/>
  <c r="W71" i="9"/>
  <c r="W71" i="18"/>
  <c r="O72" i="19"/>
  <c r="O72" i="21"/>
  <c r="P14" i="44" s="1"/>
  <c r="O71" i="18"/>
  <c r="O71" i="17"/>
  <c r="O71" i="9"/>
  <c r="L71" i="17"/>
  <c r="L72" i="19"/>
  <c r="L72" i="21"/>
  <c r="M14" i="44" s="1"/>
  <c r="L71" i="9"/>
  <c r="L71" i="18"/>
  <c r="Q72" i="17" l="1"/>
  <c r="Q73" i="17" s="1"/>
  <c r="Q73" i="21"/>
  <c r="Q74" i="21" s="1"/>
  <c r="Q72" i="18"/>
  <c r="Q73" i="18" s="1"/>
  <c r="Q72" i="9"/>
  <c r="Q73" i="9" s="1"/>
  <c r="Q73" i="19"/>
  <c r="Q74" i="19" s="1"/>
  <c r="L73" i="21"/>
  <c r="L74" i="21" s="1"/>
  <c r="L72" i="9"/>
  <c r="L73" i="9" s="1"/>
  <c r="L73" i="19"/>
  <c r="L74" i="19" s="1"/>
  <c r="L72" i="18"/>
  <c r="L73" i="18" s="1"/>
  <c r="L72" i="17"/>
  <c r="L73" i="17" s="1"/>
  <c r="I63" i="19"/>
  <c r="I63" i="21"/>
  <c r="I62" i="18"/>
  <c r="I62" i="17"/>
  <c r="I62" i="9"/>
  <c r="K73" i="19"/>
  <c r="K74" i="19" s="1"/>
  <c r="K73" i="21"/>
  <c r="K74" i="21" s="1"/>
  <c r="K72" i="9"/>
  <c r="K73" i="9" s="1"/>
  <c r="K72" i="18"/>
  <c r="K73" i="18" s="1"/>
  <c r="K72" i="17"/>
  <c r="K73" i="17" s="1"/>
  <c r="G72" i="9"/>
  <c r="G73" i="9" s="1"/>
  <c r="G73" i="19"/>
  <c r="G74" i="19" s="1"/>
  <c r="G73" i="21"/>
  <c r="G74" i="21" s="1"/>
  <c r="G72" i="17"/>
  <c r="G73" i="17" s="1"/>
  <c r="G72" i="18"/>
  <c r="G73" i="18" s="1"/>
  <c r="O73" i="19"/>
  <c r="O74" i="19" s="1"/>
  <c r="O72" i="17"/>
  <c r="O73" i="17" s="1"/>
  <c r="O72" i="18"/>
  <c r="O73" i="18" s="1"/>
  <c r="O72" i="9"/>
  <c r="O73" i="9" s="1"/>
  <c r="O73" i="21"/>
  <c r="O74" i="21" s="1"/>
  <c r="Q63" i="21"/>
  <c r="Q62" i="18"/>
  <c r="Q62" i="17"/>
  <c r="Q63" i="19"/>
  <c r="Q62" i="9"/>
  <c r="K63" i="21"/>
  <c r="K62" i="17"/>
  <c r="K62" i="18"/>
  <c r="K62" i="9"/>
  <c r="K63" i="19"/>
  <c r="W62" i="17"/>
  <c r="W63" i="21"/>
  <c r="W63" i="19"/>
  <c r="W62" i="9"/>
  <c r="W62" i="18"/>
  <c r="N62" i="17"/>
  <c r="N62" i="18"/>
  <c r="N62" i="9"/>
  <c r="N63" i="21"/>
  <c r="N63" i="19"/>
  <c r="J73" i="19"/>
  <c r="J74" i="19" s="1"/>
  <c r="J72" i="17"/>
  <c r="J73" i="17" s="1"/>
  <c r="J72" i="9"/>
  <c r="J73" i="9" s="1"/>
  <c r="J73" i="21"/>
  <c r="J74" i="21" s="1"/>
  <c r="J72" i="18"/>
  <c r="J73" i="18" s="1"/>
  <c r="W73" i="21"/>
  <c r="W74" i="21" s="1"/>
  <c r="W72" i="18"/>
  <c r="W73" i="18" s="1"/>
  <c r="W72" i="9"/>
  <c r="W73" i="9" s="1"/>
  <c r="W73" i="19"/>
  <c r="W74" i="19" s="1"/>
  <c r="W72" i="17"/>
  <c r="W73" i="17" s="1"/>
  <c r="P73" i="19"/>
  <c r="P74" i="19" s="1"/>
  <c r="P72" i="9"/>
  <c r="P73" i="9" s="1"/>
  <c r="P72" i="18"/>
  <c r="P73" i="18" s="1"/>
  <c r="P73" i="21"/>
  <c r="P74" i="21" s="1"/>
  <c r="P72" i="17"/>
  <c r="P73" i="17" s="1"/>
  <c r="M72" i="17"/>
  <c r="M73" i="17" s="1"/>
  <c r="M72" i="18"/>
  <c r="M73" i="18" s="1"/>
  <c r="M72" i="9"/>
  <c r="M73" i="9" s="1"/>
  <c r="M73" i="21"/>
  <c r="M74" i="21" s="1"/>
  <c r="M73" i="19"/>
  <c r="M74" i="19" s="1"/>
  <c r="U62" i="18"/>
  <c r="U63" i="19"/>
  <c r="U62" i="17"/>
  <c r="U62" i="9"/>
  <c r="U63" i="21"/>
  <c r="O62" i="18"/>
  <c r="O63" i="19"/>
  <c r="O63" i="21"/>
  <c r="O62" i="9"/>
  <c r="O62" i="17"/>
  <c r="L63" i="19"/>
  <c r="L62" i="17"/>
  <c r="L62" i="9"/>
  <c r="L63" i="21"/>
  <c r="L62" i="18"/>
  <c r="N72" i="9"/>
  <c r="N73" i="9" s="1"/>
  <c r="N73" i="19"/>
  <c r="N74" i="19" s="1"/>
  <c r="N72" i="17"/>
  <c r="N73" i="17" s="1"/>
  <c r="N72" i="18"/>
  <c r="N73" i="18" s="1"/>
  <c r="N73" i="21"/>
  <c r="N74" i="21" s="1"/>
  <c r="S72" i="9"/>
  <c r="S73" i="9" s="1"/>
  <c r="S72" i="17"/>
  <c r="S73" i="17" s="1"/>
  <c r="S73" i="19"/>
  <c r="S74" i="19" s="1"/>
  <c r="S72" i="18"/>
  <c r="S73" i="18" s="1"/>
  <c r="S73" i="21"/>
  <c r="S74" i="21" s="1"/>
  <c r="V73" i="21"/>
  <c r="V74" i="21" s="1"/>
  <c r="V72" i="9"/>
  <c r="V73" i="9" s="1"/>
  <c r="V72" i="18"/>
  <c r="V73" i="18" s="1"/>
  <c r="V73" i="19"/>
  <c r="V74" i="19" s="1"/>
  <c r="V72" i="17"/>
  <c r="V73" i="17" s="1"/>
  <c r="S62" i="18"/>
  <c r="S63" i="21"/>
  <c r="S62" i="17"/>
  <c r="S63" i="19"/>
  <c r="S62" i="9"/>
  <c r="M62" i="18"/>
  <c r="M63" i="21"/>
  <c r="M62" i="9"/>
  <c r="M62" i="17"/>
  <c r="M63" i="19"/>
  <c r="T72" i="9"/>
  <c r="T73" i="9" s="1"/>
  <c r="T73" i="21"/>
  <c r="T74" i="21" s="1"/>
  <c r="T72" i="17"/>
  <c r="T73" i="17" s="1"/>
  <c r="T73" i="19"/>
  <c r="T74" i="19" s="1"/>
  <c r="T72" i="18"/>
  <c r="T73" i="18" s="1"/>
  <c r="R63" i="21"/>
  <c r="R63" i="19"/>
  <c r="R62" i="17"/>
  <c r="R62" i="18"/>
  <c r="R62" i="9"/>
  <c r="J63" i="19"/>
  <c r="J62" i="17"/>
  <c r="J62" i="18"/>
  <c r="J62" i="9"/>
  <c r="J63" i="21"/>
  <c r="H63" i="21"/>
  <c r="H62" i="17"/>
  <c r="H63" i="19"/>
  <c r="H62" i="18"/>
  <c r="G62" i="18"/>
  <c r="G62" i="9"/>
  <c r="G63" i="21"/>
  <c r="G62" i="17"/>
  <c r="G63" i="19"/>
  <c r="U72" i="9"/>
  <c r="U73" i="9" s="1"/>
  <c r="U72" i="18"/>
  <c r="U73" i="18" s="1"/>
  <c r="U73" i="19"/>
  <c r="U74" i="19" s="1"/>
  <c r="U72" i="17"/>
  <c r="U73" i="17" s="1"/>
  <c r="U73" i="21"/>
  <c r="U74" i="21" s="1"/>
  <c r="T63" i="19"/>
  <c r="T62" i="18"/>
  <c r="T63" i="21"/>
  <c r="T62" i="9"/>
  <c r="T62" i="17"/>
  <c r="V62" i="9"/>
  <c r="V62" i="17"/>
  <c r="V62" i="18"/>
  <c r="V63" i="21"/>
  <c r="V63" i="19"/>
  <c r="H73" i="19"/>
  <c r="H74" i="19" s="1"/>
  <c r="H73" i="9"/>
  <c r="H72" i="18"/>
  <c r="H73" i="18" s="1"/>
  <c r="H73" i="21"/>
  <c r="H74" i="21" s="1"/>
  <c r="H72" i="17"/>
  <c r="H73" i="17" s="1"/>
  <c r="R72" i="9"/>
  <c r="R73" i="9" s="1"/>
  <c r="R73" i="19"/>
  <c r="R74" i="19" s="1"/>
  <c r="R73" i="21"/>
  <c r="R74" i="21" s="1"/>
  <c r="R72" i="18"/>
  <c r="R73" i="18" s="1"/>
  <c r="R72" i="17"/>
  <c r="R73" i="17" s="1"/>
  <c r="I73" i="21"/>
  <c r="I74" i="21" s="1"/>
  <c r="I73" i="19"/>
  <c r="I74" i="19" s="1"/>
  <c r="I72" i="17"/>
  <c r="I73" i="17" s="1"/>
  <c r="I72" i="18"/>
  <c r="I73" i="18" s="1"/>
  <c r="I72" i="9"/>
  <c r="I73" i="9" s="1"/>
  <c r="P62" i="17"/>
  <c r="P62" i="18"/>
  <c r="P62" i="9"/>
  <c r="P63" i="19"/>
  <c r="P63" i="21"/>
  <c r="D93" i="19" l="1"/>
  <c r="C93" i="19"/>
  <c r="F71" i="18" l="1"/>
  <c r="F72" i="19"/>
  <c r="F72" i="21"/>
  <c r="G14" i="44" s="1"/>
  <c r="F71" i="17"/>
  <c r="E72" i="19"/>
  <c r="E71" i="17"/>
  <c r="E71" i="9"/>
  <c r="E72" i="21"/>
  <c r="F14" i="44" s="1"/>
  <c r="E71" i="18"/>
  <c r="D72" i="19"/>
  <c r="D71" i="17"/>
  <c r="D72" i="21"/>
  <c r="D71" i="18"/>
  <c r="C20" i="8" l="1"/>
  <c r="C17" i="18" s="1"/>
  <c r="W20" i="8"/>
  <c r="D20" i="8"/>
  <c r="U20" i="8"/>
  <c r="J20" i="8"/>
  <c r="T20" i="8"/>
  <c r="S20" i="8"/>
  <c r="H42" i="18"/>
  <c r="H43" i="19"/>
  <c r="H42" i="17"/>
  <c r="E42" i="18"/>
  <c r="E43" i="19"/>
  <c r="D15" i="21"/>
  <c r="D73" i="21" s="1"/>
  <c r="D74" i="21" s="1"/>
  <c r="D14" i="19"/>
  <c r="D73" i="19" s="1"/>
  <c r="D74" i="19" s="1"/>
  <c r="D14" i="9"/>
  <c r="D72" i="9" s="1"/>
  <c r="D73" i="9" s="1"/>
  <c r="D14" i="17"/>
  <c r="D72" i="17" s="1"/>
  <c r="D73" i="17" s="1"/>
  <c r="D14" i="18"/>
  <c r="D72" i="18" s="1"/>
  <c r="D73" i="18" s="1"/>
  <c r="Q20" i="8"/>
  <c r="J18" i="9"/>
  <c r="J18" i="19"/>
  <c r="J18" i="17"/>
  <c r="J64" i="9"/>
  <c r="J18" i="18"/>
  <c r="J19" i="21"/>
  <c r="U42" i="17"/>
  <c r="U42" i="18"/>
  <c r="U43" i="19"/>
  <c r="D42" i="18"/>
  <c r="D43" i="19"/>
  <c r="N20" i="8"/>
  <c r="M20" i="8"/>
  <c r="N42" i="19"/>
  <c r="N41" i="18"/>
  <c r="E20" i="8"/>
  <c r="E18" i="40" s="1"/>
  <c r="L18" i="19"/>
  <c r="L18" i="9"/>
  <c r="L64" i="9"/>
  <c r="L19" i="21"/>
  <c r="L64" i="17"/>
  <c r="L18" i="17"/>
  <c r="L65" i="19"/>
  <c r="L64" i="18"/>
  <c r="L18" i="18"/>
  <c r="L65" i="21"/>
  <c r="Q18" i="19"/>
  <c r="Q18" i="17"/>
  <c r="Q65" i="21"/>
  <c r="Q18" i="9"/>
  <c r="Q64" i="18"/>
  <c r="Q19" i="21"/>
  <c r="Q18" i="18"/>
  <c r="Q64" i="17"/>
  <c r="Q64" i="9"/>
  <c r="Q65" i="19"/>
  <c r="V20" i="8"/>
  <c r="K43" i="19"/>
  <c r="K42" i="17"/>
  <c r="K42" i="18"/>
  <c r="O42" i="17"/>
  <c r="O43" i="19"/>
  <c r="O42" i="18"/>
  <c r="K20" i="8"/>
  <c r="U18" i="9"/>
  <c r="U64" i="18"/>
  <c r="U18" i="18"/>
  <c r="U18" i="17"/>
  <c r="U19" i="21"/>
  <c r="U64" i="9"/>
  <c r="U65" i="21"/>
  <c r="U64" i="17"/>
  <c r="U18" i="19"/>
  <c r="U65" i="19"/>
  <c r="G20" i="8"/>
  <c r="G18" i="40" s="1"/>
  <c r="R20" i="8"/>
  <c r="H18" i="9"/>
  <c r="H18" i="17"/>
  <c r="H18" i="19"/>
  <c r="H19" i="21"/>
  <c r="H18" i="18"/>
  <c r="R65" i="21"/>
  <c r="R64" i="9"/>
  <c r="R65" i="19"/>
  <c r="R64" i="18"/>
  <c r="R18" i="19"/>
  <c r="R18" i="9"/>
  <c r="R18" i="17"/>
  <c r="R64" i="17"/>
  <c r="R18" i="18"/>
  <c r="R19" i="21"/>
  <c r="C56" i="9"/>
  <c r="C56" i="18"/>
  <c r="C57" i="21"/>
  <c r="C57" i="19"/>
  <c r="S42" i="18"/>
  <c r="S43" i="19"/>
  <c r="S42" i="17"/>
  <c r="G18" i="18"/>
  <c r="G18" i="17"/>
  <c r="G19" i="21"/>
  <c r="G64" i="9"/>
  <c r="G18" i="19"/>
  <c r="G18" i="9"/>
  <c r="L20" i="8"/>
  <c r="P64" i="9"/>
  <c r="P19" i="21"/>
  <c r="P65" i="21"/>
  <c r="P64" i="17"/>
  <c r="P18" i="9"/>
  <c r="P65" i="19"/>
  <c r="P18" i="19"/>
  <c r="P64" i="18"/>
  <c r="P18" i="18"/>
  <c r="P18" i="17"/>
  <c r="N42" i="17"/>
  <c r="N43" i="19"/>
  <c r="N42" i="18"/>
  <c r="D14" i="21"/>
  <c r="D63" i="21" s="1"/>
  <c r="D59" i="21" s="1"/>
  <c r="D13" i="18"/>
  <c r="D62" i="18" s="1"/>
  <c r="D58" i="18" s="1"/>
  <c r="D13" i="19"/>
  <c r="D63" i="19" s="1"/>
  <c r="D59" i="19" s="1"/>
  <c r="D13" i="9"/>
  <c r="D62" i="9" s="1"/>
  <c r="D58" i="9" s="1"/>
  <c r="D13" i="17"/>
  <c r="D62" i="17" s="1"/>
  <c r="D58" i="17" s="1"/>
  <c r="S64" i="17"/>
  <c r="S64" i="18"/>
  <c r="S65" i="19"/>
  <c r="S18" i="19"/>
  <c r="S18" i="9"/>
  <c r="S18" i="18"/>
  <c r="S18" i="17"/>
  <c r="S19" i="21"/>
  <c r="S64" i="9"/>
  <c r="S65" i="21"/>
  <c r="K18" i="18"/>
  <c r="K19" i="21"/>
  <c r="K64" i="18"/>
  <c r="K18" i="19"/>
  <c r="K65" i="19"/>
  <c r="K65" i="21"/>
  <c r="K18" i="9"/>
  <c r="K64" i="17"/>
  <c r="K64" i="9"/>
  <c r="K18" i="17"/>
  <c r="H20" i="8"/>
  <c r="H18" i="40" s="1"/>
  <c r="D18" i="9"/>
  <c r="D18" i="17"/>
  <c r="D18" i="19"/>
  <c r="D19" i="21"/>
  <c r="D18" i="18"/>
  <c r="I20" i="8"/>
  <c r="I18" i="40" s="1"/>
  <c r="P42" i="17"/>
  <c r="P43" i="19"/>
  <c r="P42" i="18"/>
  <c r="Q43" i="19"/>
  <c r="Q42" i="18"/>
  <c r="Q42" i="17"/>
  <c r="F42" i="18"/>
  <c r="F43" i="19"/>
  <c r="I18" i="9"/>
  <c r="I64" i="9"/>
  <c r="I19" i="21"/>
  <c r="I18" i="17"/>
  <c r="I18" i="19"/>
  <c r="I18" i="18"/>
  <c r="M64" i="17"/>
  <c r="M18" i="17"/>
  <c r="M18" i="9"/>
  <c r="M65" i="19"/>
  <c r="M64" i="9"/>
  <c r="M65" i="21"/>
  <c r="M19" i="21"/>
  <c r="M18" i="19"/>
  <c r="M64" i="18"/>
  <c r="M18" i="18"/>
  <c r="N64" i="9"/>
  <c r="N65" i="21"/>
  <c r="N18" i="9"/>
  <c r="N64" i="17"/>
  <c r="N18" i="18"/>
  <c r="N65" i="19"/>
  <c r="N18" i="17"/>
  <c r="N18" i="19"/>
  <c r="N64" i="18"/>
  <c r="N19" i="21"/>
  <c r="F32" i="17"/>
  <c r="F41" i="9"/>
  <c r="F42" i="21"/>
  <c r="F41" i="18"/>
  <c r="F42" i="19"/>
  <c r="R42" i="17"/>
  <c r="R43" i="19"/>
  <c r="R42" i="18"/>
  <c r="V42" i="18"/>
  <c r="V42" i="17"/>
  <c r="V43" i="19"/>
  <c r="F13" i="19"/>
  <c r="F63" i="19" s="1"/>
  <c r="F59" i="19" s="1"/>
  <c r="F14" i="21"/>
  <c r="G9" i="44" s="1"/>
  <c r="F13" i="18"/>
  <c r="F62" i="18" s="1"/>
  <c r="F58" i="18" s="1"/>
  <c r="F13" i="17"/>
  <c r="F62" i="17" s="1"/>
  <c r="F58" i="17" s="1"/>
  <c r="F13" i="9"/>
  <c r="F62" i="9" s="1"/>
  <c r="F58" i="9" s="1"/>
  <c r="C42" i="18"/>
  <c r="C43" i="19"/>
  <c r="W42" i="18"/>
  <c r="W42" i="17"/>
  <c r="W43" i="19"/>
  <c r="W65" i="19"/>
  <c r="W64" i="9"/>
  <c r="W18" i="18"/>
  <c r="W18" i="19"/>
  <c r="W19" i="21"/>
  <c r="W18" i="17"/>
  <c r="W65" i="21"/>
  <c r="W64" i="18"/>
  <c r="W18" i="9"/>
  <c r="W64" i="17"/>
  <c r="E14" i="19"/>
  <c r="E73" i="19" s="1"/>
  <c r="E74" i="19" s="1"/>
  <c r="E14" i="17"/>
  <c r="E72" i="17" s="1"/>
  <c r="E73" i="17" s="1"/>
  <c r="E15" i="21"/>
  <c r="E73" i="21" s="1"/>
  <c r="E74" i="21" s="1"/>
  <c r="E14" i="9"/>
  <c r="E72" i="9" s="1"/>
  <c r="E73" i="9" s="1"/>
  <c r="E14" i="18"/>
  <c r="E72" i="18" s="1"/>
  <c r="E73" i="18" s="1"/>
  <c r="F15" i="21"/>
  <c r="F73" i="21" s="1"/>
  <c r="F74" i="21" s="1"/>
  <c r="F14" i="9"/>
  <c r="F72" i="9" s="1"/>
  <c r="F73" i="9" s="1"/>
  <c r="F14" i="17"/>
  <c r="F72" i="17" s="1"/>
  <c r="F73" i="17" s="1"/>
  <c r="F14" i="18"/>
  <c r="F72" i="18" s="1"/>
  <c r="F73" i="18" s="1"/>
  <c r="F14" i="19"/>
  <c r="F73" i="19" s="1"/>
  <c r="F74" i="19" s="1"/>
  <c r="P20" i="8"/>
  <c r="I42" i="17"/>
  <c r="I43" i="19"/>
  <c r="I42" i="18"/>
  <c r="F20" i="8"/>
  <c r="F18" i="40" s="1"/>
  <c r="M43" i="19"/>
  <c r="M42" i="18"/>
  <c r="M42" i="17"/>
  <c r="C14" i="18"/>
  <c r="C15" i="21"/>
  <c r="C14" i="9"/>
  <c r="C14" i="19"/>
  <c r="C14" i="17"/>
  <c r="F18" i="17"/>
  <c r="F18" i="9"/>
  <c r="F18" i="19"/>
  <c r="F19" i="21"/>
  <c r="F18" i="18"/>
  <c r="E13" i="17"/>
  <c r="E62" i="17" s="1"/>
  <c r="E58" i="17" s="1"/>
  <c r="E13" i="19"/>
  <c r="E63" i="19" s="1"/>
  <c r="E59" i="19" s="1"/>
  <c r="E14" i="21"/>
  <c r="E13" i="9"/>
  <c r="E62" i="9" s="1"/>
  <c r="E58" i="9" s="1"/>
  <c r="E13" i="18"/>
  <c r="E62" i="18" s="1"/>
  <c r="E58" i="18" s="1"/>
  <c r="T18" i="19"/>
  <c r="T19" i="21"/>
  <c r="T18" i="17"/>
  <c r="T64" i="18"/>
  <c r="T65" i="19"/>
  <c r="T18" i="18"/>
  <c r="T65" i="21"/>
  <c r="T18" i="9"/>
  <c r="T64" i="17"/>
  <c r="T64" i="9"/>
  <c r="E18" i="18"/>
  <c r="E19" i="21"/>
  <c r="E18" i="9"/>
  <c r="E18" i="17"/>
  <c r="E18" i="19"/>
  <c r="L42" i="18"/>
  <c r="L42" i="17"/>
  <c r="L43" i="19"/>
  <c r="T43" i="19"/>
  <c r="T42" i="17"/>
  <c r="T42" i="18"/>
  <c r="C14" i="21"/>
  <c r="C13" i="18"/>
  <c r="C13" i="19"/>
  <c r="C13" i="17"/>
  <c r="C13" i="9"/>
  <c r="O65" i="21"/>
  <c r="O18" i="18"/>
  <c r="O64" i="18"/>
  <c r="O18" i="17"/>
  <c r="O19" i="21"/>
  <c r="O65" i="19"/>
  <c r="O18" i="9"/>
  <c r="O64" i="9"/>
  <c r="O18" i="19"/>
  <c r="O64" i="17"/>
  <c r="C18" i="17"/>
  <c r="C18" i="19"/>
  <c r="C18" i="18"/>
  <c r="C19" i="21"/>
  <c r="C18" i="9"/>
  <c r="J43" i="19"/>
  <c r="J42" i="18"/>
  <c r="J42" i="17"/>
  <c r="G42" i="18"/>
  <c r="G43" i="19"/>
  <c r="E41" i="17"/>
  <c r="E32" i="17" s="1"/>
  <c r="E41" i="9"/>
  <c r="E41" i="18"/>
  <c r="E32" i="18" s="1"/>
  <c r="E42" i="21"/>
  <c r="F17" i="44" s="1"/>
  <c r="E42" i="19"/>
  <c r="C41" i="9"/>
  <c r="C101" i="9" s="1"/>
  <c r="C42" i="19"/>
  <c r="C98" i="19" s="1"/>
  <c r="C42" i="21"/>
  <c r="C114" i="21" s="1"/>
  <c r="C41" i="18"/>
  <c r="C97" i="18" s="1"/>
  <c r="C41" i="17"/>
  <c r="O20" i="8"/>
  <c r="D42" i="21"/>
  <c r="D114" i="21" s="1"/>
  <c r="D42" i="19"/>
  <c r="D98" i="19" s="1"/>
  <c r="D41" i="17"/>
  <c r="D41" i="9"/>
  <c r="D101" i="9" s="1"/>
  <c r="D41" i="18"/>
  <c r="V65" i="19"/>
  <c r="V18" i="19"/>
  <c r="V65" i="21"/>
  <c r="V64" i="9"/>
  <c r="V19" i="21"/>
  <c r="V64" i="17"/>
  <c r="V18" i="18"/>
  <c r="V18" i="9"/>
  <c r="V18" i="17"/>
  <c r="V64" i="18"/>
  <c r="F101" i="9" l="1"/>
  <c r="G51" i="44"/>
  <c r="E101" i="9"/>
  <c r="F51" i="44"/>
  <c r="F33" i="21"/>
  <c r="G18" i="44" s="1"/>
  <c r="G17" i="44"/>
  <c r="E63" i="21"/>
  <c r="E59" i="21" s="1"/>
  <c r="F9" i="44"/>
  <c r="D32" i="18"/>
  <c r="D68" i="18" s="1"/>
  <c r="D97" i="18"/>
  <c r="D32" i="17"/>
  <c r="D67" i="17" s="1"/>
  <c r="D97" i="17"/>
  <c r="C32" i="17"/>
  <c r="C97" i="17"/>
  <c r="C32" i="18"/>
  <c r="F63" i="21"/>
  <c r="L18" i="40"/>
  <c r="L64" i="40"/>
  <c r="K18" i="40"/>
  <c r="K64" i="40"/>
  <c r="M18" i="40"/>
  <c r="M64" i="40"/>
  <c r="N18" i="40"/>
  <c r="N64" i="40"/>
  <c r="R18" i="40"/>
  <c r="R64" i="40"/>
  <c r="V18" i="40"/>
  <c r="V64" i="40"/>
  <c r="S18" i="40"/>
  <c r="S64" i="40"/>
  <c r="T18" i="40"/>
  <c r="T64" i="40"/>
  <c r="J18" i="21"/>
  <c r="J18" i="40"/>
  <c r="U18" i="40"/>
  <c r="U64" i="40"/>
  <c r="D17" i="17"/>
  <c r="D18" i="40"/>
  <c r="P18" i="40"/>
  <c r="P64" i="40"/>
  <c r="O18" i="40"/>
  <c r="O64" i="40"/>
  <c r="Q18" i="40"/>
  <c r="Q64" i="40"/>
  <c r="W18" i="40"/>
  <c r="W64" i="40"/>
  <c r="C17" i="19"/>
  <c r="C18" i="40"/>
  <c r="H63" i="9"/>
  <c r="K63" i="17"/>
  <c r="K64" i="21"/>
  <c r="M64" i="21"/>
  <c r="M63" i="17"/>
  <c r="N63" i="17"/>
  <c r="N64" i="21"/>
  <c r="R63" i="17"/>
  <c r="R64" i="21"/>
  <c r="L64" i="21"/>
  <c r="L63" i="17"/>
  <c r="V63" i="17"/>
  <c r="V64" i="21"/>
  <c r="S18" i="21"/>
  <c r="S63" i="17"/>
  <c r="S64" i="21"/>
  <c r="T63" i="17"/>
  <c r="T64" i="21"/>
  <c r="U63" i="17"/>
  <c r="U64" i="21"/>
  <c r="P64" i="21"/>
  <c r="P63" i="17"/>
  <c r="O63" i="17"/>
  <c r="O64" i="21"/>
  <c r="Q63" i="17"/>
  <c r="Q64" i="21"/>
  <c r="W17" i="17"/>
  <c r="W64" i="21"/>
  <c r="W63" i="17"/>
  <c r="T17" i="18"/>
  <c r="U17" i="9"/>
  <c r="G63" i="9"/>
  <c r="G58" i="9" s="1"/>
  <c r="U17" i="19"/>
  <c r="C18" i="21"/>
  <c r="C17" i="9"/>
  <c r="C17" i="17"/>
  <c r="T63" i="18"/>
  <c r="W17" i="9"/>
  <c r="T17" i="17"/>
  <c r="T17" i="9"/>
  <c r="T17" i="19"/>
  <c r="S63" i="9"/>
  <c r="S17" i="18"/>
  <c r="T18" i="21"/>
  <c r="U17" i="18"/>
  <c r="J17" i="19"/>
  <c r="S17" i="9"/>
  <c r="J17" i="9"/>
  <c r="D17" i="19"/>
  <c r="J17" i="17"/>
  <c r="D17" i="9"/>
  <c r="J17" i="18"/>
  <c r="D18" i="21"/>
  <c r="D17" i="18"/>
  <c r="S17" i="17"/>
  <c r="U17" i="17"/>
  <c r="U18" i="21"/>
  <c r="S63" i="18"/>
  <c r="T64" i="19"/>
  <c r="S64" i="19"/>
  <c r="S17" i="19"/>
  <c r="W17" i="18"/>
  <c r="W64" i="19"/>
  <c r="W18" i="21"/>
  <c r="W63" i="18"/>
  <c r="W17" i="19"/>
  <c r="W63" i="9"/>
  <c r="U63" i="18"/>
  <c r="U64" i="19"/>
  <c r="T63" i="9"/>
  <c r="D33" i="19"/>
  <c r="D69" i="19" s="1"/>
  <c r="E32" i="9"/>
  <c r="O63" i="9"/>
  <c r="F17" i="19"/>
  <c r="F17" i="17"/>
  <c r="F17" i="9"/>
  <c r="F17" i="18"/>
  <c r="F18" i="21"/>
  <c r="F33" i="19"/>
  <c r="L17" i="18"/>
  <c r="L18" i="21"/>
  <c r="L17" i="9"/>
  <c r="L63" i="18"/>
  <c r="L64" i="19"/>
  <c r="L17" i="19"/>
  <c r="L17" i="17"/>
  <c r="L63" i="9"/>
  <c r="V42" i="21"/>
  <c r="V42" i="19"/>
  <c r="V41" i="18"/>
  <c r="V41" i="17"/>
  <c r="D33" i="21"/>
  <c r="D69" i="21" s="1"/>
  <c r="F32" i="18"/>
  <c r="C84" i="19"/>
  <c r="D70" i="19"/>
  <c r="R41" i="18"/>
  <c r="R42" i="21"/>
  <c r="R41" i="17"/>
  <c r="R42" i="19"/>
  <c r="W42" i="21"/>
  <c r="W41" i="17"/>
  <c r="W41" i="18"/>
  <c r="W42" i="19"/>
  <c r="D69" i="17"/>
  <c r="C83" i="17"/>
  <c r="V63" i="18"/>
  <c r="V18" i="21"/>
  <c r="V17" i="9"/>
  <c r="V17" i="19"/>
  <c r="V64" i="19"/>
  <c r="V17" i="17"/>
  <c r="V17" i="18"/>
  <c r="V63" i="9"/>
  <c r="C33" i="21"/>
  <c r="F32" i="9"/>
  <c r="C100" i="21"/>
  <c r="D70" i="21"/>
  <c r="S41" i="17"/>
  <c r="S42" i="21"/>
  <c r="S42" i="19"/>
  <c r="S41" i="18"/>
  <c r="C33" i="19"/>
  <c r="P18" i="21"/>
  <c r="P63" i="9"/>
  <c r="P63" i="18"/>
  <c r="P17" i="19"/>
  <c r="P17" i="18"/>
  <c r="P17" i="17"/>
  <c r="P17" i="9"/>
  <c r="P64" i="19"/>
  <c r="I17" i="19"/>
  <c r="I17" i="17"/>
  <c r="I18" i="21"/>
  <c r="I17" i="9"/>
  <c r="I17" i="18"/>
  <c r="I63" i="9"/>
  <c r="C83" i="18"/>
  <c r="D69" i="18"/>
  <c r="U42" i="21"/>
  <c r="U41" i="17"/>
  <c r="U41" i="18"/>
  <c r="U42" i="19"/>
  <c r="M63" i="18"/>
  <c r="M17" i="9"/>
  <c r="M17" i="18"/>
  <c r="M17" i="19"/>
  <c r="M17" i="17"/>
  <c r="M64" i="19"/>
  <c r="M63" i="9"/>
  <c r="M18" i="21"/>
  <c r="J63" i="9"/>
  <c r="C32" i="9"/>
  <c r="E33" i="19"/>
  <c r="C87" i="9"/>
  <c r="D69" i="9"/>
  <c r="R63" i="18"/>
  <c r="R18" i="21"/>
  <c r="R17" i="19"/>
  <c r="R17" i="9"/>
  <c r="R63" i="9"/>
  <c r="R64" i="19"/>
  <c r="R17" i="18"/>
  <c r="R17" i="17"/>
  <c r="Q41" i="17"/>
  <c r="Q42" i="19"/>
  <c r="Q41" i="18"/>
  <c r="Q42" i="21"/>
  <c r="N17" i="19"/>
  <c r="N63" i="9"/>
  <c r="N17" i="18"/>
  <c r="N17" i="9"/>
  <c r="N18" i="21"/>
  <c r="N17" i="17"/>
  <c r="N64" i="19"/>
  <c r="N63" i="18"/>
  <c r="U63" i="9"/>
  <c r="Q63" i="9"/>
  <c r="Q17" i="18"/>
  <c r="Q17" i="9"/>
  <c r="Q18" i="21"/>
  <c r="Q64" i="19"/>
  <c r="Q63" i="18"/>
  <c r="Q17" i="17"/>
  <c r="Q17" i="19"/>
  <c r="D32" i="9"/>
  <c r="D68" i="9" s="1"/>
  <c r="O17" i="17"/>
  <c r="O17" i="9"/>
  <c r="O18" i="21"/>
  <c r="O17" i="19"/>
  <c r="O17" i="18"/>
  <c r="O63" i="18"/>
  <c r="O64" i="19"/>
  <c r="E33" i="21"/>
  <c r="F18" i="44" s="1"/>
  <c r="H17" i="9"/>
  <c r="H17" i="17"/>
  <c r="H17" i="18"/>
  <c r="H17" i="19"/>
  <c r="H18" i="21"/>
  <c r="G17" i="9"/>
  <c r="G17" i="19"/>
  <c r="G17" i="18"/>
  <c r="G17" i="17"/>
  <c r="G18" i="21"/>
  <c r="K17" i="18"/>
  <c r="K17" i="17"/>
  <c r="K63" i="18"/>
  <c r="K63" i="9"/>
  <c r="K17" i="19"/>
  <c r="K17" i="9"/>
  <c r="K64" i="19"/>
  <c r="K18" i="21"/>
  <c r="E18" i="21"/>
  <c r="E17" i="18"/>
  <c r="E17" i="19"/>
  <c r="E17" i="17"/>
  <c r="E17" i="9"/>
  <c r="T41" i="17"/>
  <c r="T41" i="18"/>
  <c r="T42" i="21"/>
  <c r="T42" i="19"/>
  <c r="F52" i="44" l="1"/>
  <c r="G52" i="44"/>
  <c r="D67" i="18"/>
  <c r="X17" i="44"/>
  <c r="Q17" i="44"/>
  <c r="R17" i="44"/>
  <c r="V17" i="44"/>
  <c r="S17" i="44"/>
  <c r="W17" i="44"/>
  <c r="U17" i="44"/>
  <c r="T17" i="44"/>
  <c r="J2" i="43" a="1"/>
  <c r="J2" i="43" s="1"/>
  <c r="D68" i="17"/>
  <c r="D68" i="19"/>
  <c r="D68" i="21"/>
  <c r="D67" i="9"/>
  <c r="D66" i="9" s="1"/>
  <c r="L41" i="18"/>
  <c r="L42" i="19"/>
  <c r="L41" i="17"/>
  <c r="L42" i="21"/>
  <c r="Q37" i="17"/>
  <c r="Q38" i="19"/>
  <c r="Q38" i="21"/>
  <c r="R12" i="44" s="1"/>
  <c r="Q37" i="18"/>
  <c r="K42" i="21"/>
  <c r="K41" i="17"/>
  <c r="K41" i="18"/>
  <c r="K42" i="19"/>
  <c r="J42" i="21"/>
  <c r="J41" i="18"/>
  <c r="J42" i="19"/>
  <c r="J41" i="17"/>
  <c r="W38" i="21"/>
  <c r="X12" i="44" s="1"/>
  <c r="W38" i="19"/>
  <c r="W37" i="17"/>
  <c r="W37" i="18"/>
  <c r="V37" i="17"/>
  <c r="V38" i="19"/>
  <c r="V38" i="21"/>
  <c r="W12" i="44" s="1"/>
  <c r="V37" i="18"/>
  <c r="U38" i="19"/>
  <c r="U37" i="18"/>
  <c r="U38" i="21"/>
  <c r="V12" i="44" s="1"/>
  <c r="U37" i="17"/>
  <c r="M41" i="17"/>
  <c r="M42" i="21"/>
  <c r="M41" i="18"/>
  <c r="M42" i="19"/>
  <c r="T37" i="17"/>
  <c r="T38" i="21"/>
  <c r="U12" i="44" s="1"/>
  <c r="T38" i="19"/>
  <c r="T37" i="18"/>
  <c r="R37" i="18"/>
  <c r="R38" i="19"/>
  <c r="R38" i="21"/>
  <c r="S12" i="44" s="1"/>
  <c r="R37" i="17"/>
  <c r="C14" i="22"/>
  <c r="C15" i="22"/>
  <c r="C18" i="22"/>
  <c r="C17" i="22"/>
  <c r="C16" i="22"/>
  <c r="I42" i="19"/>
  <c r="I41" i="18"/>
  <c r="I42" i="21"/>
  <c r="I41" i="17"/>
  <c r="S37" i="17"/>
  <c r="S38" i="19"/>
  <c r="S37" i="18"/>
  <c r="S38" i="21"/>
  <c r="T12" i="44" s="1"/>
  <c r="Q36" i="17"/>
  <c r="Q36" i="18"/>
  <c r="Q37" i="19"/>
  <c r="P37" i="19"/>
  <c r="H41" i="18"/>
  <c r="P38" i="21"/>
  <c r="Q12" i="44" s="1"/>
  <c r="P38" i="19"/>
  <c r="D71" i="40" l="1"/>
  <c r="D67" i="40" s="1"/>
  <c r="D58" i="40" s="1"/>
  <c r="D57" i="40" s="1"/>
  <c r="D70" i="17"/>
  <c r="D66" i="17" s="1"/>
  <c r="D57" i="17" s="1"/>
  <c r="D56" i="17" s="1"/>
  <c r="D71" i="21"/>
  <c r="D67" i="21" s="1"/>
  <c r="D58" i="21" s="1"/>
  <c r="D57" i="21" s="1"/>
  <c r="D70" i="18"/>
  <c r="D66" i="18" s="1"/>
  <c r="D57" i="18" s="1"/>
  <c r="D56" i="18" s="1"/>
  <c r="D71" i="19"/>
  <c r="D67" i="19" s="1"/>
  <c r="X32" i="44"/>
  <c r="V25" i="44"/>
  <c r="V32" i="44"/>
  <c r="W32" i="44"/>
  <c r="W25" i="44"/>
  <c r="X25" i="44"/>
  <c r="J17" i="44"/>
  <c r="K17" i="44"/>
  <c r="T32" i="44"/>
  <c r="T25" i="44"/>
  <c r="S25" i="44"/>
  <c r="S32" i="44"/>
  <c r="U32" i="44"/>
  <c r="Q25" i="44"/>
  <c r="U25" i="44"/>
  <c r="Q31" i="44"/>
  <c r="R31" i="44"/>
  <c r="R32" i="44"/>
  <c r="Q32" i="44"/>
  <c r="R25" i="44"/>
  <c r="R24" i="44"/>
  <c r="L17" i="44"/>
  <c r="N17" i="44"/>
  <c r="M17" i="44"/>
  <c r="P25" i="44"/>
  <c r="D77" i="21"/>
  <c r="D78" i="21"/>
  <c r="D76" i="9"/>
  <c r="D77" i="9"/>
  <c r="D83" i="17" l="1"/>
  <c r="D83" i="18"/>
  <c r="E69" i="18"/>
  <c r="E67" i="18"/>
  <c r="E68" i="18"/>
  <c r="D11" i="22"/>
  <c r="D15" i="22" s="1"/>
  <c r="E68" i="40"/>
  <c r="E69" i="40"/>
  <c r="D92" i="40"/>
  <c r="E70" i="40"/>
  <c r="I25" i="44"/>
  <c r="D57" i="9"/>
  <c r="D56" i="9" s="1"/>
  <c r="D58" i="19"/>
  <c r="D57" i="19" s="1"/>
  <c r="E68" i="21"/>
  <c r="E69" i="21"/>
  <c r="E70" i="21"/>
  <c r="D100" i="21"/>
  <c r="E67" i="17"/>
  <c r="E68" i="17"/>
  <c r="E69" i="17"/>
  <c r="E97" i="18" l="1"/>
  <c r="E77" i="40"/>
  <c r="E78" i="40"/>
  <c r="J25" i="44"/>
  <c r="F10" i="44"/>
  <c r="E97" i="17"/>
  <c r="D87" i="9"/>
  <c r="E68" i="9"/>
  <c r="E67" i="9"/>
  <c r="E69" i="9"/>
  <c r="D17" i="22"/>
  <c r="D16" i="22"/>
  <c r="D14" i="22"/>
  <c r="D18" i="22"/>
  <c r="E77" i="21"/>
  <c r="E78" i="21"/>
  <c r="E68" i="19"/>
  <c r="D84" i="19"/>
  <c r="E70" i="19"/>
  <c r="E69" i="19"/>
  <c r="F6" i="44" l="1"/>
  <c r="F45" i="44"/>
  <c r="K25" i="44"/>
  <c r="E76" i="9"/>
  <c r="E77" i="9"/>
  <c r="E66" i="9" l="1"/>
  <c r="E57" i="9" s="1"/>
  <c r="E56" i="9" s="1"/>
  <c r="E71" i="21"/>
  <c r="E67" i="21" s="1"/>
  <c r="E58" i="21" s="1"/>
  <c r="E57" i="21" s="1"/>
  <c r="E71" i="19"/>
  <c r="E67" i="19" s="1"/>
  <c r="E58" i="19" s="1"/>
  <c r="E57" i="19" s="1"/>
  <c r="E70" i="18"/>
  <c r="E66" i="18" s="1"/>
  <c r="E57" i="18" s="1"/>
  <c r="E56" i="18" s="1"/>
  <c r="E70" i="17"/>
  <c r="E66" i="17" s="1"/>
  <c r="E57" i="17" s="1"/>
  <c r="E56" i="17" s="1"/>
  <c r="E71" i="40"/>
  <c r="E67" i="40" s="1"/>
  <c r="E58" i="40" s="1"/>
  <c r="E57" i="40" s="1"/>
  <c r="F42" i="44"/>
  <c r="E98" i="19"/>
  <c r="F69" i="19" l="1"/>
  <c r="F41" i="44"/>
  <c r="E87" i="9"/>
  <c r="F30" i="44"/>
  <c r="F70" i="19"/>
  <c r="F68" i="19"/>
  <c r="E84" i="19"/>
  <c r="F67" i="9"/>
  <c r="F68" i="9"/>
  <c r="F69" i="9"/>
  <c r="F68" i="40"/>
  <c r="E11" i="22"/>
  <c r="F69" i="40"/>
  <c r="F70" i="40"/>
  <c r="E92" i="40"/>
  <c r="F67" i="17"/>
  <c r="F69" i="17"/>
  <c r="E83" i="17"/>
  <c r="F23" i="44"/>
  <c r="F68" i="17"/>
  <c r="F69" i="18"/>
  <c r="F67" i="18"/>
  <c r="F27" i="44"/>
  <c r="F68" i="18"/>
  <c r="E83" i="18"/>
  <c r="F5" i="44"/>
  <c r="F68" i="21"/>
  <c r="F69" i="21"/>
  <c r="F70" i="21"/>
  <c r="F90" i="21"/>
  <c r="E100" i="21"/>
  <c r="E89" i="19" l="1"/>
  <c r="E86" i="19"/>
  <c r="E85" i="19"/>
  <c r="E88" i="19"/>
  <c r="E87" i="19"/>
  <c r="E89" i="9"/>
  <c r="E92" i="9"/>
  <c r="E88" i="9"/>
  <c r="E91" i="9"/>
  <c r="E90" i="9"/>
  <c r="E85" i="17"/>
  <c r="E88" i="17"/>
  <c r="E87" i="17"/>
  <c r="E84" i="17"/>
  <c r="E86" i="17"/>
  <c r="E97" i="40"/>
  <c r="E96" i="40"/>
  <c r="E93" i="40"/>
  <c r="E95" i="40"/>
  <c r="E94" i="40"/>
  <c r="E102" i="21"/>
  <c r="E105" i="21"/>
  <c r="E101" i="21"/>
  <c r="E104" i="21"/>
  <c r="E103" i="21"/>
  <c r="E88" i="18"/>
  <c r="E87" i="18"/>
  <c r="E86" i="18"/>
  <c r="E85" i="18"/>
  <c r="E84" i="18"/>
  <c r="F76" i="9"/>
  <c r="G45" i="44"/>
  <c r="F70" i="17"/>
  <c r="F66" i="17" s="1"/>
  <c r="F57" i="17" s="1"/>
  <c r="F56" i="17" s="1"/>
  <c r="F77" i="9"/>
  <c r="G10" i="44"/>
  <c r="E15" i="22"/>
  <c r="E16" i="22"/>
  <c r="E14" i="22"/>
  <c r="E17" i="22"/>
  <c r="E18" i="22"/>
  <c r="F77" i="40"/>
  <c r="F78" i="40"/>
  <c r="G42" i="44" l="1"/>
  <c r="F71" i="40"/>
  <c r="F67" i="40" s="1"/>
  <c r="F58" i="40" s="1"/>
  <c r="F57" i="40" s="1"/>
  <c r="F71" i="21"/>
  <c r="F67" i="21" s="1"/>
  <c r="F71" i="19"/>
  <c r="F67" i="19" s="1"/>
  <c r="F58" i="19" s="1"/>
  <c r="F57" i="19" s="1"/>
  <c r="F70" i="18"/>
  <c r="F66" i="18" s="1"/>
  <c r="F57" i="18" s="1"/>
  <c r="F56" i="18" s="1"/>
  <c r="F66" i="9"/>
  <c r="F57" i="9" s="1"/>
  <c r="F56" i="9" s="1"/>
  <c r="G23" i="44"/>
  <c r="G69" i="17"/>
  <c r="F83" i="17"/>
  <c r="F109" i="21"/>
  <c r="G69" i="18" l="1"/>
  <c r="G30" i="44"/>
  <c r="G68" i="40"/>
  <c r="F11" i="22"/>
  <c r="G70" i="40"/>
  <c r="F92" i="40"/>
  <c r="G69" i="40"/>
  <c r="G70" i="19"/>
  <c r="G41" i="44"/>
  <c r="G27" i="44"/>
  <c r="E93" i="9"/>
  <c r="F83" i="18"/>
  <c r="G67" i="9"/>
  <c r="G69" i="9"/>
  <c r="G68" i="9"/>
  <c r="F87" i="9"/>
  <c r="F84" i="19"/>
  <c r="F93" i="17"/>
  <c r="F94" i="17" s="1"/>
  <c r="F92" i="17" s="1"/>
  <c r="F97" i="17" s="1"/>
  <c r="F61" i="44"/>
  <c r="F114" i="21"/>
  <c r="F79" i="17"/>
  <c r="F87" i="17" s="1"/>
  <c r="F94" i="19"/>
  <c r="F95" i="19" s="1"/>
  <c r="F93" i="19" s="1"/>
  <c r="F98" i="19" s="1"/>
  <c r="F80" i="19" l="1"/>
  <c r="F89" i="19" s="1"/>
  <c r="F87" i="40"/>
  <c r="F96" i="40" s="1"/>
  <c r="F79" i="18"/>
  <c r="F88" i="18" s="1"/>
  <c r="G77" i="40"/>
  <c r="G78" i="40"/>
  <c r="E106" i="21"/>
  <c r="E90" i="19"/>
  <c r="E98" i="40"/>
  <c r="E89" i="18"/>
  <c r="E89" i="17"/>
  <c r="G71" i="40"/>
  <c r="G67" i="40" s="1"/>
  <c r="G58" i="40" s="1"/>
  <c r="G57" i="40" s="1"/>
  <c r="E94" i="9"/>
  <c r="G77" i="9"/>
  <c r="F97" i="9"/>
  <c r="H45" i="44"/>
  <c r="G76" i="9"/>
  <c r="F110" i="21"/>
  <c r="F111" i="21" s="1"/>
  <c r="F58" i="44"/>
  <c r="F60" i="44"/>
  <c r="F59" i="44"/>
  <c r="F88" i="17"/>
  <c r="F97" i="40"/>
  <c r="F102" i="40"/>
  <c r="F93" i="18"/>
  <c r="F94" i="18" s="1"/>
  <c r="F92" i="18" s="1"/>
  <c r="F97" i="18" s="1"/>
  <c r="F62" i="44"/>
  <c r="F83" i="9"/>
  <c r="F88" i="19" l="1"/>
  <c r="F87" i="18"/>
  <c r="E107" i="21"/>
  <c r="E91" i="19"/>
  <c r="F81" i="19" s="1"/>
  <c r="F87" i="19" s="1"/>
  <c r="E99" i="40"/>
  <c r="F88" i="40" s="1"/>
  <c r="F95" i="40" s="1"/>
  <c r="E90" i="18"/>
  <c r="F80" i="18" s="1"/>
  <c r="F86" i="18" s="1"/>
  <c r="E90" i="17"/>
  <c r="F80" i="17" s="1"/>
  <c r="F85" i="17" s="1"/>
  <c r="G71" i="19"/>
  <c r="G70" i="18"/>
  <c r="G70" i="17"/>
  <c r="G71" i="21"/>
  <c r="G11" i="22"/>
  <c r="H42" i="44"/>
  <c r="H70" i="40"/>
  <c r="F103" i="40"/>
  <c r="G66" i="9"/>
  <c r="G57" i="9" s="1"/>
  <c r="G56" i="9" s="1"/>
  <c r="G92" i="40"/>
  <c r="F91" i="9"/>
  <c r="F84" i="9"/>
  <c r="F89" i="9" s="1"/>
  <c r="F92" i="9"/>
  <c r="F94" i="40" l="1"/>
  <c r="F85" i="18"/>
  <c r="F84" i="18" s="1"/>
  <c r="F90" i="18" s="1"/>
  <c r="F86" i="19"/>
  <c r="G87" i="40"/>
  <c r="G97" i="40" s="1"/>
  <c r="F86" i="17"/>
  <c r="F84" i="17" s="1"/>
  <c r="G93" i="17" s="1"/>
  <c r="G94" i="17" s="1"/>
  <c r="G92" i="17" s="1"/>
  <c r="F93" i="40"/>
  <c r="F99" i="40" s="1"/>
  <c r="F85" i="19"/>
  <c r="F91" i="19" s="1"/>
  <c r="G87" i="9"/>
  <c r="H69" i="9"/>
  <c r="H41" i="44"/>
  <c r="F90" i="9"/>
  <c r="G96" i="40" l="1"/>
  <c r="G93" i="18"/>
  <c r="G94" i="18" s="1"/>
  <c r="G92" i="18" s="1"/>
  <c r="G102" i="40"/>
  <c r="G103" i="40" s="1"/>
  <c r="F98" i="40"/>
  <c r="G88" i="40" s="1"/>
  <c r="F90" i="19"/>
  <c r="G94" i="19"/>
  <c r="G95" i="19" s="1"/>
  <c r="G93" i="19" s="1"/>
  <c r="F89" i="18"/>
  <c r="F88" i="9"/>
  <c r="G97" i="9" s="1"/>
  <c r="F90" i="17"/>
  <c r="F89" i="17"/>
  <c r="G109" i="21"/>
  <c r="F94" i="9" l="1"/>
  <c r="G94" i="40"/>
  <c r="G95" i="40"/>
  <c r="F93" i="9"/>
  <c r="G83" i="9"/>
  <c r="G91" i="9" s="1"/>
  <c r="G93" i="40" l="1"/>
  <c r="G92" i="9"/>
  <c r="G84" i="9"/>
  <c r="G90" i="9" s="1"/>
  <c r="E109" i="21"/>
  <c r="E114" i="21" s="1"/>
  <c r="G98" i="40" l="1"/>
  <c r="G99" i="40"/>
  <c r="G89" i="9"/>
  <c r="G88" i="9" l="1"/>
  <c r="H97" i="9" s="1"/>
  <c r="F78" i="21"/>
  <c r="F59" i="21"/>
  <c r="F77" i="21" s="1"/>
  <c r="G12" i="21" s="1"/>
  <c r="G52" i="21" s="1"/>
  <c r="H102" i="40" l="1"/>
  <c r="G50" i="21"/>
  <c r="G23" i="21" s="1"/>
  <c r="G87" i="21"/>
  <c r="F88" i="21"/>
  <c r="G6" i="44"/>
  <c r="G93" i="9"/>
  <c r="G94" i="9"/>
  <c r="F58" i="21"/>
  <c r="F57" i="21" s="1"/>
  <c r="H103" i="40" l="1"/>
  <c r="G79" i="21"/>
  <c r="G5" i="44"/>
  <c r="H7" i="44"/>
  <c r="G13" i="21"/>
  <c r="G90" i="21"/>
  <c r="G91" i="21" s="1"/>
  <c r="G19" i="20"/>
  <c r="F15" i="22"/>
  <c r="F86" i="21"/>
  <c r="F100" i="21"/>
  <c r="F85" i="21"/>
  <c r="G70" i="21"/>
  <c r="F84" i="21"/>
  <c r="H101" i="40" l="1"/>
  <c r="H36" i="40" s="1"/>
  <c r="F14" i="22"/>
  <c r="F17" i="22"/>
  <c r="F18" i="22"/>
  <c r="F16" i="22"/>
  <c r="F95" i="21"/>
  <c r="F96" i="21" s="1"/>
  <c r="G60" i="21"/>
  <c r="G20" i="20"/>
  <c r="G59" i="18" l="1"/>
  <c r="F102" i="21"/>
  <c r="F103" i="21"/>
  <c r="F105" i="21"/>
  <c r="F104" i="21"/>
  <c r="G60" i="19"/>
  <c r="G59" i="17"/>
  <c r="G24" i="21"/>
  <c r="G61" i="44" l="1"/>
  <c r="H16" i="44"/>
  <c r="G114" i="21"/>
  <c r="G29" i="18"/>
  <c r="H50" i="18" s="1"/>
  <c r="H22" i="18" s="1"/>
  <c r="F101" i="21"/>
  <c r="G30" i="21"/>
  <c r="H51" i="21" s="1"/>
  <c r="G23" i="19"/>
  <c r="G30" i="19"/>
  <c r="H51" i="19" s="1"/>
  <c r="H22" i="19" s="1"/>
  <c r="G33" i="21"/>
  <c r="G23" i="17"/>
  <c r="G97" i="17" s="1"/>
  <c r="G29" i="17"/>
  <c r="H50" i="17" s="1"/>
  <c r="H22" i="17" s="1"/>
  <c r="G62" i="21" l="1"/>
  <c r="G59" i="44"/>
  <c r="G58" i="44"/>
  <c r="G60" i="44"/>
  <c r="G98" i="19"/>
  <c r="H33" i="44"/>
  <c r="G68" i="21"/>
  <c r="H10" i="44" s="1"/>
  <c r="H18" i="44"/>
  <c r="G59" i="21"/>
  <c r="H8" i="44"/>
  <c r="G110" i="21"/>
  <c r="G111" i="21" s="1"/>
  <c r="G23" i="18"/>
  <c r="G97" i="18" s="1"/>
  <c r="F107" i="21"/>
  <c r="F106" i="21"/>
  <c r="G62" i="44" s="1"/>
  <c r="G69" i="21"/>
  <c r="G61" i="18"/>
  <c r="G58" i="18" s="1"/>
  <c r="G32" i="17"/>
  <c r="G67" i="17" s="1"/>
  <c r="G61" i="17"/>
  <c r="G58" i="17" s="1"/>
  <c r="G62" i="19"/>
  <c r="G59" i="19" s="1"/>
  <c r="G33" i="19"/>
  <c r="G68" i="19" s="1"/>
  <c r="G77" i="21" l="1"/>
  <c r="G78" i="21"/>
  <c r="G67" i="21"/>
  <c r="G58" i="21" s="1"/>
  <c r="G57" i="21" s="1"/>
  <c r="G32" i="18"/>
  <c r="G67" i="18" s="1"/>
  <c r="G68" i="17"/>
  <c r="G66" i="17" s="1"/>
  <c r="G57" i="17" s="1"/>
  <c r="G56" i="17" s="1"/>
  <c r="G69" i="19"/>
  <c r="G67" i="19" s="1"/>
  <c r="G58" i="19" s="1"/>
  <c r="G57" i="19" s="1"/>
  <c r="H30" i="44" l="1"/>
  <c r="H23" i="44"/>
  <c r="G88" i="21"/>
  <c r="H12" i="21"/>
  <c r="H52" i="21" s="1"/>
  <c r="H87" i="21"/>
  <c r="H6" i="44"/>
  <c r="G21" i="20"/>
  <c r="G22" i="20"/>
  <c r="H5" i="44"/>
  <c r="H70" i="21"/>
  <c r="G23" i="20"/>
  <c r="G100" i="21"/>
  <c r="G85" i="21"/>
  <c r="G84" i="21"/>
  <c r="G86" i="21"/>
  <c r="G68" i="18"/>
  <c r="G66" i="18" s="1"/>
  <c r="G57" i="18" s="1"/>
  <c r="G56" i="18" s="1"/>
  <c r="G83" i="17"/>
  <c r="H69" i="17"/>
  <c r="G84" i="19"/>
  <c r="H70" i="19"/>
  <c r="G16" i="22"/>
  <c r="G17" i="22"/>
  <c r="G14" i="22"/>
  <c r="G15" i="22"/>
  <c r="G18" i="22"/>
  <c r="H50" i="21" l="1"/>
  <c r="H79" i="21"/>
  <c r="H13" i="21"/>
  <c r="I7" i="44"/>
  <c r="G95" i="21"/>
  <c r="G96" i="21" s="1"/>
  <c r="H60" i="21"/>
  <c r="H19" i="20"/>
  <c r="G83" i="18"/>
  <c r="H27" i="44"/>
  <c r="H69" i="18"/>
  <c r="H59" i="18"/>
  <c r="G80" i="19"/>
  <c r="G81" i="19" s="1"/>
  <c r="H59" i="17"/>
  <c r="G79" i="17"/>
  <c r="G80" i="17" s="1"/>
  <c r="H60" i="19"/>
  <c r="H23" i="21" l="1"/>
  <c r="G79" i="18"/>
  <c r="G80" i="18" s="1"/>
  <c r="H20" i="20"/>
  <c r="G104" i="21"/>
  <c r="G102" i="21"/>
  <c r="G105" i="21"/>
  <c r="G103" i="21"/>
  <c r="G87" i="19"/>
  <c r="G86" i="19"/>
  <c r="G89" i="19"/>
  <c r="G88" i="19"/>
  <c r="G86" i="17"/>
  <c r="G85" i="17"/>
  <c r="G88" i="17"/>
  <c r="G87" i="17"/>
  <c r="G86" i="18" l="1"/>
  <c r="G88" i="18"/>
  <c r="G85" i="18"/>
  <c r="G87" i="18"/>
  <c r="H61" i="44"/>
  <c r="G101" i="21"/>
  <c r="G85" i="19"/>
  <c r="G84" i="17"/>
  <c r="H29" i="17"/>
  <c r="I50" i="17" s="1"/>
  <c r="I22" i="17" s="1"/>
  <c r="H23" i="17"/>
  <c r="H23" i="19"/>
  <c r="H30" i="19"/>
  <c r="I51" i="19" s="1"/>
  <c r="I22" i="19" s="1"/>
  <c r="H23" i="18"/>
  <c r="H29" i="18"/>
  <c r="I50" i="18" s="1"/>
  <c r="I22" i="18" s="1"/>
  <c r="G84" i="18" l="1"/>
  <c r="G90" i="17"/>
  <c r="H93" i="17"/>
  <c r="G90" i="19"/>
  <c r="H94" i="19"/>
  <c r="H93" i="18"/>
  <c r="H94" i="18" s="1"/>
  <c r="H92" i="18" s="1"/>
  <c r="H110" i="21"/>
  <c r="G90" i="18"/>
  <c r="H59" i="44"/>
  <c r="H58" i="44"/>
  <c r="G107" i="21"/>
  <c r="G106" i="21"/>
  <c r="H62" i="44" s="1"/>
  <c r="H60" i="44"/>
  <c r="I33" i="44"/>
  <c r="G89" i="18"/>
  <c r="G89" i="17"/>
  <c r="G91" i="19"/>
  <c r="H32" i="18"/>
  <c r="H32" i="17"/>
  <c r="H61" i="18"/>
  <c r="H58" i="18" s="1"/>
  <c r="H62" i="19"/>
  <c r="H59" i="19" s="1"/>
  <c r="H33" i="19"/>
  <c r="H61" i="17"/>
  <c r="H58" i="17" s="1"/>
  <c r="H35" i="18" l="1"/>
  <c r="H67" i="18" s="1"/>
  <c r="H97" i="18"/>
  <c r="H83" i="18" s="1"/>
  <c r="H68" i="18"/>
  <c r="H69" i="19"/>
  <c r="H68" i="17"/>
  <c r="H66" i="18" l="1"/>
  <c r="H57" i="18" s="1"/>
  <c r="H56" i="18" s="1"/>
  <c r="H79" i="18"/>
  <c r="H80" i="18" s="1"/>
  <c r="I69" i="18" l="1"/>
  <c r="I27" i="44"/>
  <c r="I60" i="19"/>
  <c r="H85" i="18"/>
  <c r="H87" i="18"/>
  <c r="H88" i="18"/>
  <c r="H86" i="18"/>
  <c r="I59" i="18" l="1"/>
  <c r="I59" i="17"/>
  <c r="H84" i="18"/>
  <c r="H89" i="18" l="1"/>
  <c r="H90" i="18"/>
  <c r="J59" i="18" l="1"/>
  <c r="J60" i="19"/>
  <c r="J59" i="17"/>
  <c r="K59" i="17" l="1"/>
  <c r="K59" i="18"/>
  <c r="K52" i="19" l="1"/>
  <c r="K60" i="19"/>
  <c r="L59" i="18" l="1"/>
  <c r="L59" i="17"/>
  <c r="L52" i="19"/>
  <c r="L60" i="19"/>
  <c r="N12" i="19" l="1"/>
  <c r="N50" i="19" l="1"/>
  <c r="N52" i="19"/>
  <c r="M60" i="19"/>
  <c r="N12" i="17"/>
  <c r="M59" i="17"/>
  <c r="M52" i="19"/>
  <c r="M59" i="18"/>
  <c r="O12" i="19"/>
  <c r="O52" i="19" s="1"/>
  <c r="N60" i="19"/>
  <c r="N49" i="17" l="1"/>
  <c r="N51" i="17"/>
  <c r="O50" i="19"/>
  <c r="P51" i="19" s="1"/>
  <c r="N59" i="17"/>
  <c r="O12" i="17"/>
  <c r="O60" i="19"/>
  <c r="P12" i="19"/>
  <c r="P52" i="19" s="1"/>
  <c r="N59" i="18"/>
  <c r="O59" i="17" l="1"/>
  <c r="O51" i="17"/>
  <c r="P50" i="19"/>
  <c r="Q51" i="19" s="1"/>
  <c r="O49" i="17"/>
  <c r="P50" i="17" s="1"/>
  <c r="P12" i="17"/>
  <c r="Q12" i="19"/>
  <c r="Q52" i="19" s="1"/>
  <c r="P60" i="19"/>
  <c r="Q12" i="17" l="1"/>
  <c r="Q59" i="17" s="1"/>
  <c r="P51" i="17"/>
  <c r="P49" i="17"/>
  <c r="Q50" i="17" s="1"/>
  <c r="Q50" i="19"/>
  <c r="R51" i="19" s="1"/>
  <c r="P59" i="17"/>
  <c r="Q60" i="19"/>
  <c r="R12" i="19"/>
  <c r="S12" i="19" l="1"/>
  <c r="S52" i="19" s="1"/>
  <c r="R52" i="19"/>
  <c r="R12" i="17"/>
  <c r="Q51" i="17"/>
  <c r="Q49" i="17"/>
  <c r="R50" i="17" s="1"/>
  <c r="R50" i="19"/>
  <c r="S51" i="19" s="1"/>
  <c r="R60" i="19"/>
  <c r="T12" i="19"/>
  <c r="T52" i="19" s="1"/>
  <c r="S60" i="19"/>
  <c r="S50" i="19" l="1"/>
  <c r="T51" i="19" s="1"/>
  <c r="R49" i="17"/>
  <c r="S50" i="17" s="1"/>
  <c r="R51" i="17"/>
  <c r="S12" i="17"/>
  <c r="R59" i="17"/>
  <c r="T60" i="19"/>
  <c r="U12" i="19"/>
  <c r="U52" i="19" s="1"/>
  <c r="S49" i="17" l="1"/>
  <c r="T50" i="17" s="1"/>
  <c r="T50" i="19"/>
  <c r="U51" i="19" s="1"/>
  <c r="S51" i="17"/>
  <c r="S59" i="17"/>
  <c r="T12" i="17"/>
  <c r="U60" i="19"/>
  <c r="V12" i="19"/>
  <c r="V52" i="19" s="1"/>
  <c r="O59" i="18"/>
  <c r="U50" i="19" l="1"/>
  <c r="V51" i="19" s="1"/>
  <c r="T51" i="17"/>
  <c r="T59" i="17"/>
  <c r="T49" i="17"/>
  <c r="U50" i="17" s="1"/>
  <c r="U12" i="17"/>
  <c r="V50" i="19"/>
  <c r="W51" i="19" s="1"/>
  <c r="V60" i="19"/>
  <c r="W12" i="19"/>
  <c r="W52" i="19" s="1"/>
  <c r="U51" i="17" l="1"/>
  <c r="V12" i="17"/>
  <c r="U59" i="17"/>
  <c r="U49" i="17"/>
  <c r="V50" i="17" s="1"/>
  <c r="W50" i="19"/>
  <c r="W60" i="19"/>
  <c r="V51" i="17" l="1"/>
  <c r="W12" i="17"/>
  <c r="V59" i="17"/>
  <c r="V49" i="17"/>
  <c r="W50" i="17" s="1"/>
  <c r="W51" i="17" l="1"/>
  <c r="W49" i="17"/>
  <c r="W59" i="17"/>
  <c r="P59" i="18" l="1"/>
  <c r="Q59" i="18" l="1"/>
  <c r="R59" i="18" l="1"/>
  <c r="S59" i="18" l="1"/>
  <c r="T59" i="18" l="1"/>
  <c r="U59" i="18" l="1"/>
  <c r="V59" i="18" l="1"/>
  <c r="W59" i="18" l="1"/>
  <c r="H95" i="19" l="1"/>
  <c r="H93" i="19" s="1"/>
  <c r="H98" i="19" s="1"/>
  <c r="H84" i="19" s="1"/>
  <c r="H36" i="19" l="1"/>
  <c r="H68" i="19" s="1"/>
  <c r="H67" i="19" s="1"/>
  <c r="H58" i="19" s="1"/>
  <c r="H57" i="19" s="1"/>
  <c r="I30" i="44" l="1"/>
  <c r="H80" i="19"/>
  <c r="H81" i="19" s="1"/>
  <c r="I70" i="19"/>
  <c r="H87" i="19" l="1"/>
  <c r="H88" i="19"/>
  <c r="H89" i="19"/>
  <c r="H86" i="19"/>
  <c r="H85" i="19" l="1"/>
  <c r="I94" i="19" s="1"/>
  <c r="I95" i="19" s="1"/>
  <c r="I93" i="19" s="1"/>
  <c r="I36" i="19" l="1"/>
  <c r="H90" i="19"/>
  <c r="H91" i="19"/>
  <c r="I46" i="44" l="1"/>
  <c r="I36" i="9"/>
  <c r="H96" i="9" l="1"/>
  <c r="I37" i="40"/>
  <c r="J36" i="9"/>
  <c r="I37" i="21"/>
  <c r="J11" i="44" s="1"/>
  <c r="J46" i="44"/>
  <c r="J37" i="40" l="1"/>
  <c r="K36" i="9"/>
  <c r="J37" i="21"/>
  <c r="K11" i="44" s="1"/>
  <c r="I48" i="44"/>
  <c r="K46" i="44"/>
  <c r="K37" i="40" l="1"/>
  <c r="L36" i="9"/>
  <c r="K37" i="21"/>
  <c r="L11" i="44" s="1"/>
  <c r="L46" i="44"/>
  <c r="L37" i="40" l="1"/>
  <c r="M36" i="9"/>
  <c r="L37" i="21"/>
  <c r="M11" i="44" s="1"/>
  <c r="M46" i="44"/>
  <c r="M37" i="40" l="1"/>
  <c r="N36" i="9"/>
  <c r="M37" i="21"/>
  <c r="N11" i="44" s="1"/>
  <c r="N46" i="44"/>
  <c r="N37" i="40" l="1"/>
  <c r="O46" i="44"/>
  <c r="O36" i="9"/>
  <c r="N37" i="21"/>
  <c r="O11" i="44" s="1"/>
  <c r="O37" i="40" l="1"/>
  <c r="O37" i="21"/>
  <c r="P46" i="44"/>
  <c r="S37" i="19" l="1"/>
  <c r="S36" i="17"/>
  <c r="S37" i="40"/>
  <c r="S37" i="21"/>
  <c r="T11" i="44" s="1"/>
  <c r="T46" i="44"/>
  <c r="S36" i="18"/>
  <c r="R37" i="19"/>
  <c r="R37" i="21"/>
  <c r="S11" i="44" s="1"/>
  <c r="R37" i="40"/>
  <c r="R36" i="17"/>
  <c r="R36" i="18"/>
  <c r="S46" i="44"/>
  <c r="V37" i="19"/>
  <c r="V37" i="21"/>
  <c r="W11" i="44" s="1"/>
  <c r="V36" i="17"/>
  <c r="V37" i="40"/>
  <c r="V36" i="18"/>
  <c r="W46" i="44"/>
  <c r="U36" i="17"/>
  <c r="V46" i="44"/>
  <c r="U37" i="40"/>
  <c r="U37" i="21"/>
  <c r="V11" i="44" s="1"/>
  <c r="U36" i="18"/>
  <c r="U37" i="19"/>
  <c r="W37" i="19"/>
  <c r="W37" i="40"/>
  <c r="W36" i="17"/>
  <c r="X46" i="44"/>
  <c r="W37" i="21"/>
  <c r="X11" i="44" s="1"/>
  <c r="W36" i="18"/>
  <c r="T37" i="19"/>
  <c r="T37" i="21"/>
  <c r="U11" i="44" s="1"/>
  <c r="U46" i="44"/>
  <c r="T36" i="18"/>
  <c r="T37" i="40"/>
  <c r="T36" i="17"/>
  <c r="P11" i="44"/>
  <c r="W24" i="44" l="1"/>
  <c r="W31" i="44"/>
  <c r="X24" i="44"/>
  <c r="S24" i="44"/>
  <c r="I11" i="44"/>
  <c r="H111" i="21"/>
  <c r="H109" i="21" s="1"/>
  <c r="X31" i="44"/>
  <c r="V31" i="44"/>
  <c r="U24" i="44"/>
  <c r="S31" i="44"/>
  <c r="V24" i="44"/>
  <c r="U31" i="44"/>
  <c r="T24" i="44"/>
  <c r="T31" i="44"/>
  <c r="H36" i="21" l="1"/>
  <c r="I13" i="44" l="1"/>
  <c r="H90" i="21"/>
  <c r="H91" i="21" s="1"/>
  <c r="I36" i="17" l="1"/>
  <c r="P24" i="44"/>
  <c r="M36" i="17"/>
  <c r="I24" i="44"/>
  <c r="J36" i="17" l="1"/>
  <c r="J24" i="44"/>
  <c r="N24" i="44"/>
  <c r="L36" i="17"/>
  <c r="H94" i="17"/>
  <c r="H92" i="17" s="1"/>
  <c r="K24" i="44" l="1"/>
  <c r="M24" i="44"/>
  <c r="H97" i="17"/>
  <c r="H83" i="17" s="1"/>
  <c r="H35" i="17"/>
  <c r="H67" i="17" s="1"/>
  <c r="H66" i="17" s="1"/>
  <c r="H57" i="17" s="1"/>
  <c r="H56" i="17" s="1"/>
  <c r="I69" i="17" l="1"/>
  <c r="I23" i="44"/>
  <c r="H79" i="17"/>
  <c r="H80" i="17" s="1"/>
  <c r="H88" i="17" l="1"/>
  <c r="H86" i="17"/>
  <c r="H87" i="17"/>
  <c r="H85" i="17"/>
  <c r="H84" i="17" l="1"/>
  <c r="H90" i="17" s="1"/>
  <c r="H89" i="17" l="1"/>
  <c r="I93" i="17"/>
  <c r="I94" i="17" s="1"/>
  <c r="I92" i="17" s="1"/>
  <c r="I35" i="17" l="1"/>
  <c r="I93" i="18" l="1"/>
  <c r="I94" i="18" s="1"/>
  <c r="I92" i="18" s="1"/>
  <c r="I35" i="18" l="1"/>
  <c r="T29" i="9" l="1"/>
  <c r="T61" i="9" s="1"/>
  <c r="W29" i="9"/>
  <c r="W61" i="9" s="1"/>
  <c r="U32" i="9"/>
  <c r="V50" i="44"/>
  <c r="X50" i="44"/>
  <c r="T32" i="9"/>
  <c r="U50" i="44"/>
  <c r="N32" i="9"/>
  <c r="K29" i="9"/>
  <c r="L29" i="9"/>
  <c r="J29" i="9"/>
  <c r="M50" i="44"/>
  <c r="P32" i="9"/>
  <c r="Q50" i="44"/>
  <c r="W50" i="44"/>
  <c r="O50" i="44"/>
  <c r="U29" i="9"/>
  <c r="U61" i="9" s="1"/>
  <c r="I29" i="9"/>
  <c r="S29" i="9"/>
  <c r="S61" i="9" s="1"/>
  <c r="Q29" i="9"/>
  <c r="Q61" i="9" s="1"/>
  <c r="O29" i="9"/>
  <c r="O61" i="9" s="1"/>
  <c r="M32" i="9"/>
  <c r="S32" i="9"/>
  <c r="R32" i="9"/>
  <c r="S50" i="44"/>
  <c r="V29" i="9"/>
  <c r="V61" i="9" s="1"/>
  <c r="R29" i="9"/>
  <c r="R61" i="9" s="1"/>
  <c r="P29" i="9"/>
  <c r="P61" i="9" s="1"/>
  <c r="N29" i="9"/>
  <c r="N61" i="9" s="1"/>
  <c r="H30" i="21"/>
  <c r="I51" i="21" s="1"/>
  <c r="M29" i="9"/>
  <c r="M61" i="9" s="1"/>
  <c r="J50" i="44"/>
  <c r="I32" i="9"/>
  <c r="K32" i="9"/>
  <c r="L50" i="44"/>
  <c r="P50" i="44"/>
  <c r="H101" i="9"/>
  <c r="R50" i="44"/>
  <c r="Q32" i="9"/>
  <c r="N58" i="9" l="1"/>
  <c r="Q52" i="44"/>
  <c r="W44" i="44"/>
  <c r="S52" i="44"/>
  <c r="O52" i="44"/>
  <c r="T52" i="44"/>
  <c r="N52" i="44"/>
  <c r="U52" i="44"/>
  <c r="V52" i="44"/>
  <c r="M58" i="9"/>
  <c r="L52" i="44"/>
  <c r="R52" i="44"/>
  <c r="J52" i="44"/>
  <c r="U58" i="9"/>
  <c r="J61" i="9"/>
  <c r="L61" i="9"/>
  <c r="K61" i="9"/>
  <c r="I61" i="9"/>
  <c r="H61" i="9"/>
  <c r="H58" i="9" s="1"/>
  <c r="V32" i="9"/>
  <c r="O32" i="9"/>
  <c r="W32" i="9"/>
  <c r="T50" i="44"/>
  <c r="O58" i="9"/>
  <c r="P44" i="44"/>
  <c r="S44" i="44"/>
  <c r="R58" i="9"/>
  <c r="S58" i="9"/>
  <c r="T44" i="44"/>
  <c r="Q44" i="44"/>
  <c r="P58" i="9"/>
  <c r="H62" i="21"/>
  <c r="O44" i="44"/>
  <c r="V58" i="9"/>
  <c r="N50" i="44"/>
  <c r="H24" i="21"/>
  <c r="W58" i="9"/>
  <c r="X44" i="44"/>
  <c r="N44" i="44"/>
  <c r="J32" i="9"/>
  <c r="K50" i="44"/>
  <c r="V44" i="44"/>
  <c r="T58" i="9"/>
  <c r="U44" i="44"/>
  <c r="R44" i="44"/>
  <c r="Q58" i="9"/>
  <c r="I50" i="44"/>
  <c r="L32" i="9"/>
  <c r="L44" i="44" l="1"/>
  <c r="K44" i="44"/>
  <c r="J58" i="9"/>
  <c r="K58" i="9"/>
  <c r="X52" i="44"/>
  <c r="P52" i="44"/>
  <c r="W52" i="44"/>
  <c r="K52" i="44"/>
  <c r="M52" i="44"/>
  <c r="L58" i="9"/>
  <c r="M44" i="44"/>
  <c r="I44" i="44"/>
  <c r="I23" i="18"/>
  <c r="I29" i="18"/>
  <c r="J50" i="18" s="1"/>
  <c r="J22" i="18" s="1"/>
  <c r="I29" i="17"/>
  <c r="J50" i="17" s="1"/>
  <c r="I23" i="17"/>
  <c r="I23" i="19"/>
  <c r="I30" i="19"/>
  <c r="J51" i="19" s="1"/>
  <c r="J22" i="19" s="1"/>
  <c r="H24" i="40"/>
  <c r="H30" i="40"/>
  <c r="I51" i="40" s="1"/>
  <c r="I23" i="40" s="1"/>
  <c r="I58" i="9"/>
  <c r="J44" i="44"/>
  <c r="H87" i="9"/>
  <c r="I52" i="44"/>
  <c r="H67" i="9"/>
  <c r="I8" i="44"/>
  <c r="H59" i="21"/>
  <c r="H33" i="21"/>
  <c r="H69" i="21" s="1"/>
  <c r="I16" i="44"/>
  <c r="H114" i="21"/>
  <c r="H100" i="21" s="1"/>
  <c r="H68" i="9"/>
  <c r="H76" i="9" l="1"/>
  <c r="H33" i="40"/>
  <c r="H106" i="40"/>
  <c r="I62" i="19"/>
  <c r="I59" i="19" s="1"/>
  <c r="J33" i="44"/>
  <c r="I33" i="19"/>
  <c r="I68" i="19" s="1"/>
  <c r="I98" i="19"/>
  <c r="I32" i="17"/>
  <c r="I67" i="17" s="1"/>
  <c r="I97" i="17"/>
  <c r="H83" i="9"/>
  <c r="H92" i="9" s="1"/>
  <c r="H62" i="40"/>
  <c r="J22" i="17"/>
  <c r="I61" i="17"/>
  <c r="I58" i="17" s="1"/>
  <c r="I61" i="18"/>
  <c r="I58" i="18" s="1"/>
  <c r="I32" i="18"/>
  <c r="I97" i="18"/>
  <c r="H66" i="9"/>
  <c r="H57" i="9" s="1"/>
  <c r="H56" i="9" s="1"/>
  <c r="I45" i="44"/>
  <c r="H77" i="9"/>
  <c r="I58" i="44"/>
  <c r="H95" i="21"/>
  <c r="H96" i="21" s="1"/>
  <c r="H68" i="21"/>
  <c r="I18" i="44"/>
  <c r="I84" i="19" l="1"/>
  <c r="I80" i="19" s="1"/>
  <c r="I81" i="19" s="1"/>
  <c r="I86" i="19" s="1"/>
  <c r="H68" i="40"/>
  <c r="I42" i="44"/>
  <c r="H69" i="40"/>
  <c r="H91" i="9"/>
  <c r="I69" i="19"/>
  <c r="I67" i="19" s="1"/>
  <c r="I58" i="19" s="1"/>
  <c r="I57" i="19" s="1"/>
  <c r="J23" i="18"/>
  <c r="J32" i="18" s="1"/>
  <c r="J29" i="18"/>
  <c r="K50" i="18" s="1"/>
  <c r="K22" i="18" s="1"/>
  <c r="I68" i="17"/>
  <c r="I66" i="17" s="1"/>
  <c r="I57" i="17" s="1"/>
  <c r="I56" i="17" s="1"/>
  <c r="J30" i="19"/>
  <c r="J23" i="19"/>
  <c r="H59" i="40"/>
  <c r="H77" i="40" s="1"/>
  <c r="I30" i="40"/>
  <c r="J51" i="40" s="1"/>
  <c r="J23" i="40" s="1"/>
  <c r="I24" i="40"/>
  <c r="I83" i="18"/>
  <c r="H92" i="40"/>
  <c r="I68" i="18"/>
  <c r="I67" i="18"/>
  <c r="J29" i="17"/>
  <c r="J23" i="17"/>
  <c r="J32" i="17" s="1"/>
  <c r="H84" i="9"/>
  <c r="H89" i="9" s="1"/>
  <c r="H78" i="40"/>
  <c r="I83" i="17"/>
  <c r="H104" i="21"/>
  <c r="I61" i="44" s="1"/>
  <c r="H105" i="21"/>
  <c r="I62" i="44" s="1"/>
  <c r="H102" i="21"/>
  <c r="I59" i="44" s="1"/>
  <c r="I69" i="9"/>
  <c r="I68" i="9"/>
  <c r="I41" i="44"/>
  <c r="H103" i="21"/>
  <c r="H67" i="21"/>
  <c r="H58" i="21" s="1"/>
  <c r="H57" i="21" s="1"/>
  <c r="I10" i="44"/>
  <c r="H78" i="21"/>
  <c r="H77" i="21"/>
  <c r="H90" i="9" l="1"/>
  <c r="H88" i="9" s="1"/>
  <c r="H67" i="40"/>
  <c r="H58" i="40" s="1"/>
  <c r="H57" i="40" s="1"/>
  <c r="K50" i="17"/>
  <c r="K22" i="17" s="1"/>
  <c r="K51" i="19"/>
  <c r="K22" i="19" s="1"/>
  <c r="I66" i="18"/>
  <c r="I57" i="18" s="1"/>
  <c r="I56" i="18" s="1"/>
  <c r="I88" i="19"/>
  <c r="I89" i="19"/>
  <c r="I87" i="19"/>
  <c r="I85" i="19" s="1"/>
  <c r="J69" i="17"/>
  <c r="J23" i="44"/>
  <c r="J68" i="17"/>
  <c r="J30" i="44"/>
  <c r="J70" i="19"/>
  <c r="H87" i="40"/>
  <c r="H88" i="40" s="1"/>
  <c r="H94" i="40" s="1"/>
  <c r="I79" i="18"/>
  <c r="I80" i="18" s="1"/>
  <c r="I33" i="40"/>
  <c r="I62" i="40"/>
  <c r="K33" i="44"/>
  <c r="J33" i="19"/>
  <c r="J69" i="19" s="1"/>
  <c r="J62" i="19"/>
  <c r="J59" i="19" s="1"/>
  <c r="J61" i="18"/>
  <c r="J58" i="18" s="1"/>
  <c r="I79" i="17"/>
  <c r="I80" i="17" s="1"/>
  <c r="J61" i="17"/>
  <c r="J58" i="17" s="1"/>
  <c r="H88" i="21"/>
  <c r="H22" i="20"/>
  <c r="H84" i="21"/>
  <c r="H85" i="21"/>
  <c r="I5" i="44"/>
  <c r="I70" i="21"/>
  <c r="H23" i="20"/>
  <c r="H86" i="21"/>
  <c r="I60" i="44"/>
  <c r="I6" i="44"/>
  <c r="I87" i="21"/>
  <c r="I12" i="21"/>
  <c r="H21" i="20"/>
  <c r="H101" i="21"/>
  <c r="J68" i="18" l="1"/>
  <c r="J69" i="18"/>
  <c r="J27" i="44"/>
  <c r="H106" i="21"/>
  <c r="I110" i="21"/>
  <c r="I111" i="21" s="1"/>
  <c r="I109" i="21" s="1"/>
  <c r="H11" i="22"/>
  <c r="H16" i="22" s="1"/>
  <c r="I69" i="40"/>
  <c r="I70" i="40"/>
  <c r="H96" i="40"/>
  <c r="H95" i="40"/>
  <c r="H93" i="40" s="1"/>
  <c r="I87" i="18"/>
  <c r="I88" i="18"/>
  <c r="I87" i="17"/>
  <c r="I85" i="17"/>
  <c r="I59" i="40"/>
  <c r="I88" i="17"/>
  <c r="J30" i="40"/>
  <c r="J24" i="40"/>
  <c r="H97" i="40"/>
  <c r="K29" i="17"/>
  <c r="L50" i="17" s="1"/>
  <c r="K23" i="17"/>
  <c r="K32" i="17" s="1"/>
  <c r="I86" i="17"/>
  <c r="K29" i="18"/>
  <c r="L50" i="18" s="1"/>
  <c r="L22" i="18" s="1"/>
  <c r="K23" i="18"/>
  <c r="K32" i="18" s="1"/>
  <c r="I97" i="9"/>
  <c r="I98" i="9" s="1"/>
  <c r="I96" i="9" s="1"/>
  <c r="H94" i="9"/>
  <c r="H93" i="9"/>
  <c r="K23" i="19"/>
  <c r="K30" i="19"/>
  <c r="I86" i="18"/>
  <c r="I91" i="19"/>
  <c r="I90" i="19"/>
  <c r="J94" i="19"/>
  <c r="J95" i="19" s="1"/>
  <c r="J93" i="19" s="1"/>
  <c r="I85" i="18"/>
  <c r="I19" i="20"/>
  <c r="J7" i="44"/>
  <c r="I13" i="21"/>
  <c r="I50" i="21"/>
  <c r="I60" i="21"/>
  <c r="I52" i="21"/>
  <c r="I79" i="21"/>
  <c r="H107" i="21"/>
  <c r="H15" i="22" l="1"/>
  <c r="I23" i="21"/>
  <c r="H18" i="22"/>
  <c r="K62" i="19"/>
  <c r="K59" i="19" s="1"/>
  <c r="L51" i="19"/>
  <c r="L22" i="19" s="1"/>
  <c r="L30" i="19" s="1"/>
  <c r="K61" i="17"/>
  <c r="K58" i="17" s="1"/>
  <c r="L22" i="17"/>
  <c r="L23" i="17" s="1"/>
  <c r="L32" i="17" s="1"/>
  <c r="H17" i="22"/>
  <c r="K51" i="40"/>
  <c r="K23" i="40" s="1"/>
  <c r="H14" i="22"/>
  <c r="I84" i="17"/>
  <c r="I89" i="17" s="1"/>
  <c r="I84" i="18"/>
  <c r="I90" i="18" s="1"/>
  <c r="H98" i="40"/>
  <c r="H99" i="40"/>
  <c r="I102" i="40"/>
  <c r="J33" i="40"/>
  <c r="J62" i="40"/>
  <c r="K33" i="19"/>
  <c r="L33" i="44"/>
  <c r="I35" i="9"/>
  <c r="I101" i="9"/>
  <c r="I87" i="9" s="1"/>
  <c r="K61" i="18"/>
  <c r="K58" i="18" s="1"/>
  <c r="J98" i="19"/>
  <c r="J84" i="19" s="1"/>
  <c r="J36" i="19"/>
  <c r="J68" i="19" s="1"/>
  <c r="J67" i="19" s="1"/>
  <c r="J58" i="19" s="1"/>
  <c r="J57" i="19" s="1"/>
  <c r="I36" i="21"/>
  <c r="I20" i="20"/>
  <c r="L23" i="19" l="1"/>
  <c r="L33" i="19" s="1"/>
  <c r="L29" i="17"/>
  <c r="M50" i="17" s="1"/>
  <c r="I89" i="18"/>
  <c r="L62" i="19"/>
  <c r="L59" i="19" s="1"/>
  <c r="M51" i="19"/>
  <c r="M22" i="19" s="1"/>
  <c r="M22" i="17"/>
  <c r="I103" i="40"/>
  <c r="I90" i="17"/>
  <c r="J93" i="17"/>
  <c r="J94" i="17" s="1"/>
  <c r="J92" i="17" s="1"/>
  <c r="J35" i="17" s="1"/>
  <c r="J67" i="17" s="1"/>
  <c r="J66" i="17" s="1"/>
  <c r="J57" i="17" s="1"/>
  <c r="J56" i="17" s="1"/>
  <c r="J93" i="18"/>
  <c r="J94" i="18" s="1"/>
  <c r="J92" i="18" s="1"/>
  <c r="J35" i="18" s="1"/>
  <c r="J67" i="18" s="1"/>
  <c r="J66" i="18" s="1"/>
  <c r="J57" i="18" s="1"/>
  <c r="J56" i="18" s="1"/>
  <c r="J59" i="40"/>
  <c r="K30" i="40"/>
  <c r="K24" i="40"/>
  <c r="I83" i="9"/>
  <c r="I84" i="9" s="1"/>
  <c r="L29" i="18"/>
  <c r="L23" i="18"/>
  <c r="L32" i="18" s="1"/>
  <c r="J48" i="44"/>
  <c r="I67" i="9"/>
  <c r="K70" i="19"/>
  <c r="K30" i="44"/>
  <c r="K69" i="19"/>
  <c r="J80" i="19"/>
  <c r="J81" i="19" s="1"/>
  <c r="J13" i="44"/>
  <c r="I90" i="21"/>
  <c r="I91" i="21" s="1"/>
  <c r="I24" i="21"/>
  <c r="I30" i="21"/>
  <c r="J51" i="21" s="1"/>
  <c r="M33" i="44" l="1"/>
  <c r="L61" i="17"/>
  <c r="L58" i="17" s="1"/>
  <c r="M29" i="17"/>
  <c r="M23" i="17"/>
  <c r="M32" i="17" s="1"/>
  <c r="M30" i="19"/>
  <c r="M23" i="19"/>
  <c r="K62" i="40"/>
  <c r="K59" i="40" s="1"/>
  <c r="L51" i="40"/>
  <c r="L23" i="40" s="1"/>
  <c r="L24" i="40" s="1"/>
  <c r="M50" i="18"/>
  <c r="M22" i="18" s="1"/>
  <c r="J97" i="17"/>
  <c r="J83" i="17" s="1"/>
  <c r="J97" i="18"/>
  <c r="J83" i="18" s="1"/>
  <c r="I101" i="40"/>
  <c r="I91" i="9"/>
  <c r="I89" i="9"/>
  <c r="I92" i="9"/>
  <c r="J89" i="19"/>
  <c r="J88" i="19"/>
  <c r="I90" i="9"/>
  <c r="J86" i="19"/>
  <c r="L61" i="18"/>
  <c r="L58" i="18" s="1"/>
  <c r="K37" i="17"/>
  <c r="K69" i="17"/>
  <c r="K23" i="44"/>
  <c r="K36" i="17"/>
  <c r="K68" i="17"/>
  <c r="J87" i="19"/>
  <c r="K33" i="40"/>
  <c r="K69" i="18"/>
  <c r="K27" i="44"/>
  <c r="K68" i="18"/>
  <c r="I66" i="9"/>
  <c r="I57" i="9" s="1"/>
  <c r="I56" i="9" s="1"/>
  <c r="I77" i="9"/>
  <c r="J45" i="44"/>
  <c r="I76" i="9"/>
  <c r="I62" i="21"/>
  <c r="I33" i="21"/>
  <c r="I69" i="21" s="1"/>
  <c r="J16" i="44"/>
  <c r="I114" i="21"/>
  <c r="J79" i="17" l="1"/>
  <c r="J80" i="17" s="1"/>
  <c r="J79" i="18"/>
  <c r="J80" i="18" s="1"/>
  <c r="N50" i="17"/>
  <c r="N22" i="17" s="1"/>
  <c r="O50" i="17"/>
  <c r="I88" i="9"/>
  <c r="I94" i="9" s="1"/>
  <c r="L30" i="40"/>
  <c r="L62" i="40" s="1"/>
  <c r="L59" i="40" s="1"/>
  <c r="M33" i="19"/>
  <c r="N33" i="44"/>
  <c r="M62" i="19"/>
  <c r="M59" i="19" s="1"/>
  <c r="N51" i="19"/>
  <c r="N22" i="19" s="1"/>
  <c r="O51" i="19"/>
  <c r="M61" i="17"/>
  <c r="M58" i="17" s="1"/>
  <c r="I106" i="40"/>
  <c r="I92" i="40" s="1"/>
  <c r="I36" i="40"/>
  <c r="J42" i="44"/>
  <c r="J85" i="19"/>
  <c r="K94" i="19" s="1"/>
  <c r="K95" i="19" s="1"/>
  <c r="K93" i="19" s="1"/>
  <c r="J88" i="17"/>
  <c r="J87" i="17"/>
  <c r="J86" i="17"/>
  <c r="L33" i="40"/>
  <c r="J69" i="9"/>
  <c r="J41" i="44"/>
  <c r="J68" i="9"/>
  <c r="L24" i="44"/>
  <c r="L25" i="44"/>
  <c r="I100" i="21"/>
  <c r="M29" i="18"/>
  <c r="M23" i="18"/>
  <c r="M32" i="18" s="1"/>
  <c r="J18" i="44"/>
  <c r="I68" i="21"/>
  <c r="J8" i="44"/>
  <c r="I59" i="21"/>
  <c r="J85" i="17" l="1"/>
  <c r="M51" i="40"/>
  <c r="M23" i="40" s="1"/>
  <c r="M24" i="40" s="1"/>
  <c r="J97" i="9"/>
  <c r="J98" i="9" s="1"/>
  <c r="J96" i="9" s="1"/>
  <c r="J87" i="18"/>
  <c r="I93" i="9"/>
  <c r="J85" i="18"/>
  <c r="J88" i="18"/>
  <c r="J86" i="18"/>
  <c r="I87" i="40"/>
  <c r="I88" i="40" s="1"/>
  <c r="I94" i="40" s="1"/>
  <c r="O22" i="19"/>
  <c r="P22" i="19" s="1"/>
  <c r="P23" i="19" s="1"/>
  <c r="N23" i="19"/>
  <c r="N30" i="19"/>
  <c r="N62" i="19" s="1"/>
  <c r="N59" i="19" s="1"/>
  <c r="M61" i="18"/>
  <c r="M58" i="18" s="1"/>
  <c r="N50" i="18"/>
  <c r="N22" i="18" s="1"/>
  <c r="N23" i="18" s="1"/>
  <c r="N32" i="18" s="1"/>
  <c r="M30" i="40"/>
  <c r="N29" i="17"/>
  <c r="N61" i="17" s="1"/>
  <c r="N58" i="17" s="1"/>
  <c r="N23" i="17"/>
  <c r="N32" i="17" s="1"/>
  <c r="O22" i="17"/>
  <c r="P22" i="17" s="1"/>
  <c r="I95" i="21"/>
  <c r="I96" i="21" s="1"/>
  <c r="J58" i="44"/>
  <c r="J90" i="19"/>
  <c r="I68" i="40"/>
  <c r="J91" i="19"/>
  <c r="J84" i="17"/>
  <c r="J90" i="17" s="1"/>
  <c r="K98" i="19"/>
  <c r="K84" i="19" s="1"/>
  <c r="K36" i="19"/>
  <c r="K68" i="19" s="1"/>
  <c r="K67" i="19" s="1"/>
  <c r="K58" i="19" s="1"/>
  <c r="K57" i="19" s="1"/>
  <c r="J101" i="9"/>
  <c r="J87" i="9" s="1"/>
  <c r="J35" i="9"/>
  <c r="I77" i="21"/>
  <c r="I67" i="21"/>
  <c r="I58" i="21" s="1"/>
  <c r="I57" i="21" s="1"/>
  <c r="J10" i="44"/>
  <c r="I78" i="21"/>
  <c r="J84" i="18" l="1"/>
  <c r="J89" i="18" s="1"/>
  <c r="I97" i="40"/>
  <c r="I95" i="40"/>
  <c r="I93" i="40" s="1"/>
  <c r="I96" i="40"/>
  <c r="O23" i="19"/>
  <c r="O30" i="19"/>
  <c r="O62" i="19" s="1"/>
  <c r="O59" i="19" s="1"/>
  <c r="N29" i="18"/>
  <c r="N61" i="18" s="1"/>
  <c r="N58" i="18" s="1"/>
  <c r="Q22" i="17"/>
  <c r="P29" i="17"/>
  <c r="P61" i="17" s="1"/>
  <c r="P58" i="17" s="1"/>
  <c r="Q22" i="19"/>
  <c r="P30" i="19"/>
  <c r="P62" i="19" s="1"/>
  <c r="P59" i="19" s="1"/>
  <c r="Q33" i="44"/>
  <c r="P33" i="19"/>
  <c r="M33" i="40"/>
  <c r="N51" i="40"/>
  <c r="N23" i="40" s="1"/>
  <c r="O51" i="40"/>
  <c r="M62" i="40"/>
  <c r="O29" i="17"/>
  <c r="O61" i="17" s="1"/>
  <c r="O58" i="17" s="1"/>
  <c r="O23" i="17"/>
  <c r="O32" i="17" s="1"/>
  <c r="P23" i="17"/>
  <c r="P32" i="17" s="1"/>
  <c r="I102" i="21"/>
  <c r="J59" i="44" s="1"/>
  <c r="I103" i="21"/>
  <c r="J60" i="44" s="1"/>
  <c r="I105" i="21"/>
  <c r="J62" i="44" s="1"/>
  <c r="I104" i="21"/>
  <c r="J61" i="44" s="1"/>
  <c r="O33" i="44"/>
  <c r="N33" i="19"/>
  <c r="J89" i="17"/>
  <c r="I67" i="40"/>
  <c r="I58" i="40" s="1"/>
  <c r="I57" i="40" s="1"/>
  <c r="I78" i="40"/>
  <c r="I77" i="40"/>
  <c r="J90" i="18"/>
  <c r="K93" i="18"/>
  <c r="K94" i="18" s="1"/>
  <c r="K92" i="18" s="1"/>
  <c r="K93" i="17"/>
  <c r="K94" i="17" s="1"/>
  <c r="K92" i="17" s="1"/>
  <c r="K97" i="17" s="1"/>
  <c r="K83" i="17" s="1"/>
  <c r="K80" i="19"/>
  <c r="K81" i="19" s="1"/>
  <c r="K86" i="19" s="1"/>
  <c r="K48" i="44"/>
  <c r="J67" i="9"/>
  <c r="L70" i="19"/>
  <c r="L30" i="44"/>
  <c r="L69" i="19"/>
  <c r="K76" i="19"/>
  <c r="J83" i="9"/>
  <c r="J84" i="9" s="1"/>
  <c r="J70" i="21"/>
  <c r="I85" i="21"/>
  <c r="I23" i="20"/>
  <c r="I86" i="21"/>
  <c r="I84" i="21"/>
  <c r="J5" i="44"/>
  <c r="J6" i="44"/>
  <c r="I21" i="20"/>
  <c r="J87" i="21"/>
  <c r="I22" i="20"/>
  <c r="I88" i="21"/>
  <c r="O50" i="18" l="1"/>
  <c r="O22" i="18" s="1"/>
  <c r="J102" i="40"/>
  <c r="J103" i="40" s="1"/>
  <c r="P33" i="44"/>
  <c r="O33" i="19"/>
  <c r="I98" i="40"/>
  <c r="I99" i="40"/>
  <c r="I101" i="21"/>
  <c r="I106" i="21" s="1"/>
  <c r="R22" i="19"/>
  <c r="Q30" i="19"/>
  <c r="Q62" i="19" s="1"/>
  <c r="Q59" i="19" s="1"/>
  <c r="Q23" i="19"/>
  <c r="Q29" i="17"/>
  <c r="Q61" i="17" s="1"/>
  <c r="Q58" i="17" s="1"/>
  <c r="R22" i="17"/>
  <c r="Q23" i="17"/>
  <c r="Q32" i="17" s="1"/>
  <c r="O23" i="40"/>
  <c r="P23" i="40" s="1"/>
  <c r="N30" i="40"/>
  <c r="N62" i="40" s="1"/>
  <c r="N24" i="40"/>
  <c r="O29" i="18"/>
  <c r="O23" i="18"/>
  <c r="O32" i="18" s="1"/>
  <c r="M59" i="40"/>
  <c r="K35" i="17"/>
  <c r="K67" i="17" s="1"/>
  <c r="K66" i="17" s="1"/>
  <c r="K57" i="17" s="1"/>
  <c r="K56" i="17" s="1"/>
  <c r="I11" i="22"/>
  <c r="J69" i="40"/>
  <c r="J70" i="40"/>
  <c r="K87" i="19"/>
  <c r="K85" i="19" s="1"/>
  <c r="K89" i="19"/>
  <c r="J92" i="9"/>
  <c r="J90" i="9"/>
  <c r="J89" i="9"/>
  <c r="J91" i="9"/>
  <c r="K35" i="18"/>
  <c r="K67" i="18" s="1"/>
  <c r="K66" i="18" s="1"/>
  <c r="K57" i="18" s="1"/>
  <c r="K56" i="18" s="1"/>
  <c r="K97" i="18"/>
  <c r="K83" i="18" s="1"/>
  <c r="K88" i="19"/>
  <c r="K45" i="44"/>
  <c r="J66" i="9"/>
  <c r="J57" i="9" s="1"/>
  <c r="J56" i="9" s="1"/>
  <c r="J76" i="9"/>
  <c r="J77" i="9"/>
  <c r="K79" i="17"/>
  <c r="K80" i="17" s="1"/>
  <c r="I107" i="21" l="1"/>
  <c r="L23" i="44"/>
  <c r="J110" i="21"/>
  <c r="J111" i="21" s="1"/>
  <c r="J109" i="21" s="1"/>
  <c r="K79" i="18"/>
  <c r="K80" i="18" s="1"/>
  <c r="K85" i="18" s="1"/>
  <c r="Q23" i="40"/>
  <c r="P30" i="40"/>
  <c r="P62" i="40" s="1"/>
  <c r="R23" i="17"/>
  <c r="R32" i="17" s="1"/>
  <c r="R29" i="17"/>
  <c r="R61" i="17" s="1"/>
  <c r="R58" i="17" s="1"/>
  <c r="S22" i="17"/>
  <c r="R33" i="44"/>
  <c r="Q33" i="19"/>
  <c r="S22" i="19"/>
  <c r="R23" i="19"/>
  <c r="R30" i="19"/>
  <c r="R62" i="19" s="1"/>
  <c r="R59" i="19" s="1"/>
  <c r="P50" i="18"/>
  <c r="P22" i="18" s="1"/>
  <c r="Q50" i="18"/>
  <c r="O61" i="18"/>
  <c r="O58" i="18" s="1"/>
  <c r="N33" i="40"/>
  <c r="N59" i="40"/>
  <c r="O24" i="40"/>
  <c r="O30" i="40"/>
  <c r="O62" i="40" s="1"/>
  <c r="P24" i="40"/>
  <c r="L69" i="17"/>
  <c r="J101" i="40"/>
  <c r="K75" i="17"/>
  <c r="L68" i="17"/>
  <c r="I18" i="22"/>
  <c r="I14" i="22"/>
  <c r="I15" i="22"/>
  <c r="I16" i="22"/>
  <c r="I17" i="22"/>
  <c r="K42" i="44"/>
  <c r="K91" i="19"/>
  <c r="J88" i="9"/>
  <c r="K97" i="9" s="1"/>
  <c r="K98" i="9" s="1"/>
  <c r="K96" i="9" s="1"/>
  <c r="K35" i="9" s="1"/>
  <c r="K90" i="19"/>
  <c r="L94" i="19"/>
  <c r="L95" i="19" s="1"/>
  <c r="L93" i="19" s="1"/>
  <c r="L98" i="19" s="1"/>
  <c r="L84" i="19" s="1"/>
  <c r="K87" i="18"/>
  <c r="K88" i="17"/>
  <c r="K86" i="17"/>
  <c r="K75" i="18"/>
  <c r="L27" i="44"/>
  <c r="L69" i="18"/>
  <c r="L68" i="18"/>
  <c r="K87" i="17"/>
  <c r="K85" i="17"/>
  <c r="K41" i="44"/>
  <c r="K69" i="9"/>
  <c r="K68" i="9"/>
  <c r="J36" i="21"/>
  <c r="K86" i="18" l="1"/>
  <c r="K84" i="18" s="1"/>
  <c r="K88" i="18"/>
  <c r="K90" i="18" s="1"/>
  <c r="L80" i="19"/>
  <c r="L88" i="19" s="1"/>
  <c r="Q22" i="18"/>
  <c r="R22" i="18" s="1"/>
  <c r="S22" i="18" s="1"/>
  <c r="R33" i="19"/>
  <c r="S33" i="44"/>
  <c r="S30" i="19"/>
  <c r="S62" i="19" s="1"/>
  <c r="S59" i="19" s="1"/>
  <c r="T22" i="19"/>
  <c r="S23" i="19"/>
  <c r="T22" i="17"/>
  <c r="S23" i="17"/>
  <c r="S32" i="17" s="1"/>
  <c r="S29" i="17"/>
  <c r="S61" i="17" s="1"/>
  <c r="S58" i="17" s="1"/>
  <c r="P59" i="40"/>
  <c r="R23" i="40"/>
  <c r="Q24" i="40"/>
  <c r="Q30" i="40"/>
  <c r="Q62" i="40" s="1"/>
  <c r="P33" i="40"/>
  <c r="O33" i="40"/>
  <c r="O59" i="40"/>
  <c r="P23" i="18"/>
  <c r="P32" i="18" s="1"/>
  <c r="P29" i="18"/>
  <c r="P61" i="18" s="1"/>
  <c r="P58" i="18" s="1"/>
  <c r="J106" i="40"/>
  <c r="J92" i="40" s="1"/>
  <c r="J36" i="40"/>
  <c r="L81" i="19"/>
  <c r="L87" i="19" s="1"/>
  <c r="J94" i="9"/>
  <c r="J93" i="9"/>
  <c r="L48" i="44"/>
  <c r="K67" i="9"/>
  <c r="L36" i="19"/>
  <c r="L68" i="19" s="1"/>
  <c r="L67" i="19" s="1"/>
  <c r="L58" i="19" s="1"/>
  <c r="L57" i="19" s="1"/>
  <c r="L93" i="18"/>
  <c r="K101" i="9"/>
  <c r="K87" i="9" s="1"/>
  <c r="K84" i="17"/>
  <c r="K89" i="17" s="1"/>
  <c r="K13" i="44"/>
  <c r="J90" i="21"/>
  <c r="J91" i="21" s="1"/>
  <c r="J12" i="21" s="1"/>
  <c r="K89" i="18" l="1"/>
  <c r="L89" i="19"/>
  <c r="L94" i="18"/>
  <c r="L92" i="18" s="1"/>
  <c r="L97" i="18" s="1"/>
  <c r="L83" i="18" s="1"/>
  <c r="R23" i="18"/>
  <c r="R32" i="18" s="1"/>
  <c r="Q23" i="18"/>
  <c r="Q32" i="18" s="1"/>
  <c r="Q29" i="18"/>
  <c r="Q61" i="18" s="1"/>
  <c r="Q58" i="18" s="1"/>
  <c r="L76" i="19"/>
  <c r="L86" i="19"/>
  <c r="L85" i="19" s="1"/>
  <c r="L91" i="19" s="1"/>
  <c r="R29" i="18"/>
  <c r="R61" i="18" s="1"/>
  <c r="R58" i="18" s="1"/>
  <c r="Q33" i="40"/>
  <c r="S23" i="40"/>
  <c r="R24" i="40"/>
  <c r="R30" i="40"/>
  <c r="R62" i="40" s="1"/>
  <c r="T29" i="17"/>
  <c r="T61" i="17" s="1"/>
  <c r="T58" i="17" s="1"/>
  <c r="U22" i="17"/>
  <c r="T23" i="17"/>
  <c r="T32" i="17" s="1"/>
  <c r="S33" i="19"/>
  <c r="T33" i="44"/>
  <c r="U22" i="19"/>
  <c r="T23" i="19"/>
  <c r="T30" i="19"/>
  <c r="T62" i="19" s="1"/>
  <c r="T59" i="19" s="1"/>
  <c r="Q59" i="40"/>
  <c r="T22" i="18"/>
  <c r="S29" i="18"/>
  <c r="S61" i="18" s="1"/>
  <c r="S58" i="18" s="1"/>
  <c r="S23" i="18"/>
  <c r="S32" i="18" s="1"/>
  <c r="J68" i="40"/>
  <c r="J87" i="40"/>
  <c r="J88" i="40" s="1"/>
  <c r="J95" i="40" s="1"/>
  <c r="L45" i="44"/>
  <c r="K76" i="9"/>
  <c r="L42" i="44" s="1"/>
  <c r="K77" i="9"/>
  <c r="K66" i="9"/>
  <c r="K57" i="9" s="1"/>
  <c r="K56" i="9" s="1"/>
  <c r="M69" i="19"/>
  <c r="L93" i="17"/>
  <c r="L94" i="17" s="1"/>
  <c r="L92" i="17" s="1"/>
  <c r="L97" i="17" s="1"/>
  <c r="L83" i="17" s="1"/>
  <c r="K90" i="17"/>
  <c r="M70" i="19"/>
  <c r="M30" i="44"/>
  <c r="K83" i="9"/>
  <c r="L35" i="18"/>
  <c r="L67" i="18" s="1"/>
  <c r="L66" i="18" s="1"/>
  <c r="L57" i="18" s="1"/>
  <c r="L56" i="18" s="1"/>
  <c r="L79" i="18"/>
  <c r="L80" i="18" s="1"/>
  <c r="J19" i="20"/>
  <c r="J79" i="21"/>
  <c r="J13" i="21"/>
  <c r="Q12" i="20" s="1"/>
  <c r="P12" i="20" s="1"/>
  <c r="J52" i="21"/>
  <c r="J60" i="21"/>
  <c r="K7" i="44"/>
  <c r="J50" i="21"/>
  <c r="J23" i="21" l="1"/>
  <c r="L79" i="17"/>
  <c r="L88" i="17" s="1"/>
  <c r="U33" i="44"/>
  <c r="T33" i="19"/>
  <c r="V22" i="19"/>
  <c r="U23" i="19"/>
  <c r="U30" i="19"/>
  <c r="U62" i="19" s="1"/>
  <c r="U59" i="19" s="1"/>
  <c r="U29" i="17"/>
  <c r="U61" i="17" s="1"/>
  <c r="U58" i="17" s="1"/>
  <c r="U23" i="17"/>
  <c r="U32" i="17" s="1"/>
  <c r="V22" i="17"/>
  <c r="R59" i="40"/>
  <c r="R33" i="40"/>
  <c r="U22" i="18"/>
  <c r="T29" i="18"/>
  <c r="T61" i="18" s="1"/>
  <c r="T58" i="18" s="1"/>
  <c r="T23" i="18"/>
  <c r="T32" i="18" s="1"/>
  <c r="T23" i="40"/>
  <c r="S30" i="40"/>
  <c r="S62" i="40" s="1"/>
  <c r="S24" i="40"/>
  <c r="J94" i="40"/>
  <c r="J93" i="40" s="1"/>
  <c r="J97" i="40"/>
  <c r="J96" i="40"/>
  <c r="M94" i="19"/>
  <c r="M95" i="19" s="1"/>
  <c r="M93" i="19" s="1"/>
  <c r="M98" i="19" s="1"/>
  <c r="M84" i="19" s="1"/>
  <c r="L90" i="19"/>
  <c r="L41" i="44"/>
  <c r="J78" i="40"/>
  <c r="J67" i="40"/>
  <c r="J58" i="40" s="1"/>
  <c r="J57" i="40" s="1"/>
  <c r="J77" i="40"/>
  <c r="L69" i="9"/>
  <c r="L68" i="9"/>
  <c r="L35" i="17"/>
  <c r="L67" i="17" s="1"/>
  <c r="L66" i="17" s="1"/>
  <c r="L57" i="17" s="1"/>
  <c r="L56" i="17" s="1"/>
  <c r="M27" i="44"/>
  <c r="K92" i="9"/>
  <c r="M69" i="18"/>
  <c r="L80" i="17"/>
  <c r="L75" i="18"/>
  <c r="M68" i="18"/>
  <c r="K84" i="9"/>
  <c r="K89" i="9" s="1"/>
  <c r="K91" i="9"/>
  <c r="L87" i="18"/>
  <c r="L88" i="18"/>
  <c r="L86" i="18"/>
  <c r="L85" i="18"/>
  <c r="J20" i="20"/>
  <c r="G24" i="20"/>
  <c r="L86" i="17" l="1"/>
  <c r="L87" i="17"/>
  <c r="L85" i="17"/>
  <c r="M23" i="44"/>
  <c r="K90" i="9"/>
  <c r="K88" i="9" s="1"/>
  <c r="L97" i="9" s="1"/>
  <c r="L98" i="9" s="1"/>
  <c r="L96" i="9" s="1"/>
  <c r="V23" i="17"/>
  <c r="V32" i="17" s="1"/>
  <c r="V29" i="17"/>
  <c r="V61" i="17" s="1"/>
  <c r="V58" i="17" s="1"/>
  <c r="W22" i="17"/>
  <c r="S33" i="40"/>
  <c r="V33" i="44"/>
  <c r="U33" i="19"/>
  <c r="S59" i="40"/>
  <c r="W22" i="19"/>
  <c r="V30" i="19"/>
  <c r="V62" i="19" s="1"/>
  <c r="V59" i="19" s="1"/>
  <c r="V23" i="19"/>
  <c r="U23" i="40"/>
  <c r="T24" i="40"/>
  <c r="T30" i="40"/>
  <c r="T62" i="40" s="1"/>
  <c r="V22" i="18"/>
  <c r="U23" i="18"/>
  <c r="U32" i="18" s="1"/>
  <c r="U29" i="18"/>
  <c r="U61" i="18" s="1"/>
  <c r="U58" i="18" s="1"/>
  <c r="K102" i="40"/>
  <c r="J98" i="40"/>
  <c r="J99" i="40"/>
  <c r="M36" i="19"/>
  <c r="M68" i="19" s="1"/>
  <c r="M67" i="19" s="1"/>
  <c r="M58" i="19" s="1"/>
  <c r="M57" i="19" s="1"/>
  <c r="K70" i="40"/>
  <c r="K69" i="40"/>
  <c r="J11" i="22"/>
  <c r="M68" i="17"/>
  <c r="M69" i="17"/>
  <c r="L75" i="17"/>
  <c r="L84" i="18"/>
  <c r="M93" i="18" s="1"/>
  <c r="M94" i="18" s="1"/>
  <c r="M92" i="18" s="1"/>
  <c r="M80" i="19"/>
  <c r="M81" i="19" s="1"/>
  <c r="M87" i="19" s="1"/>
  <c r="G26" i="20"/>
  <c r="J30" i="21"/>
  <c r="K51" i="21" s="1"/>
  <c r="J24" i="21"/>
  <c r="L84" i="17" l="1"/>
  <c r="K94" i="9"/>
  <c r="K93" i="9"/>
  <c r="K103" i="40"/>
  <c r="V33" i="19"/>
  <c r="W33" i="44"/>
  <c r="N30" i="44"/>
  <c r="V23" i="40"/>
  <c r="U24" i="40"/>
  <c r="U30" i="40"/>
  <c r="U62" i="40" s="1"/>
  <c r="W23" i="19"/>
  <c r="W30" i="19"/>
  <c r="W62" i="19" s="1"/>
  <c r="W59" i="19" s="1"/>
  <c r="W22" i="18"/>
  <c r="V23" i="18"/>
  <c r="V32" i="18" s="1"/>
  <c r="V29" i="18"/>
  <c r="V61" i="18" s="1"/>
  <c r="V58" i="18" s="1"/>
  <c r="W29" i="17"/>
  <c r="W61" i="17" s="1"/>
  <c r="W58" i="17" s="1"/>
  <c r="W23" i="17"/>
  <c r="W32" i="17" s="1"/>
  <c r="T59" i="40"/>
  <c r="T33" i="40"/>
  <c r="N69" i="19"/>
  <c r="M76" i="19"/>
  <c r="N70" i="19"/>
  <c r="K101" i="40"/>
  <c r="J17" i="22"/>
  <c r="J14" i="22"/>
  <c r="J16" i="22"/>
  <c r="J15" i="22"/>
  <c r="J18" i="22"/>
  <c r="L89" i="18"/>
  <c r="L90" i="18"/>
  <c r="L35" i="9"/>
  <c r="L101" i="9"/>
  <c r="L87" i="9" s="1"/>
  <c r="M89" i="19"/>
  <c r="L90" i="17"/>
  <c r="L89" i="17"/>
  <c r="M93" i="17"/>
  <c r="M94" i="17" s="1"/>
  <c r="M92" i="17" s="1"/>
  <c r="M86" i="19"/>
  <c r="M85" i="19" s="1"/>
  <c r="M88" i="19"/>
  <c r="M35" i="18"/>
  <c r="M67" i="18" s="1"/>
  <c r="M66" i="18" s="1"/>
  <c r="M57" i="18" s="1"/>
  <c r="M56" i="18" s="1"/>
  <c r="M97" i="18"/>
  <c r="M83" i="18" s="1"/>
  <c r="J33" i="21"/>
  <c r="K16" i="44"/>
  <c r="J114" i="21"/>
  <c r="J62" i="21"/>
  <c r="W23" i="18" l="1"/>
  <c r="W32" i="18" s="1"/>
  <c r="W29" i="18"/>
  <c r="W61" i="18" s="1"/>
  <c r="W58" i="18" s="1"/>
  <c r="W33" i="19"/>
  <c r="X33" i="44"/>
  <c r="U59" i="40"/>
  <c r="U33" i="40"/>
  <c r="W23" i="40"/>
  <c r="V24" i="40"/>
  <c r="V30" i="40"/>
  <c r="V62" i="40" s="1"/>
  <c r="K36" i="40"/>
  <c r="K106" i="40"/>
  <c r="K92" i="40" s="1"/>
  <c r="L83" i="9"/>
  <c r="L92" i="9" s="1"/>
  <c r="M48" i="44"/>
  <c r="L67" i="9"/>
  <c r="M97" i="17"/>
  <c r="M83" i="17" s="1"/>
  <c r="M35" i="17"/>
  <c r="M67" i="17" s="1"/>
  <c r="M66" i="17" s="1"/>
  <c r="M57" i="17" s="1"/>
  <c r="M56" i="17" s="1"/>
  <c r="M79" i="18"/>
  <c r="M80" i="18" s="1"/>
  <c r="M86" i="18" s="1"/>
  <c r="N69" i="18"/>
  <c r="M75" i="18"/>
  <c r="N27" i="44"/>
  <c r="N68" i="18"/>
  <c r="N94" i="19"/>
  <c r="N95" i="19" s="1"/>
  <c r="N93" i="19" s="1"/>
  <c r="M91" i="19"/>
  <c r="M90" i="19"/>
  <c r="K18" i="44"/>
  <c r="J68" i="21"/>
  <c r="K8" i="44"/>
  <c r="J59" i="21"/>
  <c r="J100" i="21"/>
  <c r="J69" i="21"/>
  <c r="V33" i="40" l="1"/>
  <c r="W30" i="40"/>
  <c r="W62" i="40" s="1"/>
  <c r="W24" i="40"/>
  <c r="V59" i="40"/>
  <c r="N37" i="17"/>
  <c r="N36" i="17"/>
  <c r="K87" i="40"/>
  <c r="K88" i="40" s="1"/>
  <c r="K94" i="40" s="1"/>
  <c r="K68" i="40"/>
  <c r="L91" i="9"/>
  <c r="L90" i="9"/>
  <c r="L89" i="9"/>
  <c r="L77" i="9"/>
  <c r="M45" i="44"/>
  <c r="L76" i="9"/>
  <c r="L66" i="9"/>
  <c r="L57" i="9" s="1"/>
  <c r="L56" i="9" s="1"/>
  <c r="L84" i="9"/>
  <c r="M85" i="18"/>
  <c r="M84" i="18" s="1"/>
  <c r="M88" i="18"/>
  <c r="M87" i="18"/>
  <c r="N23" i="44"/>
  <c r="M75" i="17"/>
  <c r="N68" i="17"/>
  <c r="N69" i="17"/>
  <c r="M79" i="17"/>
  <c r="M88" i="17" s="1"/>
  <c r="N98" i="19"/>
  <c r="N84" i="19" s="1"/>
  <c r="N36" i="19"/>
  <c r="N68" i="19" s="1"/>
  <c r="N67" i="19" s="1"/>
  <c r="N58" i="19" s="1"/>
  <c r="N57" i="19" s="1"/>
  <c r="J77" i="21"/>
  <c r="J67" i="21"/>
  <c r="J58" i="21" s="1"/>
  <c r="J57" i="21" s="1"/>
  <c r="K10" i="44"/>
  <c r="J78" i="21"/>
  <c r="J95" i="21"/>
  <c r="J96" i="21" s="1"/>
  <c r="K58" i="44"/>
  <c r="F2" i="43" l="1" a="1"/>
  <c r="F2" i="43" s="1"/>
  <c r="W33" i="40"/>
  <c r="W59" i="40"/>
  <c r="E2" i="43" a="1"/>
  <c r="E2" i="43" s="1"/>
  <c r="K87" i="21"/>
  <c r="O24" i="44"/>
  <c r="O25" i="44"/>
  <c r="K97" i="40"/>
  <c r="L88" i="9"/>
  <c r="L93" i="9" s="1"/>
  <c r="K95" i="40"/>
  <c r="K93" i="40" s="1"/>
  <c r="K96" i="40"/>
  <c r="K78" i="40"/>
  <c r="K67" i="40"/>
  <c r="K58" i="40" s="1"/>
  <c r="K57" i="40" s="1"/>
  <c r="K77" i="40"/>
  <c r="M42" i="44"/>
  <c r="M68" i="9"/>
  <c r="M69" i="9"/>
  <c r="M41" i="44"/>
  <c r="M87" i="17"/>
  <c r="N93" i="18"/>
  <c r="N94" i="18" s="1"/>
  <c r="N92" i="18" s="1"/>
  <c r="N97" i="18" s="1"/>
  <c r="N83" i="18" s="1"/>
  <c r="M90" i="18"/>
  <c r="M89" i="18"/>
  <c r="M80" i="17"/>
  <c r="M85" i="17" s="1"/>
  <c r="O70" i="19"/>
  <c r="O30" i="44"/>
  <c r="O69" i="19"/>
  <c r="N76" i="19"/>
  <c r="N80" i="19"/>
  <c r="N81" i="19" s="1"/>
  <c r="K5" i="44"/>
  <c r="J84" i="21"/>
  <c r="J86" i="21"/>
  <c r="K70" i="21"/>
  <c r="J85" i="21"/>
  <c r="J23" i="20"/>
  <c r="J22" i="20"/>
  <c r="J88" i="21"/>
  <c r="K6" i="44"/>
  <c r="J21" i="20"/>
  <c r="J104" i="21"/>
  <c r="K61" i="44" s="1"/>
  <c r="J102" i="21"/>
  <c r="K59" i="44" s="1"/>
  <c r="J105" i="21"/>
  <c r="K62" i="44" s="1"/>
  <c r="J103" i="21"/>
  <c r="M86" i="17" l="1"/>
  <c r="M84" i="17" s="1"/>
  <c r="M90" i="17" s="1"/>
  <c r="N79" i="18"/>
  <c r="N88" i="18" s="1"/>
  <c r="M97" i="9"/>
  <c r="M98" i="9" s="1"/>
  <c r="M96" i="9" s="1"/>
  <c r="M35" i="9" s="1"/>
  <c r="L94" i="9"/>
  <c r="L102" i="40"/>
  <c r="K99" i="40"/>
  <c r="K98" i="40"/>
  <c r="L70" i="40"/>
  <c r="L69" i="40"/>
  <c r="K83" i="40"/>
  <c r="K11" i="22"/>
  <c r="N35" i="18"/>
  <c r="N67" i="18" s="1"/>
  <c r="N66" i="18" s="1"/>
  <c r="N57" i="18" s="1"/>
  <c r="N56" i="18" s="1"/>
  <c r="N86" i="19"/>
  <c r="N88" i="19"/>
  <c r="N89" i="19"/>
  <c r="N87" i="19"/>
  <c r="K60" i="44"/>
  <c r="J101" i="21"/>
  <c r="K110" i="21" s="1"/>
  <c r="M101" i="9" l="1"/>
  <c r="M87" i="9" s="1"/>
  <c r="N80" i="18"/>
  <c r="N86" i="18" s="1"/>
  <c r="N87" i="18"/>
  <c r="O27" i="44"/>
  <c r="L103" i="40"/>
  <c r="K16" i="22"/>
  <c r="K14" i="22"/>
  <c r="K17" i="22"/>
  <c r="K15" i="22"/>
  <c r="K18" i="22"/>
  <c r="O69" i="18"/>
  <c r="N75" i="18"/>
  <c r="O68" i="18"/>
  <c r="M89" i="17"/>
  <c r="N93" i="17"/>
  <c r="N94" i="17" s="1"/>
  <c r="N92" i="17" s="1"/>
  <c r="N35" i="17" s="1"/>
  <c r="N67" i="17" s="1"/>
  <c r="N66" i="17" s="1"/>
  <c r="N57" i="17" s="1"/>
  <c r="N56" i="17" s="1"/>
  <c r="M67" i="9"/>
  <c r="N48" i="44"/>
  <c r="M83" i="9"/>
  <c r="N85" i="19"/>
  <c r="K111" i="21"/>
  <c r="K109" i="21" s="1"/>
  <c r="J107" i="21"/>
  <c r="J106" i="21"/>
  <c r="N85" i="18" l="1"/>
  <c r="N84" i="18" s="1"/>
  <c r="N89" i="18" s="1"/>
  <c r="L101" i="40"/>
  <c r="N97" i="17"/>
  <c r="N83" i="17" s="1"/>
  <c r="M84" i="9"/>
  <c r="M90" i="9" s="1"/>
  <c r="M92" i="9"/>
  <c r="M91" i="9"/>
  <c r="M66" i="9"/>
  <c r="M57" i="9" s="1"/>
  <c r="M56" i="9" s="1"/>
  <c r="M76" i="9"/>
  <c r="M77" i="9"/>
  <c r="N45" i="44"/>
  <c r="N75" i="17"/>
  <c r="O69" i="17"/>
  <c r="O68" i="17"/>
  <c r="O23" i="44"/>
  <c r="O94" i="19"/>
  <c r="O95" i="19" s="1"/>
  <c r="O93" i="19" s="1"/>
  <c r="N91" i="19"/>
  <c r="N90" i="19"/>
  <c r="K36" i="21"/>
  <c r="N90" i="18" l="1"/>
  <c r="O93" i="18"/>
  <c r="O94" i="18" s="1"/>
  <c r="O92" i="18" s="1"/>
  <c r="M89" i="9"/>
  <c r="M88" i="9" s="1"/>
  <c r="N79" i="17"/>
  <c r="N87" i="17" s="1"/>
  <c r="L106" i="40"/>
  <c r="L92" i="40" s="1"/>
  <c r="L36" i="40"/>
  <c r="N42" i="44"/>
  <c r="N41" i="44"/>
  <c r="N68" i="9"/>
  <c r="N69" i="9"/>
  <c r="O98" i="19"/>
  <c r="O84" i="19" s="1"/>
  <c r="O36" i="19"/>
  <c r="O68" i="19" s="1"/>
  <c r="O67" i="19" s="1"/>
  <c r="O58" i="19" s="1"/>
  <c r="O57" i="19" s="1"/>
  <c r="O35" i="18"/>
  <c r="O67" i="18" s="1"/>
  <c r="O66" i="18" s="1"/>
  <c r="O57" i="18" s="1"/>
  <c r="O56" i="18" s="1"/>
  <c r="O97" i="18"/>
  <c r="O83" i="18" s="1"/>
  <c r="L13" i="44"/>
  <c r="K90" i="21"/>
  <c r="K91" i="21" s="1"/>
  <c r="K12" i="21" s="1"/>
  <c r="M94" i="9" l="1"/>
  <c r="M93" i="9"/>
  <c r="N97" i="9"/>
  <c r="N98" i="9" s="1"/>
  <c r="N96" i="9" s="1"/>
  <c r="N101" i="9" s="1"/>
  <c r="N87" i="9" s="1"/>
  <c r="N88" i="17"/>
  <c r="N80" i="17"/>
  <c r="N85" i="17" s="1"/>
  <c r="K50" i="21"/>
  <c r="K79" i="21"/>
  <c r="K19" i="20"/>
  <c r="K13" i="21"/>
  <c r="K52" i="21"/>
  <c r="L7" i="44"/>
  <c r="K60" i="21"/>
  <c r="L68" i="40"/>
  <c r="L87" i="40"/>
  <c r="L88" i="40" s="1"/>
  <c r="L94" i="40" s="1"/>
  <c r="O79" i="18"/>
  <c r="O80" i="18" s="1"/>
  <c r="O85" i="18" s="1"/>
  <c r="O75" i="18"/>
  <c r="P68" i="18"/>
  <c r="P27" i="44"/>
  <c r="P69" i="18"/>
  <c r="P70" i="19"/>
  <c r="P30" i="44"/>
  <c r="P69" i="19"/>
  <c r="O76" i="19"/>
  <c r="O80" i="19"/>
  <c r="O81" i="19" s="1"/>
  <c r="N35" i="9" l="1"/>
  <c r="N86" i="17"/>
  <c r="N84" i="17" s="1"/>
  <c r="O93" i="17" s="1"/>
  <c r="O94" i="17" s="1"/>
  <c r="O92" i="17" s="1"/>
  <c r="K20" i="20"/>
  <c r="K23" i="21"/>
  <c r="L97" i="40"/>
  <c r="L96" i="40"/>
  <c r="L95" i="40"/>
  <c r="L93" i="40" s="1"/>
  <c r="L78" i="40"/>
  <c r="L77" i="40"/>
  <c r="L67" i="40"/>
  <c r="L58" i="40" s="1"/>
  <c r="L57" i="40" s="1"/>
  <c r="O48" i="44"/>
  <c r="N67" i="9"/>
  <c r="N83" i="9"/>
  <c r="N91" i="9" s="1"/>
  <c r="O88" i="18"/>
  <c r="O87" i="18"/>
  <c r="O86" i="18"/>
  <c r="O84" i="18" s="1"/>
  <c r="O86" i="19"/>
  <c r="O87" i="19"/>
  <c r="O89" i="19"/>
  <c r="O88" i="19"/>
  <c r="N89" i="17" l="1"/>
  <c r="N90" i="17"/>
  <c r="K24" i="21"/>
  <c r="K30" i="21"/>
  <c r="L98" i="40"/>
  <c r="M102" i="40"/>
  <c r="L99" i="40"/>
  <c r="L83" i="40"/>
  <c r="M70" i="40"/>
  <c r="L11" i="22"/>
  <c r="M69" i="40"/>
  <c r="N92" i="9"/>
  <c r="N84" i="9"/>
  <c r="N89" i="9" s="1"/>
  <c r="O45" i="44"/>
  <c r="N77" i="9"/>
  <c r="N66" i="9"/>
  <c r="N57" i="9" s="1"/>
  <c r="N56" i="9" s="1"/>
  <c r="N76" i="9"/>
  <c r="O90" i="18"/>
  <c r="P93" i="18"/>
  <c r="P94" i="18" s="1"/>
  <c r="P92" i="18" s="1"/>
  <c r="P35" i="18" s="1"/>
  <c r="P67" i="18" s="1"/>
  <c r="P66" i="18" s="1"/>
  <c r="P57" i="18" s="1"/>
  <c r="P56" i="18" s="1"/>
  <c r="O89" i="18"/>
  <c r="O97" i="17"/>
  <c r="O83" i="17" s="1"/>
  <c r="O35" i="17"/>
  <c r="O67" i="17" s="1"/>
  <c r="O66" i="17" s="1"/>
  <c r="O57" i="17" s="1"/>
  <c r="O56" i="17" s="1"/>
  <c r="O85" i="19"/>
  <c r="N90" i="9" l="1"/>
  <c r="N88" i="9" s="1"/>
  <c r="C28" i="22"/>
  <c r="C31" i="22"/>
  <c r="C22" i="22"/>
  <c r="C30" i="22"/>
  <c r="C29" i="22"/>
  <c r="C27" i="22"/>
  <c r="K62" i="21"/>
  <c r="L51" i="21"/>
  <c r="L16" i="44"/>
  <c r="K33" i="21"/>
  <c r="K69" i="21" s="1"/>
  <c r="K114" i="21"/>
  <c r="L16" i="22"/>
  <c r="L14" i="22"/>
  <c r="L18" i="22"/>
  <c r="L17" i="22"/>
  <c r="L15" i="22"/>
  <c r="M103" i="40"/>
  <c r="O42" i="44"/>
  <c r="O68" i="9"/>
  <c r="O69" i="9"/>
  <c r="O41" i="44"/>
  <c r="P97" i="18"/>
  <c r="P83" i="18" s="1"/>
  <c r="P23" i="44"/>
  <c r="P69" i="17"/>
  <c r="P68" i="17"/>
  <c r="O75" i="17"/>
  <c r="O79" i="17"/>
  <c r="O87" i="17" s="1"/>
  <c r="P75" i="18"/>
  <c r="Q69" i="18"/>
  <c r="Q27" i="44"/>
  <c r="Q68" i="18"/>
  <c r="P94" i="19"/>
  <c r="P95" i="19" s="1"/>
  <c r="P93" i="19" s="1"/>
  <c r="O91" i="19"/>
  <c r="O90" i="19"/>
  <c r="K100" i="21" l="1"/>
  <c r="P79" i="18"/>
  <c r="P80" i="18" s="1"/>
  <c r="P86" i="18" s="1"/>
  <c r="L8" i="44"/>
  <c r="K59" i="21"/>
  <c r="L18" i="44"/>
  <c r="K68" i="21"/>
  <c r="L58" i="44"/>
  <c r="K95" i="21"/>
  <c r="K96" i="21" s="1"/>
  <c r="M101" i="40"/>
  <c r="P87" i="18"/>
  <c r="P88" i="18"/>
  <c r="P85" i="18"/>
  <c r="N93" i="9"/>
  <c r="O97" i="9"/>
  <c r="O98" i="9" s="1"/>
  <c r="O96" i="9" s="1"/>
  <c r="N94" i="9"/>
  <c r="O88" i="17"/>
  <c r="O80" i="17"/>
  <c r="O85" i="17" s="1"/>
  <c r="P98" i="19"/>
  <c r="P84" i="19" s="1"/>
  <c r="P36" i="19"/>
  <c r="P68" i="19" s="1"/>
  <c r="P67" i="19" s="1"/>
  <c r="P58" i="19" s="1"/>
  <c r="P57" i="19" s="1"/>
  <c r="P84" i="18" l="1"/>
  <c r="O86" i="17"/>
  <c r="O84" i="17" s="1"/>
  <c r="P93" i="17" s="1"/>
  <c r="K104" i="21"/>
  <c r="L61" i="44" s="1"/>
  <c r="K102" i="21"/>
  <c r="L59" i="44" s="1"/>
  <c r="K105" i="21"/>
  <c r="L62" i="44" s="1"/>
  <c r="K103" i="21"/>
  <c r="K67" i="21"/>
  <c r="K58" i="21" s="1"/>
  <c r="K57" i="21" s="1"/>
  <c r="L10" i="44"/>
  <c r="K78" i="21"/>
  <c r="K77" i="21"/>
  <c r="M36" i="40"/>
  <c r="M106" i="40"/>
  <c r="M92" i="40" s="1"/>
  <c r="P89" i="18"/>
  <c r="Q93" i="18"/>
  <c r="Q94" i="18" s="1"/>
  <c r="Q92" i="18" s="1"/>
  <c r="Q35" i="18" s="1"/>
  <c r="Q67" i="18" s="1"/>
  <c r="Q66" i="18" s="1"/>
  <c r="Q57" i="18" s="1"/>
  <c r="Q56" i="18" s="1"/>
  <c r="P90" i="18"/>
  <c r="O101" i="9"/>
  <c r="O87" i="9" s="1"/>
  <c r="O35" i="9"/>
  <c r="Q70" i="19"/>
  <c r="Q69" i="19"/>
  <c r="P76" i="19"/>
  <c r="Q30" i="44"/>
  <c r="P80" i="19"/>
  <c r="P81" i="19" s="1"/>
  <c r="P94" i="17" l="1"/>
  <c r="P92" i="17" s="1"/>
  <c r="O89" i="17"/>
  <c r="O90" i="17"/>
  <c r="L87" i="21"/>
  <c r="K21" i="20"/>
  <c r="L6" i="44"/>
  <c r="K22" i="20"/>
  <c r="K88" i="21"/>
  <c r="L70" i="21"/>
  <c r="L5" i="44"/>
  <c r="K86" i="21"/>
  <c r="K83" i="21"/>
  <c r="K85" i="21"/>
  <c r="K23" i="20"/>
  <c r="K84" i="21"/>
  <c r="L60" i="44"/>
  <c r="K101" i="21"/>
  <c r="K106" i="21" s="1"/>
  <c r="M87" i="40"/>
  <c r="M88" i="40" s="1"/>
  <c r="M95" i="40" s="1"/>
  <c r="M68" i="40"/>
  <c r="R27" i="44"/>
  <c r="Q97" i="18"/>
  <c r="Q83" i="18" s="1"/>
  <c r="Q75" i="18"/>
  <c r="R68" i="18"/>
  <c r="R69" i="18"/>
  <c r="P48" i="44"/>
  <c r="O67" i="9"/>
  <c r="O83" i="9"/>
  <c r="P35" i="17"/>
  <c r="P67" i="17" s="1"/>
  <c r="P66" i="17" s="1"/>
  <c r="P57" i="17" s="1"/>
  <c r="P56" i="17" s="1"/>
  <c r="P97" i="17"/>
  <c r="P83" i="17" s="1"/>
  <c r="P86" i="19"/>
  <c r="P88" i="19"/>
  <c r="P87" i="19"/>
  <c r="P89" i="19"/>
  <c r="Q79" i="18" l="1"/>
  <c r="Q80" i="18" s="1"/>
  <c r="L110" i="21"/>
  <c r="L111" i="21" s="1"/>
  <c r="L109" i="21" s="1"/>
  <c r="K107" i="21"/>
  <c r="M96" i="40"/>
  <c r="M94" i="40"/>
  <c r="M93" i="40" s="1"/>
  <c r="M97" i="40"/>
  <c r="Q88" i="18"/>
  <c r="M78" i="40"/>
  <c r="M67" i="40"/>
  <c r="M58" i="40" s="1"/>
  <c r="M57" i="40" s="1"/>
  <c r="M77" i="40"/>
  <c r="Q85" i="18"/>
  <c r="Q86" i="18"/>
  <c r="O84" i="9"/>
  <c r="O89" i="9" s="1"/>
  <c r="O91" i="9"/>
  <c r="O92" i="9"/>
  <c r="O76" i="9"/>
  <c r="O66" i="9"/>
  <c r="O57" i="9" s="1"/>
  <c r="O56" i="9" s="1"/>
  <c r="P45" i="44"/>
  <c r="O77" i="9"/>
  <c r="P79" i="17"/>
  <c r="P80" i="17" s="1"/>
  <c r="Q68" i="17"/>
  <c r="Q69" i="17"/>
  <c r="Q23" i="44"/>
  <c r="P75" i="17"/>
  <c r="P85" i="19"/>
  <c r="Q87" i="18" l="1"/>
  <c r="O90" i="9"/>
  <c r="O88" i="9" s="1"/>
  <c r="L36" i="21"/>
  <c r="M99" i="40"/>
  <c r="N102" i="40"/>
  <c r="N103" i="40" s="1"/>
  <c r="M98" i="40"/>
  <c r="Q84" i="18"/>
  <c r="Q90" i="18" s="1"/>
  <c r="N69" i="40"/>
  <c r="M11" i="22"/>
  <c r="M83" i="40"/>
  <c r="N70" i="40"/>
  <c r="P42" i="44"/>
  <c r="P41" i="44"/>
  <c r="P69" i="9"/>
  <c r="P68" i="9"/>
  <c r="P85" i="17"/>
  <c r="P86" i="17"/>
  <c r="P88" i="17"/>
  <c r="P87" i="17"/>
  <c r="Q94" i="19"/>
  <c r="Q95" i="19" s="1"/>
  <c r="Q93" i="19" s="1"/>
  <c r="P91" i="19"/>
  <c r="P90" i="19"/>
  <c r="D27" i="22" l="1"/>
  <c r="D31" i="22"/>
  <c r="D28" i="22"/>
  <c r="H36" i="44"/>
  <c r="D22" i="22"/>
  <c r="D30" i="22"/>
  <c r="D29" i="22"/>
  <c r="M13" i="44"/>
  <c r="L90" i="21"/>
  <c r="L91" i="21" s="1"/>
  <c r="L12" i="21" s="1"/>
  <c r="R93" i="18"/>
  <c r="R94" i="18" s="1"/>
  <c r="R92" i="18" s="1"/>
  <c r="R97" i="18" s="1"/>
  <c r="R83" i="18" s="1"/>
  <c r="Q89" i="18"/>
  <c r="M16" i="22"/>
  <c r="M14" i="22"/>
  <c r="M15" i="22"/>
  <c r="M18" i="22"/>
  <c r="M17" i="22"/>
  <c r="N101" i="40"/>
  <c r="P84" i="17"/>
  <c r="Q93" i="17" s="1"/>
  <c r="Q94" i="17" s="1"/>
  <c r="Q92" i="17" s="1"/>
  <c r="O93" i="9"/>
  <c r="O94" i="9"/>
  <c r="P97" i="9"/>
  <c r="P98" i="9" s="1"/>
  <c r="P96" i="9" s="1"/>
  <c r="Q36" i="19"/>
  <c r="Q68" i="19" s="1"/>
  <c r="Q67" i="19" s="1"/>
  <c r="Q58" i="19" s="1"/>
  <c r="Q57" i="19" s="1"/>
  <c r="Q98" i="19"/>
  <c r="Q84" i="19" s="1"/>
  <c r="R79" i="18" l="1"/>
  <c r="R80" i="18" s="1"/>
  <c r="L60" i="21"/>
  <c r="L13" i="21"/>
  <c r="L19" i="20"/>
  <c r="L52" i="21"/>
  <c r="M7" i="44"/>
  <c r="L50" i="21"/>
  <c r="L79" i="21"/>
  <c r="R35" i="18"/>
  <c r="R67" i="18" s="1"/>
  <c r="R66" i="18" s="1"/>
  <c r="R57" i="18" s="1"/>
  <c r="R56" i="18" s="1"/>
  <c r="N106" i="40"/>
  <c r="N92" i="40" s="1"/>
  <c r="N36" i="40"/>
  <c r="P89" i="17"/>
  <c r="P90" i="17"/>
  <c r="P35" i="9"/>
  <c r="P101" i="9"/>
  <c r="P87" i="9" s="1"/>
  <c r="Q97" i="17"/>
  <c r="Q83" i="17" s="1"/>
  <c r="Q35" i="17"/>
  <c r="Q67" i="17" s="1"/>
  <c r="Q66" i="17" s="1"/>
  <c r="Q57" i="17" s="1"/>
  <c r="Q56" i="17" s="1"/>
  <c r="Q80" i="19"/>
  <c r="Q81" i="19" s="1"/>
  <c r="Q87" i="19" s="1"/>
  <c r="R69" i="19"/>
  <c r="R70" i="19"/>
  <c r="R30" i="44"/>
  <c r="Q76" i="19"/>
  <c r="R85" i="18"/>
  <c r="R86" i="18"/>
  <c r="R88" i="18"/>
  <c r="R87" i="18"/>
  <c r="S69" i="18" l="1"/>
  <c r="S68" i="18"/>
  <c r="L23" i="21"/>
  <c r="R75" i="18"/>
  <c r="S27" i="44"/>
  <c r="L20" i="20"/>
  <c r="N68" i="40"/>
  <c r="N87" i="40"/>
  <c r="N97" i="40" s="1"/>
  <c r="P83" i="9"/>
  <c r="Q48" i="44"/>
  <c r="P67" i="9"/>
  <c r="Q89" i="19"/>
  <c r="R84" i="18"/>
  <c r="R89" i="18" s="1"/>
  <c r="R68" i="17"/>
  <c r="R69" i="17"/>
  <c r="Q75" i="17"/>
  <c r="R23" i="44"/>
  <c r="Q79" i="17"/>
  <c r="Q80" i="17" s="1"/>
  <c r="Q88" i="19"/>
  <c r="Q86" i="19"/>
  <c r="Q85" i="19" s="1"/>
  <c r="L30" i="21" l="1"/>
  <c r="L24" i="21"/>
  <c r="N96" i="40"/>
  <c r="N88" i="40"/>
  <c r="N94" i="40" s="1"/>
  <c r="N77" i="40"/>
  <c r="N78" i="40"/>
  <c r="N67" i="40"/>
  <c r="N58" i="40" s="1"/>
  <c r="N57" i="40" s="1"/>
  <c r="P77" i="9"/>
  <c r="Q45" i="44"/>
  <c r="P66" i="9"/>
  <c r="P57" i="9" s="1"/>
  <c r="P56" i="9" s="1"/>
  <c r="P76" i="9"/>
  <c r="P84" i="9"/>
  <c r="P89" i="9" s="1"/>
  <c r="P91" i="9"/>
  <c r="P92" i="9"/>
  <c r="S93" i="18"/>
  <c r="S94" i="18" s="1"/>
  <c r="S92" i="18" s="1"/>
  <c r="S35" i="18" s="1"/>
  <c r="S67" i="18" s="1"/>
  <c r="S66" i="18" s="1"/>
  <c r="S57" i="18" s="1"/>
  <c r="S56" i="18" s="1"/>
  <c r="R90" i="18"/>
  <c r="Q87" i="17"/>
  <c r="Q86" i="17"/>
  <c r="Q88" i="17"/>
  <c r="Q85" i="17"/>
  <c r="Q91" i="19"/>
  <c r="R94" i="19"/>
  <c r="R95" i="19" s="1"/>
  <c r="R93" i="19" s="1"/>
  <c r="Q90" i="19"/>
  <c r="N95" i="40" l="1"/>
  <c r="N93" i="40" s="1"/>
  <c r="P90" i="9"/>
  <c r="P88" i="9" s="1"/>
  <c r="L33" i="21"/>
  <c r="L69" i="21" s="1"/>
  <c r="M16" i="44"/>
  <c r="L114" i="21"/>
  <c r="L62" i="21"/>
  <c r="M51" i="21"/>
  <c r="N83" i="40"/>
  <c r="O70" i="40"/>
  <c r="N11" i="22"/>
  <c r="O69" i="40"/>
  <c r="S75" i="18"/>
  <c r="Q42" i="44"/>
  <c r="S97" i="18"/>
  <c r="S83" i="18" s="1"/>
  <c r="T68" i="18"/>
  <c r="T27" i="44"/>
  <c r="Q68" i="9"/>
  <c r="Q69" i="9"/>
  <c r="Q41" i="44"/>
  <c r="T69" i="18"/>
  <c r="Q84" i="17"/>
  <c r="Q89" i="17" s="1"/>
  <c r="R36" i="19"/>
  <c r="R68" i="19" s="1"/>
  <c r="R67" i="19" s="1"/>
  <c r="R58" i="19" s="1"/>
  <c r="R57" i="19" s="1"/>
  <c r="R98" i="19"/>
  <c r="R84" i="19" s="1"/>
  <c r="N99" i="40" l="1"/>
  <c r="O102" i="40"/>
  <c r="N98" i="40"/>
  <c r="S79" i="18"/>
  <c r="S80" i="18" s="1"/>
  <c r="Q97" i="9"/>
  <c r="Q98" i="9" s="1"/>
  <c r="Q96" i="9" s="1"/>
  <c r="Q101" i="9" s="1"/>
  <c r="Q87" i="9" s="1"/>
  <c r="P94" i="9"/>
  <c r="P93" i="9"/>
  <c r="E31" i="22"/>
  <c r="E27" i="22"/>
  <c r="E29" i="22"/>
  <c r="E28" i="22"/>
  <c r="E22" i="22"/>
  <c r="E30" i="22"/>
  <c r="M8" i="44"/>
  <c r="L59" i="21"/>
  <c r="L100" i="21"/>
  <c r="M18" i="44"/>
  <c r="L68" i="21"/>
  <c r="N18" i="22"/>
  <c r="N17" i="22"/>
  <c r="N14" i="22"/>
  <c r="N15" i="22"/>
  <c r="N16" i="22"/>
  <c r="Q90" i="17"/>
  <c r="R93" i="17"/>
  <c r="R94" i="17" s="1"/>
  <c r="R92" i="17" s="1"/>
  <c r="R35" i="17" s="1"/>
  <c r="R67" i="17" s="1"/>
  <c r="R66" i="17" s="1"/>
  <c r="R57" i="17" s="1"/>
  <c r="R56" i="17" s="1"/>
  <c r="R80" i="19"/>
  <c r="R81" i="19" s="1"/>
  <c r="R76" i="19"/>
  <c r="S70" i="19"/>
  <c r="S69" i="19"/>
  <c r="S30" i="44"/>
  <c r="Q35" i="9" l="1"/>
  <c r="O103" i="40"/>
  <c r="O101" i="40" s="1"/>
  <c r="S86" i="18"/>
  <c r="S88" i="18"/>
  <c r="S85" i="18"/>
  <c r="S84" i="18" s="1"/>
  <c r="S87" i="18"/>
  <c r="M10" i="44"/>
  <c r="L67" i="21"/>
  <c r="L58" i="21" s="1"/>
  <c r="L57" i="21" s="1"/>
  <c r="L78" i="21"/>
  <c r="L77" i="21"/>
  <c r="M58" i="44"/>
  <c r="L95" i="21"/>
  <c r="L96" i="21" s="1"/>
  <c r="R97" i="17"/>
  <c r="R83" i="17" s="1"/>
  <c r="Q67" i="9"/>
  <c r="Q83" i="9"/>
  <c r="R48" i="44"/>
  <c r="R87" i="19"/>
  <c r="R89" i="19"/>
  <c r="R86" i="19"/>
  <c r="R88" i="19"/>
  <c r="S69" i="17"/>
  <c r="S68" i="17"/>
  <c r="R75" i="17"/>
  <c r="S23" i="44"/>
  <c r="S89" i="18" l="1"/>
  <c r="R79" i="17"/>
  <c r="R80" i="17" s="1"/>
  <c r="R86" i="17" s="1"/>
  <c r="L103" i="21"/>
  <c r="M60" i="44" s="1"/>
  <c r="L102" i="21"/>
  <c r="M59" i="44" s="1"/>
  <c r="L105" i="21"/>
  <c r="M62" i="44" s="1"/>
  <c r="L104" i="21"/>
  <c r="M61" i="44" s="1"/>
  <c r="R45" i="44"/>
  <c r="Q77" i="9"/>
  <c r="Q66" i="9"/>
  <c r="Q57" i="9" s="1"/>
  <c r="Q56" i="9" s="1"/>
  <c r="R68" i="9" s="1"/>
  <c r="Q76" i="9"/>
  <c r="Q92" i="9"/>
  <c r="L21" i="20"/>
  <c r="M6" i="44"/>
  <c r="M87" i="21"/>
  <c r="N87" i="21" s="1"/>
  <c r="O87" i="21" s="1"/>
  <c r="P87" i="21" s="1"/>
  <c r="Q87" i="21" s="1"/>
  <c r="R87" i="21" s="1"/>
  <c r="S87" i="21" s="1"/>
  <c r="T87" i="21" s="1"/>
  <c r="U87" i="21" s="1"/>
  <c r="V87" i="21" s="1"/>
  <c r="W87" i="21" s="1"/>
  <c r="L22" i="20"/>
  <c r="L88" i="21"/>
  <c r="L86" i="21"/>
  <c r="L85" i="21"/>
  <c r="M5" i="44"/>
  <c r="L84" i="21"/>
  <c r="L23" i="20"/>
  <c r="M70" i="21"/>
  <c r="L83" i="21"/>
  <c r="L101" i="21"/>
  <c r="Q91" i="9"/>
  <c r="Q84" i="9"/>
  <c r="Q90" i="9" s="1"/>
  <c r="O106" i="40"/>
  <c r="O92" i="40" s="1"/>
  <c r="O36" i="40"/>
  <c r="T93" i="18"/>
  <c r="T94" i="18" s="1"/>
  <c r="T92" i="18" s="1"/>
  <c r="S90" i="18"/>
  <c r="R85" i="19"/>
  <c r="S94" i="19" s="1"/>
  <c r="S95" i="19" s="1"/>
  <c r="S93" i="19" s="1"/>
  <c r="R88" i="17"/>
  <c r="R87" i="17" l="1"/>
  <c r="R85" i="17"/>
  <c r="R41" i="44"/>
  <c r="R69" i="9"/>
  <c r="Q89" i="9"/>
  <c r="Q88" i="9" s="1"/>
  <c r="R97" i="9" s="1"/>
  <c r="R98" i="9" s="1"/>
  <c r="R96" i="9" s="1"/>
  <c r="R42" i="44"/>
  <c r="M110" i="21"/>
  <c r="M111" i="21" s="1"/>
  <c r="M109" i="21" s="1"/>
  <c r="L106" i="21"/>
  <c r="L107" i="21"/>
  <c r="O68" i="40"/>
  <c r="O87" i="40"/>
  <c r="O88" i="40" s="1"/>
  <c r="O95" i="40" s="1"/>
  <c r="R91" i="19"/>
  <c r="R90" i="19"/>
  <c r="T35" i="18"/>
  <c r="T67" i="18" s="1"/>
  <c r="T66" i="18" s="1"/>
  <c r="T57" i="18" s="1"/>
  <c r="T56" i="18" s="1"/>
  <c r="T97" i="18"/>
  <c r="T83" i="18" s="1"/>
  <c r="S36" i="19"/>
  <c r="S68" i="19" s="1"/>
  <c r="S67" i="19" s="1"/>
  <c r="S58" i="19" s="1"/>
  <c r="S57" i="19" s="1"/>
  <c r="S98" i="19"/>
  <c r="S84" i="19" s="1"/>
  <c r="R84" i="17"/>
  <c r="S93" i="17" s="1"/>
  <c r="S94" i="17" s="1"/>
  <c r="S92" i="17" s="1"/>
  <c r="Q94" i="9" l="1"/>
  <c r="T79" i="18"/>
  <c r="T80" i="18" s="1"/>
  <c r="Q93" i="9"/>
  <c r="S80" i="19"/>
  <c r="S81" i="19" s="1"/>
  <c r="R35" i="9"/>
  <c r="R101" i="9"/>
  <c r="R87" i="9" s="1"/>
  <c r="O94" i="40"/>
  <c r="O93" i="40" s="1"/>
  <c r="M36" i="21"/>
  <c r="O97" i="40"/>
  <c r="O96" i="40"/>
  <c r="O78" i="40"/>
  <c r="O67" i="40"/>
  <c r="O58" i="40" s="1"/>
  <c r="O57" i="40" s="1"/>
  <c r="O77" i="40"/>
  <c r="U69" i="18"/>
  <c r="U68" i="18"/>
  <c r="T75" i="18"/>
  <c r="U27" i="44"/>
  <c r="R67" i="9"/>
  <c r="S48" i="44"/>
  <c r="R89" i="17"/>
  <c r="R90" i="17"/>
  <c r="T30" i="44"/>
  <c r="S76" i="19"/>
  <c r="T69" i="19"/>
  <c r="T70" i="19"/>
  <c r="S35" i="17"/>
  <c r="S67" i="17" s="1"/>
  <c r="S66" i="17" s="1"/>
  <c r="S57" i="17" s="1"/>
  <c r="S56" i="17" s="1"/>
  <c r="S97" i="17"/>
  <c r="S83" i="17" s="1"/>
  <c r="T86" i="18" l="1"/>
  <c r="S88" i="19"/>
  <c r="T87" i="18"/>
  <c r="S87" i="19"/>
  <c r="T85" i="18"/>
  <c r="T84" i="18" s="1"/>
  <c r="T88" i="18"/>
  <c r="S86" i="19"/>
  <c r="S85" i="19" s="1"/>
  <c r="S89" i="19"/>
  <c r="S79" i="17"/>
  <c r="S80" i="17" s="1"/>
  <c r="R83" i="9"/>
  <c r="R91" i="9" s="1"/>
  <c r="N13" i="44"/>
  <c r="M90" i="21"/>
  <c r="M91" i="21" s="1"/>
  <c r="M12" i="21" s="1"/>
  <c r="O98" i="40"/>
  <c r="P102" i="40"/>
  <c r="P103" i="40" s="1"/>
  <c r="O99" i="40"/>
  <c r="P70" i="40"/>
  <c r="P69" i="40"/>
  <c r="O11" i="22"/>
  <c r="O83" i="40"/>
  <c r="T69" i="17"/>
  <c r="R66" i="9"/>
  <c r="R57" i="9" s="1"/>
  <c r="R56" i="9" s="1"/>
  <c r="S45" i="44"/>
  <c r="R77" i="9"/>
  <c r="R76" i="9"/>
  <c r="T23" i="44"/>
  <c r="T68" i="17"/>
  <c r="S75" i="17"/>
  <c r="T90" i="18" l="1"/>
  <c r="S88" i="17"/>
  <c r="S87" i="17"/>
  <c r="S90" i="19"/>
  <c r="R84" i="9"/>
  <c r="R89" i="9" s="1"/>
  <c r="R92" i="9"/>
  <c r="S86" i="17"/>
  <c r="S85" i="17"/>
  <c r="R90" i="9"/>
  <c r="R88" i="9" s="1"/>
  <c r="R93" i="9" s="1"/>
  <c r="M60" i="21"/>
  <c r="M13" i="21"/>
  <c r="N7" i="44"/>
  <c r="N12" i="21"/>
  <c r="M19" i="20"/>
  <c r="M79" i="21"/>
  <c r="M52" i="21"/>
  <c r="M50" i="21"/>
  <c r="F22" i="22"/>
  <c r="F28" i="22"/>
  <c r="F31" i="22"/>
  <c r="F27" i="22"/>
  <c r="F30" i="22"/>
  <c r="F29" i="22"/>
  <c r="P101" i="40"/>
  <c r="O15" i="22"/>
  <c r="O17" i="22"/>
  <c r="O16" i="22"/>
  <c r="O14" i="22"/>
  <c r="O18" i="22"/>
  <c r="U93" i="18"/>
  <c r="U94" i="18" s="1"/>
  <c r="U92" i="18" s="1"/>
  <c r="U97" i="18" s="1"/>
  <c r="U83" i="18" s="1"/>
  <c r="T89" i="18"/>
  <c r="S91" i="19"/>
  <c r="T94" i="19"/>
  <c r="T95" i="19" s="1"/>
  <c r="T93" i="19" s="1"/>
  <c r="T36" i="19" s="1"/>
  <c r="T68" i="19" s="1"/>
  <c r="T67" i="19" s="1"/>
  <c r="T58" i="19" s="1"/>
  <c r="T57" i="19" s="1"/>
  <c r="S42" i="44"/>
  <c r="S68" i="9"/>
  <c r="S69" i="9"/>
  <c r="S41" i="44"/>
  <c r="U79" i="18" l="1"/>
  <c r="S84" i="17"/>
  <c r="S89" i="17" s="1"/>
  <c r="U80" i="18"/>
  <c r="U85" i="18" s="1"/>
  <c r="M20" i="20"/>
  <c r="G27" i="20" s="1"/>
  <c r="D81" i="21"/>
  <c r="O12" i="20"/>
  <c r="N12" i="20" s="1"/>
  <c r="G25" i="20"/>
  <c r="N60" i="21"/>
  <c r="O12" i="21"/>
  <c r="N52" i="21"/>
  <c r="N79" i="21"/>
  <c r="N50" i="21"/>
  <c r="O7" i="44"/>
  <c r="N13" i="21"/>
  <c r="M23" i="21"/>
  <c r="U35" i="18"/>
  <c r="U67" i="18" s="1"/>
  <c r="U66" i="18" s="1"/>
  <c r="U57" i="18" s="1"/>
  <c r="U56" i="18" s="1"/>
  <c r="P36" i="40"/>
  <c r="P106" i="40"/>
  <c r="P92" i="40" s="1"/>
  <c r="T93" i="17"/>
  <c r="T94" i="17" s="1"/>
  <c r="T92" i="17" s="1"/>
  <c r="T97" i="17" s="1"/>
  <c r="T83" i="17" s="1"/>
  <c r="S90" i="17"/>
  <c r="T98" i="19"/>
  <c r="T84" i="19" s="1"/>
  <c r="R94" i="9"/>
  <c r="S97" i="9"/>
  <c r="S98" i="9" s="1"/>
  <c r="S96" i="9" s="1"/>
  <c r="U30" i="44"/>
  <c r="T76" i="19"/>
  <c r="U69" i="19"/>
  <c r="U70" i="19"/>
  <c r="U87" i="18"/>
  <c r="U86" i="18"/>
  <c r="U88" i="18"/>
  <c r="V68" i="18" l="1"/>
  <c r="T80" i="19"/>
  <c r="T81" i="19" s="1"/>
  <c r="T86" i="19" s="1"/>
  <c r="U84" i="18"/>
  <c r="V93" i="18" s="1"/>
  <c r="V94" i="18" s="1"/>
  <c r="V92" i="18" s="1"/>
  <c r="O60" i="21"/>
  <c r="P12" i="21"/>
  <c r="O13" i="21"/>
  <c r="P7" i="44"/>
  <c r="O79" i="21"/>
  <c r="O50" i="21"/>
  <c r="O52" i="21"/>
  <c r="U75" i="18"/>
  <c r="V27" i="44"/>
  <c r="M24" i="21"/>
  <c r="M30" i="21"/>
  <c r="O51" i="21" s="1"/>
  <c r="V69" i="18"/>
  <c r="P87" i="40"/>
  <c r="P88" i="40" s="1"/>
  <c r="P95" i="40" s="1"/>
  <c r="T35" i="17"/>
  <c r="T67" i="17" s="1"/>
  <c r="T66" i="17" s="1"/>
  <c r="T57" i="17" s="1"/>
  <c r="T56" i="17" s="1"/>
  <c r="P68" i="40"/>
  <c r="S35" i="9"/>
  <c r="S101" i="9"/>
  <c r="S87" i="9" s="1"/>
  <c r="T88" i="19"/>
  <c r="T89" i="19"/>
  <c r="T79" i="17"/>
  <c r="T80" i="17" s="1"/>
  <c r="T85" i="17" s="1"/>
  <c r="U89" i="18" l="1"/>
  <c r="T87" i="19"/>
  <c r="U90" i="18"/>
  <c r="U68" i="17"/>
  <c r="U23" i="44"/>
  <c r="U69" i="17"/>
  <c r="T75" i="17"/>
  <c r="P51" i="21"/>
  <c r="M33" i="21"/>
  <c r="M69" i="21" s="1"/>
  <c r="N16" i="44"/>
  <c r="M114" i="21"/>
  <c r="P52" i="21"/>
  <c r="Q12" i="21"/>
  <c r="P79" i="21"/>
  <c r="P60" i="21"/>
  <c r="P50" i="21"/>
  <c r="P13" i="21"/>
  <c r="Q7" i="44"/>
  <c r="M62" i="21"/>
  <c r="N51" i="21"/>
  <c r="N23" i="21" s="1"/>
  <c r="P96" i="40"/>
  <c r="P97" i="40"/>
  <c r="P94" i="40"/>
  <c r="P93" i="40" s="1"/>
  <c r="P67" i="40"/>
  <c r="P58" i="40" s="1"/>
  <c r="P57" i="40" s="1"/>
  <c r="P77" i="40"/>
  <c r="P78" i="40"/>
  <c r="S83" i="9"/>
  <c r="T48" i="44"/>
  <c r="S67" i="9"/>
  <c r="T86" i="17"/>
  <c r="T84" i="17" s="1"/>
  <c r="T85" i="19"/>
  <c r="T91" i="19" s="1"/>
  <c r="T88" i="17"/>
  <c r="T87" i="17"/>
  <c r="V97" i="18"/>
  <c r="V83" i="18" s="1"/>
  <c r="V35" i="18"/>
  <c r="V67" i="18" s="1"/>
  <c r="V66" i="18" s="1"/>
  <c r="V57" i="18" s="1"/>
  <c r="V56" i="18" s="1"/>
  <c r="M100" i="21" l="1"/>
  <c r="N58" i="44" s="1"/>
  <c r="Q51" i="21"/>
  <c r="N18" i="44"/>
  <c r="M68" i="21"/>
  <c r="N30" i="21"/>
  <c r="N62" i="21" s="1"/>
  <c r="N24" i="21"/>
  <c r="Q60" i="21"/>
  <c r="R7" i="44"/>
  <c r="Q13" i="21"/>
  <c r="Q52" i="21"/>
  <c r="Q79" i="21"/>
  <c r="Q50" i="21"/>
  <c r="R12" i="21"/>
  <c r="N8" i="44"/>
  <c r="M59" i="21"/>
  <c r="O23" i="21"/>
  <c r="P23" i="21" s="1"/>
  <c r="P99" i="40"/>
  <c r="Q102" i="40"/>
  <c r="P98" i="40"/>
  <c r="Q70" i="40"/>
  <c r="Q69" i="40"/>
  <c r="P11" i="22"/>
  <c r="P83" i="40"/>
  <c r="S90" i="9"/>
  <c r="S91" i="9"/>
  <c r="S92" i="9"/>
  <c r="S77" i="9"/>
  <c r="S76" i="9"/>
  <c r="S66" i="9"/>
  <c r="S57" i="9" s="1"/>
  <c r="S56" i="9" s="1"/>
  <c r="T45" i="44"/>
  <c r="U94" i="19"/>
  <c r="U95" i="19" s="1"/>
  <c r="U93" i="19" s="1"/>
  <c r="U36" i="19" s="1"/>
  <c r="U68" i="19" s="1"/>
  <c r="U67" i="19" s="1"/>
  <c r="U58" i="19" s="1"/>
  <c r="U57" i="19" s="1"/>
  <c r="T90" i="19"/>
  <c r="S84" i="9"/>
  <c r="S89" i="9" s="1"/>
  <c r="T89" i="17"/>
  <c r="T90" i="17"/>
  <c r="U93" i="17"/>
  <c r="U94" i="17" s="1"/>
  <c r="U92" i="17" s="1"/>
  <c r="V75" i="18"/>
  <c r="W69" i="18"/>
  <c r="W68" i="18"/>
  <c r="W27" i="44"/>
  <c r="V79" i="18"/>
  <c r="V80" i="18" s="1"/>
  <c r="S88" i="9" l="1"/>
  <c r="M95" i="21"/>
  <c r="M96" i="21" s="1"/>
  <c r="M103" i="21" s="1"/>
  <c r="N60" i="44" s="1"/>
  <c r="M77" i="21"/>
  <c r="N6" i="44" s="1"/>
  <c r="M104" i="21"/>
  <c r="N61" i="44" s="1"/>
  <c r="O8" i="44"/>
  <c r="N59" i="21"/>
  <c r="P14" i="22"/>
  <c r="P15" i="22"/>
  <c r="P18" i="22"/>
  <c r="P17" i="22"/>
  <c r="P16" i="22"/>
  <c r="G27" i="22"/>
  <c r="G31" i="22"/>
  <c r="G28" i="22"/>
  <c r="G22" i="22"/>
  <c r="G29" i="22"/>
  <c r="G30" i="22"/>
  <c r="N10" i="44"/>
  <c r="M67" i="21"/>
  <c r="M58" i="21" s="1"/>
  <c r="M57" i="21" s="1"/>
  <c r="M78" i="21"/>
  <c r="O24" i="21"/>
  <c r="O30" i="21"/>
  <c r="O62" i="21" s="1"/>
  <c r="S7" i="44"/>
  <c r="R52" i="21"/>
  <c r="R60" i="21"/>
  <c r="S12" i="21"/>
  <c r="R79" i="21"/>
  <c r="R13" i="21"/>
  <c r="R50" i="21"/>
  <c r="Q23" i="21"/>
  <c r="R51" i="21"/>
  <c r="P30" i="21"/>
  <c r="P62" i="21" s="1"/>
  <c r="P24" i="21"/>
  <c r="O16" i="44"/>
  <c r="N33" i="21"/>
  <c r="O18" i="44" s="1"/>
  <c r="Q103" i="40"/>
  <c r="T42" i="44"/>
  <c r="V86" i="18"/>
  <c r="V87" i="18"/>
  <c r="S93" i="9"/>
  <c r="S94" i="9"/>
  <c r="T97" i="9"/>
  <c r="T98" i="9" s="1"/>
  <c r="T96" i="9" s="1"/>
  <c r="T68" i="9"/>
  <c r="T41" i="44"/>
  <c r="T69" i="9"/>
  <c r="U98" i="19"/>
  <c r="U84" i="19" s="1"/>
  <c r="V88" i="18"/>
  <c r="V85" i="18"/>
  <c r="U35" i="17"/>
  <c r="U67" i="17" s="1"/>
  <c r="U66" i="17" s="1"/>
  <c r="U57" i="17" s="1"/>
  <c r="U56" i="17" s="1"/>
  <c r="U97" i="17"/>
  <c r="U83" i="17" s="1"/>
  <c r="V70" i="19"/>
  <c r="U76" i="19"/>
  <c r="V69" i="19"/>
  <c r="V30" i="44"/>
  <c r="M105" i="21" l="1"/>
  <c r="N62" i="44" s="1"/>
  <c r="M102" i="21"/>
  <c r="N59" i="44" s="1"/>
  <c r="U80" i="19"/>
  <c r="M21" i="20"/>
  <c r="M101" i="21"/>
  <c r="M106" i="21" s="1"/>
  <c r="O33" i="21"/>
  <c r="P18" i="44" s="1"/>
  <c r="P16" i="44"/>
  <c r="Q8" i="44"/>
  <c r="P59" i="21"/>
  <c r="S52" i="21"/>
  <c r="S13" i="21"/>
  <c r="S79" i="21"/>
  <c r="T7" i="44"/>
  <c r="T12" i="21"/>
  <c r="S60" i="21"/>
  <c r="S50" i="21"/>
  <c r="M22" i="20"/>
  <c r="M88" i="21"/>
  <c r="Q16" i="44"/>
  <c r="P33" i="21"/>
  <c r="Q18" i="44" s="1"/>
  <c r="Q24" i="21"/>
  <c r="Q30" i="21"/>
  <c r="Q62" i="21" s="1"/>
  <c r="P8" i="44"/>
  <c r="O59" i="21"/>
  <c r="M86" i="21"/>
  <c r="M23" i="20"/>
  <c r="M85" i="21"/>
  <c r="N5" i="44"/>
  <c r="N70" i="21"/>
  <c r="N69" i="21"/>
  <c r="M83" i="21"/>
  <c r="M84" i="21"/>
  <c r="S51" i="21"/>
  <c r="R23" i="21"/>
  <c r="Q101" i="40"/>
  <c r="V84" i="18"/>
  <c r="W93" i="18" s="1"/>
  <c r="W94" i="18" s="1"/>
  <c r="W92" i="18" s="1"/>
  <c r="W35" i="18" s="1"/>
  <c r="W67" i="18" s="1"/>
  <c r="W66" i="18" s="1"/>
  <c r="W57" i="18" s="1"/>
  <c r="W56" i="18" s="1"/>
  <c r="U81" i="19"/>
  <c r="U87" i="19" s="1"/>
  <c r="U89" i="19"/>
  <c r="T35" i="9"/>
  <c r="T101" i="9"/>
  <c r="T87" i="9" s="1"/>
  <c r="U88" i="19"/>
  <c r="U79" i="17"/>
  <c r="U80" i="17" s="1"/>
  <c r="V68" i="17"/>
  <c r="U75" i="17"/>
  <c r="V23" i="44"/>
  <c r="V69" i="17"/>
  <c r="M107" i="21" l="1"/>
  <c r="N110" i="21"/>
  <c r="N111" i="21" s="1"/>
  <c r="N109" i="21" s="1"/>
  <c r="N114" i="21" s="1"/>
  <c r="N100" i="21" s="1"/>
  <c r="J14" i="20"/>
  <c r="U86" i="19"/>
  <c r="R8" i="44"/>
  <c r="Q59" i="21"/>
  <c r="Q33" i="21"/>
  <c r="R18" i="44" s="1"/>
  <c r="R16" i="44"/>
  <c r="R24" i="21"/>
  <c r="R30" i="21"/>
  <c r="R62" i="21" s="1"/>
  <c r="L12" i="20"/>
  <c r="M12" i="20"/>
  <c r="U7" i="44"/>
  <c r="T52" i="21"/>
  <c r="U12" i="21"/>
  <c r="T50" i="21"/>
  <c r="T79" i="21"/>
  <c r="T60" i="21"/>
  <c r="T13" i="21"/>
  <c r="T51" i="21"/>
  <c r="S23" i="21"/>
  <c r="Q36" i="40"/>
  <c r="Q106" i="40"/>
  <c r="Q92" i="40" s="1"/>
  <c r="W75" i="18"/>
  <c r="G14" i="20" s="1"/>
  <c r="V90" i="18"/>
  <c r="V89" i="18"/>
  <c r="U85" i="19"/>
  <c r="V94" i="19" s="1"/>
  <c r="V95" i="19" s="1"/>
  <c r="V93" i="19" s="1"/>
  <c r="T83" i="9"/>
  <c r="T67" i="9"/>
  <c r="U48" i="44"/>
  <c r="X27" i="44"/>
  <c r="W97" i="18"/>
  <c r="W83" i="18" s="1"/>
  <c r="U87" i="17"/>
  <c r="U86" i="17"/>
  <c r="U85" i="17"/>
  <c r="U88" i="17"/>
  <c r="N36" i="21" l="1"/>
  <c r="W79" i="18"/>
  <c r="S24" i="21"/>
  <c r="S30" i="21"/>
  <c r="S62" i="21" s="1"/>
  <c r="S8" i="44"/>
  <c r="R59" i="21"/>
  <c r="T23" i="21"/>
  <c r="U51" i="21"/>
  <c r="U50" i="21"/>
  <c r="V12" i="21"/>
  <c r="U60" i="21"/>
  <c r="U79" i="21"/>
  <c r="U13" i="21"/>
  <c r="U52" i="21"/>
  <c r="V7" i="44"/>
  <c r="O13" i="44"/>
  <c r="N90" i="21"/>
  <c r="N91" i="21" s="1"/>
  <c r="N68" i="21"/>
  <c r="S16" i="44"/>
  <c r="R33" i="21"/>
  <c r="S18" i="44" s="1"/>
  <c r="N95" i="21"/>
  <c r="N96" i="21" s="1"/>
  <c r="O58" i="44"/>
  <c r="Q87" i="40"/>
  <c r="Q88" i="40" s="1"/>
  <c r="Q68" i="40"/>
  <c r="U90" i="19"/>
  <c r="U91" i="19"/>
  <c r="W80" i="18"/>
  <c r="W85" i="18" s="1"/>
  <c r="T76" i="9"/>
  <c r="T66" i="9"/>
  <c r="T57" i="9" s="1"/>
  <c r="T56" i="9" s="1"/>
  <c r="T77" i="9"/>
  <c r="U45" i="44"/>
  <c r="T84" i="9"/>
  <c r="T89" i="9" s="1"/>
  <c r="T91" i="9"/>
  <c r="T90" i="9"/>
  <c r="T92" i="9"/>
  <c r="W88" i="18"/>
  <c r="U84" i="17"/>
  <c r="V93" i="17" s="1"/>
  <c r="V94" i="17" s="1"/>
  <c r="V92" i="17" s="1"/>
  <c r="W87" i="18"/>
  <c r="V36" i="19"/>
  <c r="V68" i="19" s="1"/>
  <c r="V67" i="19" s="1"/>
  <c r="V58" i="19" s="1"/>
  <c r="V57" i="19" s="1"/>
  <c r="V98" i="19"/>
  <c r="V84" i="19" s="1"/>
  <c r="W86" i="18" l="1"/>
  <c r="W84" i="18" s="1"/>
  <c r="W90" i="18" s="1"/>
  <c r="T88" i="9"/>
  <c r="N104" i="21"/>
  <c r="O61" i="44" s="1"/>
  <c r="N103" i="21"/>
  <c r="O60" i="44" s="1"/>
  <c r="N105" i="21"/>
  <c r="O62" i="44" s="1"/>
  <c r="N102" i="21"/>
  <c r="V13" i="21"/>
  <c r="W7" i="44"/>
  <c r="V52" i="21"/>
  <c r="W12" i="21"/>
  <c r="V50" i="21"/>
  <c r="V60" i="21"/>
  <c r="V79" i="21"/>
  <c r="T24" i="21"/>
  <c r="T30" i="21"/>
  <c r="T62" i="21" s="1"/>
  <c r="O10" i="44"/>
  <c r="N67" i="21"/>
  <c r="N58" i="21" s="1"/>
  <c r="N57" i="21" s="1"/>
  <c r="N78" i="21"/>
  <c r="N77" i="21"/>
  <c r="U23" i="21"/>
  <c r="V51" i="21"/>
  <c r="T8" i="44"/>
  <c r="S59" i="21"/>
  <c r="T16" i="44"/>
  <c r="S33" i="21"/>
  <c r="T18" i="44" s="1"/>
  <c r="Q94" i="40"/>
  <c r="Q95" i="40"/>
  <c r="Q77" i="40"/>
  <c r="Q78" i="40"/>
  <c r="Q67" i="40"/>
  <c r="Q58" i="40" s="1"/>
  <c r="Q57" i="40" s="1"/>
  <c r="Q96" i="40"/>
  <c r="Q97" i="40"/>
  <c r="U42" i="44"/>
  <c r="T93" i="9"/>
  <c r="T94" i="9"/>
  <c r="U97" i="9"/>
  <c r="U98" i="9" s="1"/>
  <c r="U96" i="9" s="1"/>
  <c r="U89" i="17"/>
  <c r="U41" i="44"/>
  <c r="U69" i="9"/>
  <c r="U68" i="9"/>
  <c r="U90" i="17"/>
  <c r="V97" i="17"/>
  <c r="V83" i="17" s="1"/>
  <c r="V35" i="17"/>
  <c r="V67" i="17" s="1"/>
  <c r="V66" i="17" s="1"/>
  <c r="V57" i="17" s="1"/>
  <c r="V56" i="17" s="1"/>
  <c r="W69" i="19"/>
  <c r="W30" i="44"/>
  <c r="V76" i="19"/>
  <c r="W70" i="19"/>
  <c r="V80" i="19"/>
  <c r="V88" i="19" s="1"/>
  <c r="O59" i="44" l="1"/>
  <c r="N101" i="21"/>
  <c r="Q93" i="40"/>
  <c r="R102" i="40" s="1"/>
  <c r="W51" i="21"/>
  <c r="V23" i="21"/>
  <c r="O5" i="44"/>
  <c r="N86" i="21"/>
  <c r="N83" i="21"/>
  <c r="N84" i="21"/>
  <c r="O69" i="21"/>
  <c r="N85" i="21"/>
  <c r="O70" i="21"/>
  <c r="U8" i="44"/>
  <c r="T59" i="21"/>
  <c r="W52" i="21"/>
  <c r="W60" i="21"/>
  <c r="W13" i="21"/>
  <c r="W50" i="21"/>
  <c r="X7" i="44"/>
  <c r="W79" i="21"/>
  <c r="U16" i="44"/>
  <c r="T33" i="21"/>
  <c r="U18" i="44" s="1"/>
  <c r="U24" i="21"/>
  <c r="U30" i="21"/>
  <c r="U62" i="21" s="1"/>
  <c r="O6" i="44"/>
  <c r="N88" i="21"/>
  <c r="R69" i="40"/>
  <c r="Q11" i="22"/>
  <c r="R70" i="40"/>
  <c r="Q83" i="40"/>
  <c r="W89" i="18"/>
  <c r="U101" i="9"/>
  <c r="U87" i="9" s="1"/>
  <c r="U35" i="9"/>
  <c r="V75" i="17"/>
  <c r="W23" i="44"/>
  <c r="W68" i="17"/>
  <c r="W69" i="17"/>
  <c r="V79" i="17"/>
  <c r="V80" i="17" s="1"/>
  <c r="V89" i="19"/>
  <c r="V81" i="19"/>
  <c r="V87" i="19" s="1"/>
  <c r="Q98" i="40" l="1"/>
  <c r="V86" i="19"/>
  <c r="V85" i="19" s="1"/>
  <c r="Q99" i="40"/>
  <c r="O110" i="21"/>
  <c r="O111" i="21" s="1"/>
  <c r="O109" i="21" s="1"/>
  <c r="N107" i="21"/>
  <c r="N106" i="21"/>
  <c r="V16" i="44"/>
  <c r="U33" i="21"/>
  <c r="V18" i="44" s="1"/>
  <c r="W23" i="21"/>
  <c r="V30" i="21"/>
  <c r="V62" i="21" s="1"/>
  <c r="V24" i="21"/>
  <c r="V8" i="44"/>
  <c r="U59" i="21"/>
  <c r="Q17" i="22"/>
  <c r="Q15" i="22"/>
  <c r="Q14" i="22"/>
  <c r="Q16" i="22"/>
  <c r="Q18" i="22"/>
  <c r="H30" i="22"/>
  <c r="H31" i="22"/>
  <c r="H22" i="22"/>
  <c r="H27" i="22"/>
  <c r="H29" i="22"/>
  <c r="H28" i="22"/>
  <c r="R103" i="40"/>
  <c r="V48" i="44"/>
  <c r="U67" i="9"/>
  <c r="U83" i="9"/>
  <c r="V85" i="17"/>
  <c r="V87" i="17"/>
  <c r="V86" i="17"/>
  <c r="V88" i="17"/>
  <c r="O114" i="21" l="1"/>
  <c r="O100" i="21" s="1"/>
  <c r="O36" i="21"/>
  <c r="W30" i="21"/>
  <c r="W62" i="21" s="1"/>
  <c r="W24" i="21"/>
  <c r="W16" i="44"/>
  <c r="V33" i="21"/>
  <c r="W18" i="44" s="1"/>
  <c r="W8" i="44"/>
  <c r="V59" i="21"/>
  <c r="R101" i="40"/>
  <c r="U89" i="9"/>
  <c r="U92" i="9"/>
  <c r="U91" i="9"/>
  <c r="V84" i="17"/>
  <c r="V90" i="17" s="1"/>
  <c r="U84" i="9"/>
  <c r="U90" i="9" s="1"/>
  <c r="U77" i="9"/>
  <c r="U76" i="9"/>
  <c r="V45" i="44"/>
  <c r="U66" i="9"/>
  <c r="U57" i="9" s="1"/>
  <c r="U56" i="9" s="1"/>
  <c r="W94" i="19"/>
  <c r="W95" i="19" s="1"/>
  <c r="W93" i="19" s="1"/>
  <c r="V91" i="19"/>
  <c r="V90" i="19"/>
  <c r="U88" i="9" l="1"/>
  <c r="P13" i="44"/>
  <c r="O68" i="21"/>
  <c r="O90" i="21"/>
  <c r="O91" i="21" s="1"/>
  <c r="P58" i="44"/>
  <c r="O95" i="21"/>
  <c r="X16" i="44"/>
  <c r="W33" i="21"/>
  <c r="X18" i="44" s="1"/>
  <c r="X8" i="44"/>
  <c r="W59" i="21"/>
  <c r="R106" i="40"/>
  <c r="R92" i="40" s="1"/>
  <c r="R36" i="40"/>
  <c r="V89" i="17"/>
  <c r="W93" i="17"/>
  <c r="W94" i="17" s="1"/>
  <c r="W92" i="17" s="1"/>
  <c r="W35" i="17" s="1"/>
  <c r="W67" i="17" s="1"/>
  <c r="W66" i="17" s="1"/>
  <c r="W57" i="17" s="1"/>
  <c r="W56" i="17" s="1"/>
  <c r="V42" i="44"/>
  <c r="U94" i="9"/>
  <c r="V97" i="9"/>
  <c r="V98" i="9" s="1"/>
  <c r="V96" i="9" s="1"/>
  <c r="V41" i="44"/>
  <c r="V68" i="9"/>
  <c r="V69" i="9"/>
  <c r="U93" i="9"/>
  <c r="W98" i="19"/>
  <c r="W84" i="19" s="1"/>
  <c r="W36" i="19"/>
  <c r="W68" i="19" s="1"/>
  <c r="W67" i="19" s="1"/>
  <c r="W58" i="19" s="1"/>
  <c r="W57" i="19" s="1"/>
  <c r="O105" i="21" l="1"/>
  <c r="P62" i="44" s="1"/>
  <c r="O104" i="21"/>
  <c r="P61" i="44" s="1"/>
  <c r="O96" i="21"/>
  <c r="O103" i="21" s="1"/>
  <c r="P60" i="44" s="1"/>
  <c r="P10" i="44"/>
  <c r="O78" i="21"/>
  <c r="O77" i="21"/>
  <c r="O67" i="21"/>
  <c r="O58" i="21" s="1"/>
  <c r="O57" i="21" s="1"/>
  <c r="J13" i="20"/>
  <c r="J15" i="20"/>
  <c r="R68" i="40"/>
  <c r="R87" i="40"/>
  <c r="R88" i="40" s="1"/>
  <c r="R95" i="40" s="1"/>
  <c r="W97" i="17"/>
  <c r="W83" i="17" s="1"/>
  <c r="V35" i="9"/>
  <c r="V101" i="9"/>
  <c r="V87" i="9" s="1"/>
  <c r="W75" i="17"/>
  <c r="G13" i="20" s="1"/>
  <c r="X23" i="44"/>
  <c r="W76" i="19"/>
  <c r="G15" i="20" s="1"/>
  <c r="X30" i="44"/>
  <c r="W80" i="19"/>
  <c r="W81" i="19" s="1"/>
  <c r="W86" i="19" s="1"/>
  <c r="W79" i="17" l="1"/>
  <c r="W80" i="17" s="1"/>
  <c r="O102" i="21"/>
  <c r="P59" i="44" s="1"/>
  <c r="P69" i="21"/>
  <c r="O85" i="21"/>
  <c r="O83" i="21"/>
  <c r="P70" i="21"/>
  <c r="P5" i="44"/>
  <c r="O84" i="21"/>
  <c r="O86" i="21"/>
  <c r="P6" i="44"/>
  <c r="O88" i="21"/>
  <c r="R94" i="40"/>
  <c r="R93" i="40" s="1"/>
  <c r="R97" i="40"/>
  <c r="R96" i="40"/>
  <c r="R67" i="40"/>
  <c r="R58" i="40" s="1"/>
  <c r="R57" i="40" s="1"/>
  <c r="R78" i="40"/>
  <c r="R77" i="40"/>
  <c r="V83" i="9"/>
  <c r="V84" i="9" s="1"/>
  <c r="W48" i="44"/>
  <c r="V67" i="9"/>
  <c r="W88" i="19"/>
  <c r="W87" i="19"/>
  <c r="W85" i="19" s="1"/>
  <c r="W89" i="19"/>
  <c r="W87" i="17"/>
  <c r="W86" i="17"/>
  <c r="W85" i="17"/>
  <c r="W88" i="17"/>
  <c r="O101" i="21" l="1"/>
  <c r="O106" i="21" s="1"/>
  <c r="S102" i="40"/>
  <c r="R11" i="22"/>
  <c r="S69" i="40"/>
  <c r="R83" i="40"/>
  <c r="S70" i="40"/>
  <c r="R98" i="40"/>
  <c r="R99" i="40"/>
  <c r="V91" i="9"/>
  <c r="V89" i="9"/>
  <c r="V92" i="9"/>
  <c r="V90" i="9"/>
  <c r="W91" i="19"/>
  <c r="V76" i="9"/>
  <c r="W45" i="44"/>
  <c r="V77" i="9"/>
  <c r="V66" i="9"/>
  <c r="V57" i="9" s="1"/>
  <c r="V56" i="9" s="1"/>
  <c r="W84" i="17"/>
  <c r="W89" i="17" s="1"/>
  <c r="W90" i="19"/>
  <c r="P110" i="21" l="1"/>
  <c r="P111" i="21" s="1"/>
  <c r="P109" i="21" s="1"/>
  <c r="O107" i="21"/>
  <c r="R14" i="22"/>
  <c r="R18" i="22"/>
  <c r="R15" i="22"/>
  <c r="R16" i="22"/>
  <c r="R17" i="22"/>
  <c r="H12" i="20" s="1"/>
  <c r="I28" i="22"/>
  <c r="I22" i="22"/>
  <c r="I30" i="22"/>
  <c r="I29" i="22"/>
  <c r="I31" i="22"/>
  <c r="I27" i="22"/>
  <c r="S103" i="40"/>
  <c r="S101" i="40" s="1"/>
  <c r="V88" i="9"/>
  <c r="W97" i="9" s="1"/>
  <c r="W98" i="9" s="1"/>
  <c r="W96" i="9" s="1"/>
  <c r="W101" i="9" s="1"/>
  <c r="W87" i="9" s="1"/>
  <c r="W42" i="44"/>
  <c r="W69" i="9"/>
  <c r="W68" i="9"/>
  <c r="W41" i="44"/>
  <c r="W90" i="17"/>
  <c r="P36" i="21" l="1"/>
  <c r="P114" i="21"/>
  <c r="P100" i="21" s="1"/>
  <c r="I36" i="44"/>
  <c r="V94" i="9"/>
  <c r="V93" i="9"/>
  <c r="S36" i="40"/>
  <c r="S106" i="40"/>
  <c r="S92" i="40" s="1"/>
  <c r="W35" i="9"/>
  <c r="W83" i="9"/>
  <c r="W91" i="9" s="1"/>
  <c r="P95" i="21" l="1"/>
  <c r="Q58" i="44"/>
  <c r="P68" i="21"/>
  <c r="P90" i="21"/>
  <c r="P91" i="21" s="1"/>
  <c r="Q13" i="44"/>
  <c r="X48" i="44"/>
  <c r="L36" i="44" a="1"/>
  <c r="L36" i="44" s="1"/>
  <c r="P36" i="44"/>
  <c r="R36" i="44" s="1"/>
  <c r="J36" i="44" a="1"/>
  <c r="J36" i="44" s="1"/>
  <c r="V36" i="44" s="1"/>
  <c r="M36" i="44" a="1"/>
  <c r="M36" i="44" s="1"/>
  <c r="K36" i="44" a="1"/>
  <c r="K36" i="44" s="1"/>
  <c r="O36" i="44"/>
  <c r="W67" i="9"/>
  <c r="S87" i="40"/>
  <c r="S88" i="40" s="1"/>
  <c r="S68" i="40"/>
  <c r="W84" i="9"/>
  <c r="W89" i="9" s="1"/>
  <c r="W92" i="9"/>
  <c r="P78" i="21" l="1"/>
  <c r="P77" i="21"/>
  <c r="P67" i="21"/>
  <c r="P58" i="21" s="1"/>
  <c r="P57" i="21" s="1"/>
  <c r="Q10" i="44"/>
  <c r="P96" i="21"/>
  <c r="P103" i="21" s="1"/>
  <c r="Q60" i="44" s="1"/>
  <c r="P104" i="21"/>
  <c r="Q61" i="44" s="1"/>
  <c r="P105" i="21"/>
  <c r="W90" i="9"/>
  <c r="W88" i="9" s="1"/>
  <c r="W66" i="9"/>
  <c r="W57" i="9" s="1"/>
  <c r="W56" i="9" s="1"/>
  <c r="X41" i="44" s="1"/>
  <c r="X45" i="44"/>
  <c r="W77" i="9"/>
  <c r="W76" i="9"/>
  <c r="X42" i="44" s="1"/>
  <c r="S36" i="44" a="1"/>
  <c r="S36" i="44" s="1"/>
  <c r="Q36" i="44" a="1"/>
  <c r="Q36" i="44" s="1"/>
  <c r="W36" i="44" s="1"/>
  <c r="S94" i="40"/>
  <c r="S78" i="40"/>
  <c r="S67" i="40"/>
  <c r="S58" i="40" s="1"/>
  <c r="S57" i="40" s="1"/>
  <c r="S77" i="40"/>
  <c r="S97" i="40"/>
  <c r="S95" i="40"/>
  <c r="S96" i="40"/>
  <c r="T36" i="44" l="1"/>
  <c r="P102" i="21"/>
  <c r="F36" i="44"/>
  <c r="Q59" i="44"/>
  <c r="P101" i="21"/>
  <c r="P106" i="21" s="1"/>
  <c r="Q62" i="44"/>
  <c r="Q5" i="44"/>
  <c r="P84" i="21"/>
  <c r="Q70" i="21"/>
  <c r="Q69" i="21"/>
  <c r="P83" i="21"/>
  <c r="P85" i="21"/>
  <c r="P86" i="21"/>
  <c r="Q6" i="44"/>
  <c r="P88" i="21"/>
  <c r="S93" i="40"/>
  <c r="S99" i="40" s="1"/>
  <c r="T69" i="40"/>
  <c r="S11" i="22"/>
  <c r="T70" i="40"/>
  <c r="S83" i="40"/>
  <c r="W94" i="9"/>
  <c r="W93" i="9"/>
  <c r="Q110" i="21" l="1"/>
  <c r="Q111" i="21" s="1"/>
  <c r="Q109" i="21" s="1"/>
  <c r="P107" i="21"/>
  <c r="T102" i="40"/>
  <c r="T103" i="40" s="1"/>
  <c r="S98" i="40"/>
  <c r="Q114" i="21" l="1"/>
  <c r="Q100" i="21" s="1"/>
  <c r="Q36" i="21"/>
  <c r="T101" i="40"/>
  <c r="R13" i="44" l="1"/>
  <c r="Q90" i="21"/>
  <c r="Q91" i="21" s="1"/>
  <c r="Q68" i="21"/>
  <c r="Q95" i="21"/>
  <c r="R58" i="44"/>
  <c r="T106" i="40"/>
  <c r="T92" i="40" s="1"/>
  <c r="T36" i="40"/>
  <c r="Q104" i="21" l="1"/>
  <c r="R61" i="44" s="1"/>
  <c r="Q96" i="21"/>
  <c r="Q102" i="21" s="1"/>
  <c r="R59" i="44" s="1"/>
  <c r="Q105" i="21"/>
  <c r="R62" i="44" s="1"/>
  <c r="Q78" i="21"/>
  <c r="Q77" i="21"/>
  <c r="R10" i="44"/>
  <c r="Q67" i="21"/>
  <c r="Q58" i="21" s="1"/>
  <c r="Q57" i="21" s="1"/>
  <c r="T68" i="40"/>
  <c r="T87" i="40"/>
  <c r="Q103" i="21" l="1"/>
  <c r="R60" i="44" s="1"/>
  <c r="Q88" i="21"/>
  <c r="R70" i="21"/>
  <c r="Q84" i="21"/>
  <c r="Q85" i="21"/>
  <c r="R69" i="21"/>
  <c r="Q86" i="21"/>
  <c r="Q83" i="21"/>
  <c r="R5" i="44"/>
  <c r="R6" i="44"/>
  <c r="Q101" i="21"/>
  <c r="T88" i="40"/>
  <c r="T95" i="40" s="1"/>
  <c r="T97" i="40"/>
  <c r="T96" i="40"/>
  <c r="T67" i="40"/>
  <c r="T58" i="40" s="1"/>
  <c r="T57" i="40" s="1"/>
  <c r="T77" i="40"/>
  <c r="T78" i="40"/>
  <c r="Q106" i="21" l="1"/>
  <c r="R110" i="21"/>
  <c r="R111" i="21" s="1"/>
  <c r="R109" i="21" s="1"/>
  <c r="Q107" i="21"/>
  <c r="T94" i="40"/>
  <c r="T93" i="40" s="1"/>
  <c r="U102" i="40" s="1"/>
  <c r="U70" i="40"/>
  <c r="U69" i="40"/>
  <c r="T83" i="40"/>
  <c r="T11" i="22"/>
  <c r="R36" i="21" l="1"/>
  <c r="R114" i="21"/>
  <c r="R100" i="21" s="1"/>
  <c r="T98" i="40"/>
  <c r="T99" i="40"/>
  <c r="U103" i="40"/>
  <c r="R95" i="21" l="1"/>
  <c r="R96" i="21" s="1"/>
  <c r="R102" i="21" s="1"/>
  <c r="S59" i="44" s="1"/>
  <c r="S58" i="44"/>
  <c r="R105" i="21"/>
  <c r="S62" i="44" s="1"/>
  <c r="R104" i="21"/>
  <c r="S61" i="44" s="1"/>
  <c r="R103" i="21"/>
  <c r="S60" i="44" s="1"/>
  <c r="R90" i="21"/>
  <c r="R91" i="21" s="1"/>
  <c r="R68" i="21"/>
  <c r="S13" i="44"/>
  <c r="U101" i="40"/>
  <c r="R101" i="21" l="1"/>
  <c r="R106" i="21" s="1"/>
  <c r="R67" i="21"/>
  <c r="R58" i="21" s="1"/>
  <c r="R57" i="21" s="1"/>
  <c r="R78" i="21"/>
  <c r="S10" i="44"/>
  <c r="R77" i="21"/>
  <c r="U106" i="40"/>
  <c r="U92" i="40" s="1"/>
  <c r="U36" i="40"/>
  <c r="R84" i="21" l="1"/>
  <c r="R85" i="21"/>
  <c r="S70" i="21"/>
  <c r="S5" i="44"/>
  <c r="S69" i="21"/>
  <c r="R86" i="21"/>
  <c r="R83" i="21"/>
  <c r="S6" i="44"/>
  <c r="R88" i="21"/>
  <c r="R107" i="21"/>
  <c r="S110" i="21"/>
  <c r="S111" i="21" s="1"/>
  <c r="S109" i="21" s="1"/>
  <c r="U68" i="40"/>
  <c r="U87" i="40"/>
  <c r="U97" i="40" s="1"/>
  <c r="S114" i="21" l="1"/>
  <c r="S100" i="21" s="1"/>
  <c r="S36" i="21"/>
  <c r="U88" i="40"/>
  <c r="U94" i="40" s="1"/>
  <c r="U96" i="40"/>
  <c r="U77" i="40"/>
  <c r="U67" i="40"/>
  <c r="U58" i="40" s="1"/>
  <c r="U57" i="40" s="1"/>
  <c r="U78" i="40"/>
  <c r="T13" i="44" l="1"/>
  <c r="S90" i="21"/>
  <c r="S91" i="21" s="1"/>
  <c r="S68" i="21"/>
  <c r="T58" i="44"/>
  <c r="S95" i="21"/>
  <c r="S96" i="21" s="1"/>
  <c r="S103" i="21" s="1"/>
  <c r="U95" i="40"/>
  <c r="U93" i="40" s="1"/>
  <c r="V102" i="40" s="1"/>
  <c r="U83" i="40"/>
  <c r="V69" i="40"/>
  <c r="U11" i="22"/>
  <c r="V70" i="40"/>
  <c r="T60" i="44" l="1"/>
  <c r="S77" i="21"/>
  <c r="T10" i="44"/>
  <c r="S78" i="21"/>
  <c r="S67" i="21"/>
  <c r="S58" i="21" s="1"/>
  <c r="S57" i="21" s="1"/>
  <c r="S102" i="21"/>
  <c r="T59" i="44" s="1"/>
  <c r="S105" i="21"/>
  <c r="T62" i="44" s="1"/>
  <c r="S104" i="21"/>
  <c r="T61" i="44" s="1"/>
  <c r="U99" i="40"/>
  <c r="U98" i="40"/>
  <c r="V103" i="40"/>
  <c r="S101" i="21" l="1"/>
  <c r="S107" i="21" s="1"/>
  <c r="S84" i="21"/>
  <c r="T69" i="21"/>
  <c r="S83" i="21"/>
  <c r="T70" i="21"/>
  <c r="S86" i="21"/>
  <c r="S85" i="21"/>
  <c r="T5" i="44"/>
  <c r="S88" i="21"/>
  <c r="T6" i="44"/>
  <c r="V101" i="40"/>
  <c r="S106" i="21" l="1"/>
  <c r="T110" i="21"/>
  <c r="T111" i="21" s="1"/>
  <c r="V106" i="40"/>
  <c r="V92" i="40" s="1"/>
  <c r="V36" i="40"/>
  <c r="T109" i="21" l="1"/>
  <c r="T36" i="21" s="1"/>
  <c r="V68" i="40"/>
  <c r="V87" i="40"/>
  <c r="T114" i="21" l="1"/>
  <c r="T100" i="21" s="1"/>
  <c r="T90" i="21"/>
  <c r="T91" i="21" s="1"/>
  <c r="U13" i="44"/>
  <c r="T68" i="21"/>
  <c r="T77" i="21" s="1"/>
  <c r="U10" i="44"/>
  <c r="T67" i="21"/>
  <c r="T58" i="21" s="1"/>
  <c r="T57" i="21" s="1"/>
  <c r="V96" i="40"/>
  <c r="V88" i="40"/>
  <c r="V94" i="40" s="1"/>
  <c r="V97" i="40"/>
  <c r="V67" i="40"/>
  <c r="V58" i="40" s="1"/>
  <c r="V57" i="40" s="1"/>
  <c r="V77" i="40"/>
  <c r="V78" i="40"/>
  <c r="T78" i="21" l="1"/>
  <c r="T88" i="21" s="1"/>
  <c r="T95" i="21"/>
  <c r="U58" i="44"/>
  <c r="T84" i="21"/>
  <c r="T83" i="21"/>
  <c r="T85" i="21"/>
  <c r="U70" i="21"/>
  <c r="T86" i="21"/>
  <c r="U5" i="44"/>
  <c r="U69" i="21"/>
  <c r="U6" i="44"/>
  <c r="V95" i="40"/>
  <c r="V93" i="40" s="1"/>
  <c r="W70" i="40"/>
  <c r="V83" i="40"/>
  <c r="V11" i="22"/>
  <c r="W69" i="40"/>
  <c r="T104" i="21" l="1"/>
  <c r="U61" i="44" s="1"/>
  <c r="T105" i="21"/>
  <c r="U62" i="44" s="1"/>
  <c r="T96" i="21"/>
  <c r="V99" i="40"/>
  <c r="W102" i="40"/>
  <c r="W103" i="40" s="1"/>
  <c r="V98" i="40"/>
  <c r="T103" i="21" l="1"/>
  <c r="U60" i="44" s="1"/>
  <c r="T102" i="21"/>
  <c r="U59" i="44" s="1"/>
  <c r="W101" i="40"/>
  <c r="T101" i="21" l="1"/>
  <c r="T106" i="21" s="1"/>
  <c r="W36" i="40"/>
  <c r="W106" i="40"/>
  <c r="W92" i="40" s="1"/>
  <c r="T107" i="21" l="1"/>
  <c r="U110" i="21"/>
  <c r="U111" i="21" s="1"/>
  <c r="U109" i="21" s="1"/>
  <c r="U114" i="21" s="1"/>
  <c r="U100" i="21" s="1"/>
  <c r="W87" i="40"/>
  <c r="W88" i="40" s="1"/>
  <c r="W95" i="40" s="1"/>
  <c r="L2" i="43" a="1"/>
  <c r="L2" i="43" s="1"/>
  <c r="W68" i="40"/>
  <c r="U36" i="21" l="1"/>
  <c r="V13" i="44"/>
  <c r="U90" i="21"/>
  <c r="U91" i="21" s="1"/>
  <c r="U68" i="21"/>
  <c r="V58" i="44"/>
  <c r="U95" i="21"/>
  <c r="W78" i="40"/>
  <c r="W77" i="40"/>
  <c r="W67" i="40"/>
  <c r="W58" i="40" s="1"/>
  <c r="W57" i="40" s="1"/>
  <c r="W96" i="40"/>
  <c r="W97" i="40"/>
  <c r="W94" i="40"/>
  <c r="W93" i="40" s="1"/>
  <c r="U105" i="21" l="1"/>
  <c r="V62" i="44" s="1"/>
  <c r="U96" i="21"/>
  <c r="U103" i="21" s="1"/>
  <c r="V60" i="44" s="1"/>
  <c r="U77" i="21"/>
  <c r="V6" i="44" s="1"/>
  <c r="U67" i="21"/>
  <c r="U58" i="21" s="1"/>
  <c r="U57" i="21" s="1"/>
  <c r="V10" i="44"/>
  <c r="U78" i="21"/>
  <c r="U88" i="21" s="1"/>
  <c r="U104" i="21"/>
  <c r="V61" i="44" s="1"/>
  <c r="J12" i="20"/>
  <c r="I12" i="20"/>
  <c r="W98" i="40"/>
  <c r="W99" i="40"/>
  <c r="W11" i="22"/>
  <c r="K2" i="43" a="1"/>
  <c r="K2" i="43" s="1"/>
  <c r="W83" i="40"/>
  <c r="G12" i="20" s="1"/>
  <c r="U102" i="21" l="1"/>
  <c r="V70" i="21"/>
  <c r="V5" i="44"/>
  <c r="U83" i="21"/>
  <c r="U84" i="21"/>
  <c r="V69" i="21"/>
  <c r="U85" i="21"/>
  <c r="U86" i="21"/>
  <c r="V59" i="44"/>
  <c r="U101" i="21"/>
  <c r="H3" i="20"/>
  <c r="U106" i="21" l="1"/>
  <c r="U107" i="21"/>
  <c r="V110" i="21"/>
  <c r="V111" i="21" s="1"/>
  <c r="V109" i="21" s="1"/>
  <c r="V36" i="21" l="1"/>
  <c r="V114" i="21"/>
  <c r="V100" i="21" s="1"/>
  <c r="W58" i="44" l="1"/>
  <c r="V95" i="21"/>
  <c r="V90" i="21"/>
  <c r="V91" i="21" s="1"/>
  <c r="W13" i="44"/>
  <c r="V68" i="21"/>
  <c r="W10" i="44" l="1"/>
  <c r="V67" i="21"/>
  <c r="V58" i="21" s="1"/>
  <c r="V57" i="21" s="1"/>
  <c r="V77" i="21"/>
  <c r="W6" i="44" s="1"/>
  <c r="V78" i="21"/>
  <c r="V88" i="21" s="1"/>
  <c r="V96" i="21"/>
  <c r="V103" i="21" s="1"/>
  <c r="W60" i="44" s="1"/>
  <c r="V104" i="21"/>
  <c r="W61" i="44" s="1"/>
  <c r="V105" i="21"/>
  <c r="W62" i="44" s="1"/>
  <c r="V102" i="21" l="1"/>
  <c r="W59" i="44"/>
  <c r="V101" i="21"/>
  <c r="V86" i="21"/>
  <c r="W70" i="21"/>
  <c r="V83" i="21"/>
  <c r="V85" i="21"/>
  <c r="W5" i="44"/>
  <c r="W69" i="21"/>
  <c r="V84" i="21"/>
  <c r="V107" i="21" l="1"/>
  <c r="W110" i="21"/>
  <c r="W111" i="21" s="1"/>
  <c r="W109" i="21" s="1"/>
  <c r="V106" i="21"/>
  <c r="W36" i="21" l="1"/>
  <c r="W114" i="21"/>
  <c r="W100" i="21" s="1"/>
  <c r="W95" i="21" l="1"/>
  <c r="X58" i="44"/>
  <c r="W68" i="21"/>
  <c r="X13" i="44"/>
  <c r="W90" i="21"/>
  <c r="W91" i="21" s="1"/>
  <c r="W77" i="21" l="1"/>
  <c r="X6" i="44" s="1"/>
  <c r="W78" i="21"/>
  <c r="W88" i="21" s="1"/>
  <c r="X10" i="44"/>
  <c r="W67" i="21"/>
  <c r="W58" i="21" s="1"/>
  <c r="W57" i="21" s="1"/>
  <c r="W96" i="21"/>
  <c r="W103" i="21" s="1"/>
  <c r="X60" i="44" s="1"/>
  <c r="W105" i="21"/>
  <c r="X62" i="44" s="1"/>
  <c r="W104" i="21"/>
  <c r="X61" i="44" s="1"/>
  <c r="W102" i="21" l="1"/>
  <c r="X59" i="44" s="1"/>
  <c r="W101" i="21"/>
  <c r="W84" i="21"/>
  <c r="W85" i="21"/>
  <c r="W83" i="21"/>
  <c r="W86" i="21"/>
  <c r="X5" i="44"/>
  <c r="W106" i="21" l="1"/>
  <c r="W107"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<sst xmlns="http://schemas.openxmlformats.org/spreadsheetml/2006/main" count="816" uniqueCount="296">
  <si>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</si>
  <si>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</si>
  <si>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</si>
  <si>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</si>
  <si>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</si>
  <si>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</si>
  <si>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</si>
  <si>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</si>
  <si>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</si>
  <si>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</si>
  <si>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 Financial stress scenario</t>
  </si>
  <si>
    <t>· Lower SPB scenario</t>
  </si>
  <si>
    <t>· Adverse 'r-g' scenario</t>
  </si>
  <si>
    <r>
      <t>In the sheets associated with the stress-test scenarios, i.e. "</t>
    </r>
    <r>
      <rPr>
        <b/>
        <sz val="11"/>
        <color rgb="FF0070C0"/>
        <rFont val="Calibri"/>
        <family val="2"/>
        <scheme val="minor"/>
      </rPr>
      <t>Financial stress</t>
    </r>
    <r>
      <rPr>
        <sz val="11"/>
        <color rgb="FF0070C0"/>
        <rFont val="Calibri"/>
        <family val="2"/>
        <scheme val="minor"/>
      </rPr>
      <t>", "</t>
    </r>
    <r>
      <rPr>
        <b/>
        <sz val="11"/>
        <color rgb="FF0070C0"/>
        <rFont val="Calibri"/>
        <family val="2"/>
        <scheme val="minor"/>
      </rPr>
      <t>Lower SPB</t>
    </r>
    <r>
      <rPr>
        <sz val="11"/>
        <color rgb="FF0070C0"/>
        <rFont val="Calibri"/>
        <family val="2"/>
        <scheme val="minor"/>
      </rPr>
      <t>" and "</t>
    </r>
    <r>
      <rPr>
        <b/>
        <sz val="11"/>
        <color rgb="FF0070C0"/>
        <rFont val="Calibri"/>
        <family val="2"/>
        <scheme val="minor"/>
      </rPr>
      <t>Adverse (r-g)</t>
    </r>
    <r>
      <rPr>
        <sz val="11"/>
        <color rgb="FF0070C0"/>
        <rFont val="Calibri"/>
        <family val="2"/>
        <scheme val="minor"/>
      </rPr>
      <t>", initial shocks are identified as follows:</t>
    </r>
  </si>
  <si>
    <t>WHERE ARE THE MAIN RESULTS LOCATED?</t>
  </si>
  <si>
    <t>Country</t>
  </si>
  <si>
    <t>Annual adjustment (when benchmark not binding)</t>
  </si>
  <si>
    <t>Deficit resilience safeguard</t>
  </si>
  <si>
    <t>Criterion 1 
(Debt decreasing under deterministic scenarios)</t>
  </si>
  <si>
    <t>Criterion 2 *
(Debt declining with sufficient probability)</t>
  </si>
  <si>
    <t>Criterion 3 
(Deficit below 
3% of GDP)</t>
  </si>
  <si>
    <t>0.5 pp. of GDP adjustment if deficit in previous year &gt; 3% of GDP</t>
  </si>
  <si>
    <t>Number of years the benchmark applies</t>
  </si>
  <si>
    <t>0.40 pp. (0.25 pp.) of GDP adjustment under plan without (with) extension if structural deficit in previous year 
&gt; 1.5% of GDP</t>
  </si>
  <si>
    <t>Number of years the deficit resilience safeguard applies 
(over the adjustment horizon)</t>
  </si>
  <si>
    <t>Adjustment scenario</t>
  </si>
  <si>
    <t>Financial stress scenario</t>
  </si>
  <si>
    <t>Lower SPB scenario</t>
  </si>
  <si>
    <t>Adverse r-g scenario</t>
  </si>
  <si>
    <r>
      <t xml:space="preserve">Annual adjustment </t>
    </r>
    <r>
      <rPr>
        <sz val="10"/>
        <rFont val="Arial"/>
        <family val="2"/>
      </rPr>
      <t>(change in SPB)</t>
    </r>
  </si>
  <si>
    <t>Net primary expenditure growth</t>
  </si>
  <si>
    <t>Average annual adjustment over the plan period</t>
  </si>
  <si>
    <t>Average annual adjustment over the adjustment period</t>
  </si>
  <si>
    <t>Average net primary expenditure growth over the plan period</t>
  </si>
  <si>
    <t>Average net primary expenditure growth over the adjustment period</t>
  </si>
  <si>
    <t>No extension</t>
  </si>
  <si>
    <t>Extension</t>
  </si>
  <si>
    <t>Annual adjustment</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</si>
  <si>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</si>
  <si>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</si>
  <si>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</si>
  <si>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</si>
  <si>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</si>
  <si>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</si>
  <si>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</si>
  <si>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</si>
  <si>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</si>
  <si>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</si>
  <si>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</si>
  <si>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</si>
  <si>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</si>
  <si>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</si>
  <si>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</si>
  <si>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</si>
  <si>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</si>
  <si>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</si>
  <si>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</si>
  <si>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</si>
  <si>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</si>
  <si>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</si>
  <si>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</si>
  <si>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</si>
  <si>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</si>
  <si>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</si>
  <si>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</si>
  <si>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</si>
  <si>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</si>
  <si>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</si>
  <si>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</si>
  <si>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</si>
  <si>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</si>
  <si>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</si>
  <si>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</si>
  <si>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</si>
  <si>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</si>
  <si>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</si>
  <si>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</si>
  <si>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Derived from the model and made consistent with the short-term forecast.</t>
  </si>
  <si>
    <t>Stochastic projections: ranges around adjustment scenario</t>
  </si>
  <si>
    <t>T+1</t>
  </si>
  <si>
    <t>T+2</t>
  </si>
  <si>
    <t>T+3</t>
  </si>
  <si>
    <t>T+4</t>
  </si>
  <si>
    <t>T+5</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</si>
  <si>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</si>
  <si>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</si>
  <si>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</si>
  <si>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</si>
  <si>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</si>
  <si>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</si>
  <si>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</si>
  <si>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</si>
  <si>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</si>
  <si>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</si>
  <si>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</si>
  <si>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</si>
  <si>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</si>
  <si>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</si>
  <si>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</si>
  <si>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</si>
  <si>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</si>
  <si>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</si>
  <si>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</si>
  <si>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</si>
  <si>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</si>
  <si>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</si>
  <si>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</si>
  <si>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</si>
  <si>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</si>
  <si>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</si>
  <si>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</si>
  <si>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</si>
  <si>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</si>
  <si>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</si>
  <si>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</si>
  <si>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</si>
  <si>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</si>
  <si>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</si>
  <si>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</si>
  <si>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</si>
  <si>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</si>
  <si>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</si>
  <si>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</si>
  <si>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</si>
  <si>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</si>
  <si>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</si>
  <si>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</si>
  <si>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</si>
  <si>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</si>
  <si>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</si>
  <si>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</si>
  <si>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</si>
  <si>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</si>
  <si>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</si>
  <si>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</si>
  <si>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</si>
  <si>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</si>
  <si>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</si>
  <si>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</si>
  <si>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</si>
  <si>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</si>
  <si>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Approximation of interest payments in % GDP</t>
  </si>
  <si>
    <t>Growth rate (including feedback and output-gap closure effect)</t>
  </si>
  <si>
    <t>per memo: initial shock (GDP growth rate in baseline scenario - 0.5)</t>
  </si>
  <si>
    <t>Potential GDP (real)</t>
  </si>
  <si>
    <t>Interest rates and inflation</t>
  </si>
  <si>
    <t>First year of stochastic projections</t>
  </si>
  <si>
    <t>Last year of stochastic projections</t>
  </si>
  <si>
    <t>Baseline assumptions</t>
  </si>
  <si>
    <t>Distribution of debt paths</t>
  </si>
  <si>
    <t>p10</t>
  </si>
  <si>
    <t>p30</t>
  </si>
  <si>
    <t>p70</t>
  </si>
  <si>
    <t>p90</t>
  </si>
  <si>
    <t>Graph</t>
  </si>
  <si>
    <t>p30_p10</t>
  </si>
  <si>
    <t>p50_p30</t>
  </si>
  <si>
    <t>p70_p50</t>
  </si>
  <si>
    <t>p90_p70</t>
  </si>
  <si>
    <t>p50</t>
  </si>
  <si>
    <t>AT</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</si>
  <si>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</si>
  <si>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Additionally, for the lower SPB scenario, the cells get thick black borders in the years when the SPB is gradually reduced.</t>
  </si>
  <si>
    <r>
      <t xml:space="preserve">All variables that are shocked turn </t>
    </r>
    <r>
      <rPr>
        <i/>
        <sz val="11"/>
        <color rgb="FF0070C0"/>
        <rFont val="Calibri"/>
        <family val="2"/>
        <scheme val="minor"/>
      </rPr>
      <t>very dark grey</t>
    </r>
    <r>
      <rPr>
        <sz val="11"/>
        <color rgb="FF0070C0"/>
        <rFont val="Calibri"/>
        <family val="2"/>
        <scheme val="minor"/>
      </rPr>
      <t>.</t>
    </r>
  </si>
  <si>
    <t>Table 1 - Adjustment input data</t>
  </si>
  <si>
    <t>Table 2 - DSA-based criteria</t>
  </si>
  <si>
    <t>Table 3 - Safeguards and benchmark</t>
  </si>
  <si>
    <t>Table 5 - DSA-based adjustment *</t>
  </si>
  <si>
    <t>Last year before the adjustment</t>
  </si>
  <si>
    <t>Table 4 - Main fiscal variables</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</si>
  <si>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</si>
  <si>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</si>
  <si>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</si>
  <si>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</si>
  <si>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Difference between debt level in 50th and 10th percentiles of the distribution</t>
  </si>
  <si>
    <t>Difference between debt level in 50th and 30th percentiles of the distribution</t>
  </si>
  <si>
    <t>Difference between debt level in 70th and 50th percentiles of the distribution</t>
  </si>
  <si>
    <t>Difference between debt level in 90th and 50th percentiles of the distribution</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</si>
  <si>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</si>
  <si>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</si>
  <si>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IIR difference STATA - Excel</t>
  </si>
  <si>
    <t>(i - g)</t>
  </si>
  <si>
    <t>Debt increasing? (For criterion 1)</t>
  </si>
  <si>
    <t>Gross debt ratio in the Adjust. no safeguard</t>
  </si>
  <si>
    <t>p50 - Adjust. no safeguard</t>
  </si>
  <si>
    <t xml:space="preserve">* The adjustment in this table does not account for the minimum adjustment of 0.5 pp. of GDP as a benchmark nor for the debt sustainability and deficit resillience safeguards. </t>
  </si>
  <si>
    <t xml:space="preserve">· Adjustment scenario without safeguard and benchmark </t>
  </si>
  <si>
    <t>Annual change in SPB</t>
  </si>
  <si>
    <t>Debt declines by 1pp (0.5pp) of GDP on average as long as debt exceeds 90% (60%) of GDP</t>
  </si>
  <si>
    <t>Average change in debt</t>
  </si>
  <si>
    <t>Debt sustainability safeguard *</t>
  </si>
  <si>
    <t>Deficit benchmark **</t>
  </si>
  <si>
    <t>Each scenario is computed automatically based on the yearly adjustment path set in "Criteria results" (see above).</t>
  </si>
  <si>
    <t xml:space="preserve">The next spreadsheets present the deterministic and stochastic projections. Each deterministic projection provides a single path for debt until 2038 or 2041 under certain assumptions for budgetary, macroeconomic and financial variables, while the outcome of the stochastic projections is a distribution of debt paths resulting from a wide set of shocks. 
The sheets are grouped in four blocs, identified by their colour coding:
</t>
  </si>
  <si>
    <t>Within the orange sheet and each green sheet, the background of the SPB line has three colours. Each colour corresponds to a specific period of the projections:</t>
  </si>
  <si>
    <r>
      <t xml:space="preserve">The sheet in dark green presents the </t>
    </r>
    <r>
      <rPr>
        <u/>
        <sz val="11"/>
        <color rgb="FF0070C0"/>
        <rFont val="Calibri"/>
        <family val="2"/>
        <scheme val="minor"/>
      </rPr>
      <t>stochastic projections</t>
    </r>
    <r>
      <rPr>
        <sz val="11"/>
        <color rgb="FF0070C0"/>
        <rFont val="Calibri"/>
        <family val="2"/>
        <scheme val="minor"/>
      </rPr>
      <t xml:space="preserve"> surrounding the adjustment scenario without safeguard and benchmark .</t>
    </r>
  </si>
  <si>
    <t>Level (billions, national currency)</t>
  </si>
  <si>
    <t xml:space="preserve">Adjustment in a plan without extension </t>
  </si>
  <si>
    <t xml:space="preserve">Adjustment in a plan with extension </t>
  </si>
  <si>
    <t xml:space="preserve">    </t>
  </si>
  <si>
    <t>* The average change in debt is computed from the year before the start of the reference trajectory or the year in which the excessive deficit procedure is projected to be abrogated, whichever occurs last, until the end of the adjustment period. 
** The deficit benchmark is applied in terms of change in SPB during the transitory period of 2025-2027 and in terms of change in SB thereafter.</t>
  </si>
  <si>
    <t>country</t>
  </si>
  <si>
    <t>year</t>
  </si>
  <si>
    <t>spb_gdp_DSM</t>
  </si>
  <si>
    <t>exchrate_ameco</t>
  </si>
  <si>
    <t>cyclcomp_gdp_DSM</t>
  </si>
  <si>
    <t>rGDPgr_DSM</t>
  </si>
  <si>
    <t>infl_DSM</t>
  </si>
  <si>
    <t>oneOffMeasures_DSM</t>
  </si>
  <si>
    <t>Stockflowadjustments_DSM</t>
  </si>
  <si>
    <t>AgeingCost_DSM</t>
  </si>
  <si>
    <t>gdebt_gdp_DSM</t>
  </si>
  <si>
    <t>nIIR_DSM</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</si>
  <si>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</si>
  <si>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</si>
  <si>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</si>
  <si>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</si>
  <si>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</si>
  <si>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</si>
  <si>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</si>
  <si>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</si>
  <si>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</si>
  <si>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</si>
  <si>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</si>
  <si>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</si>
  <si>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</si>
  <si>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</si>
  <si>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</si>
  <si>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</si>
  <si>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</si>
  <si>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</si>
  <si>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</si>
  <si>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</si>
  <si>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</si>
  <si>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</si>
  <si>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</si>
  <si>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</si>
  <si>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Average (2025-28)</t>
  </si>
  <si>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</si>
  <si>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</si>
  <si>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</si>
  <si>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</si>
  <si>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</si>
  <si>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</si>
  <si>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</si>
  <si>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</si>
  <si>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</si>
  <si>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t>Budget balance semi-elasticity</t>
  </si>
  <si>
    <t>Structural balance ensuring safety margin (for deficit resilience safeguard)</t>
  </si>
  <si>
    <t>Change in interest payments (for deficit benchmark in SB terms from 2028 onwards)</t>
  </si>
  <si>
    <t>Debt above 90% (for debt sustainability safeguard)</t>
  </si>
  <si>
    <t>Debt between 60% and 90% (for debt sustainability safeguard)</t>
  </si>
  <si>
    <t>Debt above 60% (for debt sustainability safeguard)</t>
  </si>
  <si>
    <t>Deficit exceeding 3% / under EDP (for deficit benchmark and debt sustainability safeguard)</t>
  </si>
  <si>
    <t>Table 6 - Reference trajectory</t>
  </si>
  <si>
    <t xml:space="preserve">Table 5 "DSA-based adjustment" summarises the key characteristics of the adjustment path that complies with the DSA-based criteria before applying the safeguards and benchmark, for a plan both with and without extension. </t>
  </si>
  <si>
    <t xml:space="preserve">Table 4 "Main fiscal variables" reports the annual adjustment over the adjustment period, in terms of change in SPB (line 19) and net primary expenditure growth (line 20). The table also reports the headline balance, the structural balance and  debt (lines 21 to 23). The average annual adjustment is reported in cells G24 (average change in SPB over the 4-year plan period), G25 (average change in SPB over the 4-year or 7-year adjustment period), G26 (average net primary expenditure growth over the plan period) and G27 (average net primary expenditure growth over the adjustment period). </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</si>
  <si>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</si>
  <si>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r>
      <t>The sheet "</t>
    </r>
    <r>
      <rPr>
        <b/>
        <sz val="11"/>
        <color rgb="FF0070C0"/>
        <rFont val="Calibri"/>
        <family val="2"/>
        <scheme val="minor"/>
      </rPr>
      <t>Criteria results</t>
    </r>
    <r>
      <rPr>
        <sz val="11"/>
        <color rgb="FF0070C0"/>
        <rFont val="Calibri"/>
        <family val="2"/>
        <scheme val="minor"/>
      </rPr>
      <t>" contains six tables:
Table 1 "Adjustment input data": the user can set the duration of the plan (4 years under no extension or 7 years under extension) and the yearly adjustment pace in cells F5 and F6 in yellow. Note that the country cell (F4) cannot be changed.</t>
    </r>
  </si>
  <si>
    <r>
      <t xml:space="preserve">Cells in </t>
    </r>
    <r>
      <rPr>
        <i/>
        <sz val="11"/>
        <color rgb="FF0070C0"/>
        <rFont val="Calibri"/>
        <family val="2"/>
        <scheme val="minor"/>
      </rPr>
      <t>light grey</t>
    </r>
    <r>
      <rPr>
        <sz val="11"/>
        <color rgb="FF0070C0"/>
        <rFont val="Calibri"/>
        <family val="2"/>
        <scheme val="minor"/>
      </rPr>
      <t xml:space="preserve"> indicate a Commission forecast (available in the AMECO database)</t>
    </r>
  </si>
  <si>
    <t>Cost of ageing and selected public revenue (based on the Commission-Council 2024 Ageing Report ("AR 2024"))</t>
  </si>
  <si>
    <t>Non-coloured parameters in cells C49:C70 were calibrated based on different data sources. The data sources are indicated in the corresponding cells of column E.
The last part of the sheet "Input data" (cells C73:G77) provides the parameters measuring the size of the cone of the fanchart that results from the stochastic analysis. For reproducibility reasons, these parameters are kept constant.</t>
  </si>
  <si>
    <t xml:space="preserve">The sheet in orange presents the scenario that automatically corrects the yearly adjustment path to account for the deficit benchmark and the deficit resillience safeguard. By contrast, the yearly adjustment profile is not automatically adjusted to ensure that the debt sustainability safeguard is met. However, the sheet "Criteria results" indicates whether that safeguard is met. </t>
  </si>
  <si>
    <r>
      <t xml:space="preserve">The sheets in green present the </t>
    </r>
    <r>
      <rPr>
        <u/>
        <sz val="11"/>
        <color rgb="FF0070C0"/>
        <rFont val="Calibri"/>
        <family val="2"/>
        <scheme val="minor"/>
      </rPr>
      <t>deterministic projections</t>
    </r>
    <r>
      <rPr>
        <sz val="11"/>
        <color rgb="FF0070C0"/>
        <rFont val="Calibri"/>
        <family val="2"/>
        <scheme val="minor"/>
      </rPr>
      <t xml:space="preserve"> that are used to compute the DSA-based requirements (in the sheet "Criteria results"). They include four scenarios:
</t>
    </r>
  </si>
  <si>
    <r>
      <rPr>
        <b/>
        <sz val="11"/>
        <color rgb="FF0070C0"/>
        <rFont val="Calibri"/>
        <family val="2"/>
        <scheme val="minor"/>
      </rPr>
      <t>Debt projections</t>
    </r>
    <r>
      <rPr>
        <sz val="11"/>
        <color rgb="FF0070C0"/>
        <rFont val="Calibri"/>
        <family val="2"/>
        <scheme val="minor"/>
      </rPr>
      <t xml:space="preserve"> can be found in line 56 or 57 of each scenario. The corresponding </t>
    </r>
    <r>
      <rPr>
        <b/>
        <sz val="11"/>
        <color rgb="FF0070C0"/>
        <rFont val="Calibri"/>
        <family val="2"/>
        <scheme val="minor"/>
      </rPr>
      <t>net expenditure growth</t>
    </r>
    <r>
      <rPr>
        <sz val="11"/>
        <color rgb="FF0070C0"/>
        <rFont val="Calibri"/>
        <family val="2"/>
        <scheme val="minor"/>
      </rPr>
      <t xml:space="preserve"> is located in line 79 or 80 in the baseline and adjustment scenario (and Adj. no safeguard) sheets. The average net expenditure growth over the adjustment period is computed in cell D81 of the sheet "Adjustment scenario". As a reminder, these numbers are also available in Table 4 in "Criteria results".</t>
    </r>
  </si>
  <si>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t>
    </r>
    <r>
      <rPr>
        <sz val="11"/>
        <color rgb="FF0070C0"/>
        <rFont val="Calibri"/>
        <family val="2"/>
        <scheme val="minor"/>
      </rPr>
      <t xml:space="preserve">in the </t>
    </r>
    <r>
      <rPr>
        <b/>
        <sz val="11"/>
        <color rgb="FF0070C0"/>
        <rFont val="Calibri"/>
        <family val="2"/>
        <scheme val="minor"/>
      </rPr>
      <t>"</t>
    </r>
    <r>
      <rPr>
        <b/>
        <u/>
        <sz val="11"/>
        <color rgb="FF0070C0"/>
        <rFont val="Calibri"/>
        <family val="2"/>
        <scheme val="minor"/>
      </rPr>
      <t>Debt Sustainability Monitor 2023" (DSM, March 2024)</t>
    </r>
    <r>
      <rPr>
        <b/>
        <sz val="11"/>
        <color rgb="FF0070C0"/>
        <rFont val="Calibri"/>
        <family val="2"/>
        <scheme val="minor"/>
      </rPr>
      <t xml:space="preserve">. </t>
    </r>
  </si>
  <si>
    <t>Table 6 "Reference trajectory" reports the net expenditure growth and the corresponding annual change in SPB that are consistent with all requirements including the safeguards and benchmark, both without and with extension.</t>
  </si>
  <si>
    <t xml:space="preserve">Table 2 "DSA-based criteria" reports whether the chosen adjustment fulfils each of the DSA-based criteria. </t>
  </si>
  <si>
    <t>Table 3 "Safeguards and benchmark" reports whether (i) the chosen adjustment ensures that the debt sustainability safeguard is met, (ii) the 'deficit benchmark', i.e. the minimum adjustment of 0.5 pp. of GDP as a benchmark when the country is in EDP and/or the deficit exceeds 3% of GDP, is binding, and (iii) the deficit resilience safeguard is binding.</t>
  </si>
  <si>
    <t>To the right of Table 1, a message automatically signals whether the chosen adjustment is sufficient to fulfill all the requirements, summarising the results from Tables 2 and 3.</t>
  </si>
  <si>
    <t>Number of years of adjustment</t>
  </si>
  <si>
    <t>Probability that debt decreases</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</si>
  <si>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</si>
  <si>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 xml:space="preserve">white or grey background </t>
    </r>
    <r>
      <rPr>
        <sz val="11"/>
        <color rgb="FF0070C0"/>
        <rFont val="Calibri"/>
        <family val="2"/>
        <scheme val="minor"/>
      </rPr>
      <t>provide results obtained with the adjustment chosen in the yellow cells. To replicate the Commission's calculations, the underlying formulas should not be modified.</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</si>
  <si>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</si>
  <si>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</si>
  <si>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adjustment paths compared with the reference trajectory calculated by the EC or to check its robustness to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</si>
  <si>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t>The 'FASTOP reporting' sheet in violet provides help for preparing reporting tables. It readily provides all the tables envisaged in the guidance notice on the "Information Requirements for the Medium-Term Fiscal-Structural Plans" once the parameters are set in the rest of this file.
Note that the probability of a declining debt ratio in table 7c derived from the stochastic simulations is only an approximation since the stochastic analysis is not an integral part of this Excel file. For a precise figure, the simulations need to be run.
This sheet is therefore only meant to provide assistance. The figures still need to be thoroughly scrutinised before submitting the tables.</t>
  </si>
  <si>
    <t>* The stochastic simulations are provided mainly for information, as the Excel worksheet only allows for an approximation of what is done in the Commission's Stata model. Indeed, in this Excel worksheet, the size of the cone of the fanchart is assumed to be constant over different adjustment paths. In ther Stata model, it is a non linear function of the level of debt, as shocks (in particular interest rate shocks) have different impacts according to the level of debt ratio. 
** In case a smaller adjustment than the one implied by criterion 1 and criterion 2 is sufficient to ensure that debt is brought (and/or remains) below 60% of GDP under the adjustment scenario and all deterministic stress tests while ensuring that the criterion 3 is met, then that smaller, 'eased-up' adjustment is chosen.</t>
  </si>
  <si>
    <t xml:space="preserve">In case of a plan with no extension, both the plan period and the adjustment period last 4 years. 
In case of a plan with extension, the plan period remains 4 years while the adjustment period lasts 7 years. Morever, in case of extension, if neither the deficit benchmark nor the deficit resilience safeguard are binding, the values in G24 and G25 (and G26 and G27) are the same. However, if the benchmark or the safeguard is binding, the values in those cells can be different. </t>
  </si>
  <si>
    <t>AF24</t>
  </si>
  <si>
    <t>Share of outstanding debt in total debt in 2023</t>
  </si>
  <si>
    <t>Share of rolled-over long-term debt in 2023</t>
  </si>
  <si>
    <t>Share of rolled-over short-term debt in 2023</t>
  </si>
  <si>
    <t>Share of new long-term debt in 2023</t>
  </si>
  <si>
    <t>Share of new short-term debt in 2023</t>
  </si>
  <si>
    <r>
      <t xml:space="preserve">Data reported in this file are based on the </t>
    </r>
    <r>
      <rPr>
        <i/>
        <sz val="11"/>
        <color rgb="FF0070C0"/>
        <rFont val="Calibri"/>
        <family val="2"/>
        <scheme val="minor"/>
      </rPr>
      <t>European Commission (EC) 2024 autumn forecast (AF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t>
    </r>
  </si>
  <si>
    <t>The sheet in blue provides, as a reference, the baseline no-fiscal-policy-change scenario. The background colour coding is the same as in the sheet "Input data".</t>
  </si>
  <si>
    <t>Key fiscal variables (based on the Commission 2024 autumn forecast ("AF 2024") T+2 forecast</t>
  </si>
  <si>
    <t>Real GDP growth assumptions (based on AF 2024 T+10 projections and AR 2024 projections)</t>
  </si>
  <si>
    <t>Interest rates (AF 2024, %)</t>
  </si>
  <si>
    <t>Inflation (AF 2024, %)</t>
  </si>
  <si>
    <t>Net primary expenditure growth (AF 2024, %)</t>
  </si>
  <si>
    <r>
      <t>Cells in</t>
    </r>
    <r>
      <rPr>
        <i/>
        <sz val="11"/>
        <color rgb="FF0070C0"/>
        <rFont val="Calibri"/>
        <family val="2"/>
        <scheme val="minor"/>
      </rPr>
      <t xml:space="preserve"> light red</t>
    </r>
    <r>
      <rPr>
        <sz val="11"/>
        <color rgb="FF0070C0"/>
        <rFont val="Calibri"/>
        <family val="2"/>
        <scheme val="minor"/>
      </rPr>
      <t xml:space="preserve"> indicate whether the country is subject to an ongoing excessive deficit procedure (EDP) or whether the Commission's November 2024 report under Art. 126(3) of the Treaty recommends opening an EDP. If neither of these conditions are met, the deficit benchmark is not relevant and therefore not applied.</t>
    </r>
  </si>
  <si>
    <t>No extension (annual adjustment of 0.56)</t>
  </si>
  <si>
    <t>Extension (annual adjustment of 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</si>
</sst>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5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strike/>
      <sz val="11"/>
      <color theme="4"/>
      <name val="Calibri"/>
      <family val="2"/>
      <scheme val="minor"/>
    </font>
    <font>
      <b/>
      <sz val="9"/>
      <color theme="1"/>
      <name val="Arial"/>
      <family val="2"/>
    </font>
    <font>
      <sz val="10"/>
      <color rgb="FF000000"/>
      <name val="Arial"/>
      <family val="2"/>
    </font>
    <font>
      <b/>
      <sz val="10"/>
      <color theme="0"/>
      <name val="Arial"/>
      <family val="2"/>
    </font>
    <font>
      <b/>
      <sz val="8"/>
      <color rgb="FF0070C0"/>
      <name val="Arial"/>
      <family val="2"/>
    </font>
    <font>
      <sz val="8"/>
      <color theme="0"/>
      <name val="Arial"/>
      <family val="2"/>
    </font>
    <font>
      <sz val="10"/>
      <color theme="0"/>
      <name val="Arial"/>
      <family val="2"/>
    </font>
    <font>
      <b/>
      <sz val="8"/>
      <color theme="0"/>
      <name val="Arial"/>
      <family val="2"/>
    </font>
    <font>
      <i/>
      <sz val="10"/>
      <color theme="1"/>
      <name val="Arial"/>
      <family val="2"/>
    </font>
    <font>
      <sz val="8"/>
      <color rgb="FF002060"/>
      <name val="Arial"/>
      <family val="2"/>
    </font>
    <font>
      <b/>
      <i/>
      <sz val="10"/>
      <color theme="0"/>
      <name val="Arial"/>
      <family val="2"/>
    </font>
    <font>
      <b/>
      <sz val="10"/>
      <color rgb="FF002060"/>
      <name val="Arial"/>
      <family val="2"/>
    </font>
    <font>
      <b/>
      <i/>
      <sz val="10"/>
      <color rgb="FF00206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name val="Calibri"/>
      <family val="2"/>
      <scheme val="minor"/>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sz val="11"/>
      <color rgb="FFFF0000"/>
      <name val="Calibri"/>
      <family val="2"/>
      <scheme val="minor"/>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rgb="FFFF0000"/>
      <name val="Arial"/>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medium">
        <color indexed="64"/>
      </left>
      <right style="medium">
        <color indexed="64"/>
      </right>
      <top style="medium">
        <color indexed="64"/>
      </top>
      <bottom style="medium">
        <color indexed="64"/>
      </bottom>
      <diagonal/>
    </border>
    <border>
      <left/>
      <right style="thick">
        <color rgb="FFFF0000"/>
      </right>
      <top/>
      <bottom style="thin">
        <color indexed="64"/>
      </bottom>
      <diagonal/>
    </border>
    <border>
      <left style="thick">
        <color rgb="FFFF0000"/>
      </left>
      <right style="thick">
        <color rgb="FFFF0000"/>
      </right>
      <top style="thick">
        <color rgb="FFFF0000"/>
      </top>
      <bottom style="thick">
        <color rgb="FFFF0000"/>
      </bottom>
      <diagonal/>
    </border>
    <border>
      <left style="medium">
        <color indexed="64"/>
      </left>
      <right/>
      <top/>
      <bottom/>
      <diagonal/>
    </border>
    <border>
      <left style="thick">
        <color rgb="FFFF0000"/>
      </left>
      <right/>
      <top/>
      <bottom/>
      <diagonal/>
    </border>
  </borders>
  <cellStyleXfs count="14">
    <xf numFmtId="0" fontId="0" fillId="0" borderId="0"/>
    <xf numFmtId="0" fontId="8" fillId="0" borderId="0"/>
    <xf numFmtId="0" fontId="8" fillId="0" borderId="0"/>
    <xf numFmtId="0" fontId="7" fillId="0" borderId="0"/>
    <xf numFmtId="0" fontId="18" fillId="0" borderId="0" applyNumberFormat="0" applyFill="0" applyBorder="0" applyAlignment="0" applyProtection="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2" fillId="0" borderId="0"/>
    <xf numFmtId="0" fontId="50" fillId="0" borderId="0"/>
  </cellStyleXfs>
  <cellXfs count="482">
    <xf numFmtId="0" fontId="0" fillId="0" borderId="0" xfId="0"/>
    <xf numFmtId="165" fontId="15" fillId="2" borderId="0" xfId="0" applyNumberFormat="1" applyFont="1" applyFill="1" applyAlignment="1">
      <alignment horizontal="center"/>
    </xf>
    <xf numFmtId="165" fontId="15" fillId="3" borderId="0" xfId="0" applyNumberFormat="1" applyFont="1" applyFill="1" applyAlignment="1">
      <alignment horizontal="center"/>
    </xf>
    <xf numFmtId="165" fontId="15" fillId="4" borderId="0" xfId="0" applyNumberFormat="1" applyFont="1" applyFill="1" applyAlignment="1">
      <alignment horizontal="center"/>
    </xf>
    <xf numFmtId="165" fontId="9" fillId="4" borderId="0" xfId="0" applyNumberFormat="1" applyFont="1" applyFill="1" applyAlignment="1">
      <alignment horizontal="center"/>
    </xf>
    <xf numFmtId="0" fontId="0" fillId="2" borderId="0" xfId="0" applyFill="1"/>
    <xf numFmtId="0" fontId="0" fillId="2" borderId="6" xfId="0" applyFill="1" applyBorder="1"/>
    <xf numFmtId="165" fontId="0" fillId="0" borderId="0" xfId="0" applyNumberFormat="1"/>
    <xf numFmtId="0" fontId="0" fillId="2" borderId="8"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17" fillId="2" borderId="5" xfId="0" applyFont="1" applyFill="1" applyBorder="1"/>
    <xf numFmtId="0" fontId="17" fillId="2" borderId="9" xfId="0" applyFont="1"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9" fillId="2" borderId="8" xfId="0" applyFont="1" applyFill="1" applyBorder="1" applyAlignment="1">
      <alignment horizontal="center"/>
    </xf>
    <xf numFmtId="0" fontId="9" fillId="2" borderId="5" xfId="0" applyFont="1" applyFill="1" applyBorder="1" applyAlignment="1">
      <alignment horizontal="center" vertical="center" wrapText="1"/>
    </xf>
    <xf numFmtId="0" fontId="9" fillId="2" borderId="8" xfId="0" applyFont="1" applyFill="1" applyBorder="1" applyAlignment="1" applyProtection="1">
      <alignment horizontal="center"/>
      <protection locked="0"/>
    </xf>
    <xf numFmtId="0" fontId="9" fillId="2" borderId="9" xfId="0" applyFont="1" applyFill="1" applyBorder="1" applyAlignment="1">
      <alignment horizontal="center"/>
    </xf>
    <xf numFmtId="0" fontId="22" fillId="10" borderId="0" xfId="0" applyFont="1" applyFill="1"/>
    <xf numFmtId="0" fontId="9" fillId="2" borderId="0" xfId="0" applyFont="1" applyFill="1"/>
    <xf numFmtId="0" fontId="16" fillId="2" borderId="0" xfId="0" applyFont="1" applyFill="1" applyAlignment="1">
      <alignment horizontal="left" vertical="center"/>
    </xf>
    <xf numFmtId="0" fontId="11" fillId="2" borderId="0" xfId="0" applyFont="1" applyFill="1"/>
    <xf numFmtId="0" fontId="9" fillId="2" borderId="0" xfId="0" applyFont="1" applyFill="1" applyAlignment="1">
      <alignment horizontal="center"/>
    </xf>
    <xf numFmtId="0" fontId="10" fillId="2" borderId="0" xfId="0" applyFont="1" applyFill="1"/>
    <xf numFmtId="0" fontId="11"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xf>
    <xf numFmtId="165" fontId="9" fillId="2" borderId="0" xfId="0" applyNumberFormat="1" applyFont="1" applyFill="1" applyAlignment="1">
      <alignment horizontal="center"/>
    </xf>
    <xf numFmtId="0" fontId="9" fillId="2" borderId="6" xfId="0" applyFont="1" applyFill="1" applyBorder="1"/>
    <xf numFmtId="2" fontId="9" fillId="2" borderId="0" xfId="0" applyNumberFormat="1" applyFont="1" applyFill="1" applyAlignment="1">
      <alignment horizontal="center"/>
    </xf>
    <xf numFmtId="165" fontId="15" fillId="2" borderId="6" xfId="0" applyNumberFormat="1" applyFont="1" applyFill="1" applyBorder="1" applyAlignment="1">
      <alignment horizontal="center"/>
    </xf>
    <xf numFmtId="165" fontId="9" fillId="2" borderId="0" xfId="0" applyNumberFormat="1" applyFont="1" applyFill="1"/>
    <xf numFmtId="0" fontId="23" fillId="2" borderId="0" xfId="0" applyFont="1" applyFill="1" applyAlignment="1">
      <alignment horizontal="left" vertical="center"/>
    </xf>
    <xf numFmtId="0" fontId="0" fillId="2" borderId="4" xfId="0" applyFill="1" applyBorder="1" applyAlignment="1">
      <alignment horizontal="center"/>
    </xf>
    <xf numFmtId="0" fontId="17" fillId="2" borderId="12"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9" fillId="2" borderId="0" xfId="0" applyFont="1" applyFill="1" applyAlignment="1">
      <alignment horizontal="right"/>
    </xf>
    <xf numFmtId="164" fontId="9" fillId="2" borderId="0" xfId="0" applyNumberFormat="1" applyFont="1" applyFill="1" applyAlignment="1">
      <alignment horizontal="right"/>
    </xf>
    <xf numFmtId="165" fontId="16" fillId="2" borderId="0" xfId="0" applyNumberFormat="1" applyFont="1" applyFill="1" applyAlignment="1">
      <alignment horizontal="center"/>
    </xf>
    <xf numFmtId="165" fontId="16" fillId="2" borderId="3" xfId="0" applyNumberFormat="1" applyFont="1" applyFill="1" applyBorder="1" applyAlignment="1">
      <alignment horizontal="center"/>
    </xf>
    <xf numFmtId="165" fontId="13" fillId="2" borderId="6" xfId="0" applyNumberFormat="1" applyFont="1" applyFill="1" applyBorder="1" applyAlignment="1">
      <alignment horizontal="center"/>
    </xf>
    <xf numFmtId="165" fontId="12" fillId="2" borderId="3" xfId="0" applyNumberFormat="1" applyFont="1" applyFill="1" applyBorder="1" applyAlignment="1">
      <alignment horizontal="center"/>
    </xf>
    <xf numFmtId="165" fontId="9" fillId="2" borderId="6" xfId="0" applyNumberFormat="1" applyFont="1" applyFill="1" applyBorder="1" applyAlignment="1">
      <alignment horizontal="center"/>
    </xf>
    <xf numFmtId="165" fontId="14" fillId="2" borderId="3" xfId="0" applyNumberFormat="1" applyFont="1" applyFill="1" applyBorder="1" applyAlignment="1">
      <alignment horizontal="center"/>
    </xf>
    <xf numFmtId="0" fontId="9" fillId="2" borderId="11" xfId="0" applyFont="1" applyFill="1" applyBorder="1"/>
    <xf numFmtId="165" fontId="9" fillId="2" borderId="11" xfId="0" applyNumberFormat="1" applyFont="1" applyFill="1" applyBorder="1" applyAlignment="1">
      <alignment horizontal="center"/>
    </xf>
    <xf numFmtId="2" fontId="9" fillId="2" borderId="0" xfId="0" applyNumberFormat="1" applyFont="1" applyFill="1"/>
    <xf numFmtId="0" fontId="11" fillId="2" borderId="2" xfId="0" applyFont="1" applyFill="1" applyBorder="1"/>
    <xf numFmtId="2" fontId="9" fillId="2" borderId="4" xfId="0" applyNumberFormat="1" applyFont="1" applyFill="1" applyBorder="1" applyAlignment="1" applyProtection="1">
      <alignment horizontal="center"/>
      <protection locked="0"/>
    </xf>
    <xf numFmtId="0" fontId="11" fillId="2" borderId="9" xfId="0" applyFont="1" applyFill="1" applyBorder="1"/>
    <xf numFmtId="2" fontId="9" fillId="2" borderId="7" xfId="0" applyNumberFormat="1" applyFont="1" applyFill="1" applyBorder="1" applyAlignment="1" applyProtection="1">
      <alignment horizontal="center"/>
      <protection locked="0"/>
    </xf>
    <xf numFmtId="2" fontId="9" fillId="2" borderId="0" xfId="0" applyNumberFormat="1" applyFont="1" applyFill="1" applyAlignment="1" applyProtection="1">
      <alignment horizontal="center"/>
      <protection locked="0"/>
    </xf>
    <xf numFmtId="165" fontId="15" fillId="2" borderId="0" xfId="0" applyNumberFormat="1" applyFont="1" applyFill="1" applyAlignment="1" applyProtection="1">
      <alignment horizontal="center"/>
      <protection locked="0"/>
    </xf>
    <xf numFmtId="0" fontId="9" fillId="2" borderId="0" xfId="0" applyFont="1" applyFill="1" applyProtection="1">
      <protection locked="0"/>
    </xf>
    <xf numFmtId="164" fontId="9" fillId="2" borderId="0" xfId="0" applyNumberFormat="1" applyFont="1" applyFill="1"/>
    <xf numFmtId="0" fontId="15" fillId="2" borderId="0" xfId="0" applyFont="1" applyFill="1"/>
    <xf numFmtId="2" fontId="15" fillId="2" borderId="0" xfId="0" applyNumberFormat="1" applyFont="1" applyFill="1" applyAlignment="1" applyProtection="1">
      <alignment horizontal="center"/>
      <protection locked="0"/>
    </xf>
    <xf numFmtId="0" fontId="10" fillId="2" borderId="5" xfId="0" applyFont="1" applyFill="1" applyBorder="1" applyAlignment="1">
      <alignment horizontal="center"/>
    </xf>
    <xf numFmtId="0" fontId="9" fillId="2" borderId="5" xfId="0" applyFont="1" applyFill="1" applyBorder="1" applyAlignment="1">
      <alignment horizontal="center"/>
    </xf>
    <xf numFmtId="0" fontId="9" fillId="2" borderId="7" xfId="0" applyFont="1" applyFill="1" applyBorder="1" applyAlignment="1">
      <alignment horizontal="center"/>
    </xf>
    <xf numFmtId="0" fontId="24" fillId="10" borderId="0" xfId="0" applyFont="1" applyFill="1"/>
    <xf numFmtId="2" fontId="24" fillId="10" borderId="0" xfId="0" applyNumberFormat="1" applyFont="1" applyFill="1" applyAlignment="1">
      <alignment horizontal="center"/>
    </xf>
    <xf numFmtId="0" fontId="24" fillId="10" borderId="0" xfId="0" applyFont="1" applyFill="1" applyAlignment="1">
      <alignment horizontal="center"/>
    </xf>
    <xf numFmtId="0" fontId="24" fillId="10" borderId="0" xfId="0" applyFont="1" applyFill="1" applyAlignment="1">
      <alignment horizontal="right"/>
    </xf>
    <xf numFmtId="0" fontId="25" fillId="10" borderId="0" xfId="0" applyFont="1" applyFill="1" applyAlignment="1">
      <alignment vertical="center"/>
    </xf>
    <xf numFmtId="0" fontId="22" fillId="10" borderId="0" xfId="0" applyFont="1" applyFill="1" applyAlignment="1">
      <alignment horizontal="left" vertical="center"/>
    </xf>
    <xf numFmtId="0" fontId="25" fillId="10" borderId="0" xfId="0" applyFont="1" applyFill="1" applyAlignment="1">
      <alignment horizontal="center" vertical="center"/>
    </xf>
    <xf numFmtId="0" fontId="25" fillId="10" borderId="0" xfId="0" applyFont="1" applyFill="1" applyAlignment="1">
      <alignment horizontal="right" vertical="center"/>
    </xf>
    <xf numFmtId="0" fontId="22" fillId="10" borderId="0" xfId="0" applyFont="1" applyFill="1" applyAlignment="1">
      <alignment vertical="center"/>
    </xf>
    <xf numFmtId="0" fontId="9" fillId="2" borderId="3" xfId="0" applyFont="1" applyFill="1" applyBorder="1"/>
    <xf numFmtId="165" fontId="9" fillId="2" borderId="3" xfId="0" applyNumberFormat="1" applyFont="1" applyFill="1" applyBorder="1" applyAlignment="1">
      <alignment horizontal="center"/>
    </xf>
    <xf numFmtId="0" fontId="15" fillId="2" borderId="0" xfId="0" applyFont="1" applyFill="1" applyAlignment="1">
      <alignment horizontal="left" indent="1"/>
    </xf>
    <xf numFmtId="0" fontId="9" fillId="2" borderId="0" xfId="0" quotePrefix="1" applyFont="1" applyFill="1"/>
    <xf numFmtId="0" fontId="21" fillId="2" borderId="0" xfId="0" applyFont="1" applyFill="1" applyAlignment="1">
      <alignment horizontal="left" vertical="center" readingOrder="1"/>
    </xf>
    <xf numFmtId="0" fontId="20" fillId="2" borderId="0" xfId="0" applyFont="1" applyFill="1" applyAlignment="1">
      <alignment horizontal="center"/>
    </xf>
    <xf numFmtId="165" fontId="0" fillId="2" borderId="0" xfId="0" applyNumberFormat="1" applyFill="1"/>
    <xf numFmtId="0" fontId="12" fillId="2" borderId="3" xfId="0" applyFont="1" applyFill="1" applyBorder="1"/>
    <xf numFmtId="0" fontId="12" fillId="2" borderId="11" xfId="0" applyFont="1" applyFill="1" applyBorder="1"/>
    <xf numFmtId="0" fontId="12" fillId="2" borderId="11" xfId="0" applyFont="1" applyFill="1" applyBorder="1" applyAlignment="1">
      <alignment horizontal="center"/>
    </xf>
    <xf numFmtId="0" fontId="16" fillId="2" borderId="3" xfId="0" applyFont="1" applyFill="1" applyBorder="1"/>
    <xf numFmtId="0" fontId="13" fillId="2" borderId="0" xfId="0" applyFont="1" applyFill="1" applyAlignment="1">
      <alignment horizontal="left" indent="1"/>
    </xf>
    <xf numFmtId="0" fontId="15" fillId="2" borderId="6" xfId="0" applyFont="1" applyFill="1" applyBorder="1" applyAlignment="1">
      <alignment horizontal="left" indent="1"/>
    </xf>
    <xf numFmtId="0" fontId="26" fillId="10" borderId="0" xfId="0" applyFont="1" applyFill="1"/>
    <xf numFmtId="0" fontId="16" fillId="2" borderId="0" xfId="0" applyFont="1" applyFill="1"/>
    <xf numFmtId="0" fontId="17" fillId="2" borderId="1" xfId="0" applyFont="1" applyFill="1" applyBorder="1" applyAlignment="1">
      <alignment horizontal="center" vertical="center" wrapText="1"/>
    </xf>
    <xf numFmtId="0" fontId="25" fillId="10" borderId="0" xfId="0" applyFont="1" applyFill="1"/>
    <xf numFmtId="0" fontId="22" fillId="10" borderId="0" xfId="0" applyFont="1" applyFill="1" applyAlignment="1">
      <alignment horizontal="left"/>
    </xf>
    <xf numFmtId="0" fontId="25" fillId="10" borderId="0" xfId="0" applyFont="1" applyFill="1" applyAlignment="1">
      <alignment horizontal="center"/>
    </xf>
    <xf numFmtId="0" fontId="25" fillId="10" borderId="0" xfId="0" applyFont="1" applyFill="1" applyAlignment="1">
      <alignment horizontal="right"/>
    </xf>
    <xf numFmtId="166" fontId="9" fillId="2" borderId="0" xfId="0" applyNumberFormat="1" applyFont="1" applyFill="1" applyAlignment="1">
      <alignment horizontal="center"/>
    </xf>
    <xf numFmtId="164" fontId="9" fillId="2" borderId="0" xfId="0" applyNumberFormat="1" applyFont="1" applyFill="1" applyAlignment="1">
      <alignment horizontal="center"/>
    </xf>
    <xf numFmtId="166" fontId="15" fillId="2" borderId="0" xfId="0" applyNumberFormat="1" applyFont="1" applyFill="1" applyAlignment="1">
      <alignment horizontal="center"/>
    </xf>
    <xf numFmtId="165" fontId="9" fillId="3" borderId="0" xfId="0" applyNumberFormat="1" applyFont="1" applyFill="1" applyAlignment="1">
      <alignment horizontal="center"/>
    </xf>
    <xf numFmtId="165" fontId="15" fillId="5" borderId="0" xfId="0" applyNumberFormat="1" applyFont="1" applyFill="1" applyAlignment="1">
      <alignment horizontal="center"/>
    </xf>
    <xf numFmtId="0" fontId="22" fillId="2" borderId="0" xfId="0" applyFont="1" applyFill="1"/>
    <xf numFmtId="167" fontId="15" fillId="2" borderId="0" xfId="0" applyNumberFormat="1" applyFont="1" applyFill="1" applyAlignment="1">
      <alignment horizontal="center"/>
    </xf>
    <xf numFmtId="170" fontId="15" fillId="2" borderId="0" xfId="0" applyNumberFormat="1" applyFont="1" applyFill="1" applyAlignment="1">
      <alignment horizontal="center"/>
    </xf>
    <xf numFmtId="0" fontId="9" fillId="2" borderId="0" xfId="0" applyFont="1" applyFill="1" applyAlignment="1">
      <alignment horizontal="left" indent="3"/>
    </xf>
    <xf numFmtId="0" fontId="16" fillId="2" borderId="6" xfId="0" applyFont="1" applyFill="1" applyBorder="1"/>
    <xf numFmtId="0" fontId="9" fillId="2" borderId="6" xfId="0" applyFont="1" applyFill="1" applyBorder="1" applyAlignment="1">
      <alignment horizontal="left" indent="3"/>
    </xf>
    <xf numFmtId="2" fontId="9" fillId="2" borderId="6" xfId="0" applyNumberFormat="1" applyFont="1" applyFill="1" applyBorder="1" applyAlignment="1">
      <alignment horizontal="center"/>
    </xf>
    <xf numFmtId="0" fontId="25" fillId="2" borderId="0" xfId="0" applyFont="1" applyFill="1"/>
    <xf numFmtId="165" fontId="16" fillId="2" borderId="6" xfId="0" applyNumberFormat="1" applyFont="1" applyFill="1" applyBorder="1" applyAlignment="1">
      <alignment horizontal="center"/>
    </xf>
    <xf numFmtId="0" fontId="9" fillId="2" borderId="0" xfId="0" applyFont="1" applyFill="1" applyAlignment="1">
      <alignment vertical="center"/>
    </xf>
    <xf numFmtId="165" fontId="29" fillId="10" borderId="0" xfId="0" applyNumberFormat="1" applyFont="1" applyFill="1" applyAlignment="1">
      <alignment horizontal="center"/>
    </xf>
    <xf numFmtId="0" fontId="16" fillId="2" borderId="11" xfId="0" applyFont="1" applyFill="1" applyBorder="1"/>
    <xf numFmtId="165" fontId="9" fillId="2" borderId="6" xfId="0" applyNumberFormat="1" applyFont="1" applyFill="1" applyBorder="1"/>
    <xf numFmtId="165" fontId="16" fillId="2" borderId="11" xfId="0" applyNumberFormat="1" applyFont="1" applyFill="1" applyBorder="1" applyAlignment="1">
      <alignment horizontal="center"/>
    </xf>
    <xf numFmtId="0" fontId="28" fillId="2" borderId="0" xfId="0" applyFont="1" applyFill="1"/>
    <xf numFmtId="165" fontId="28" fillId="2" borderId="0" xfId="0" applyNumberFormat="1" applyFont="1" applyFill="1" applyAlignment="1" applyProtection="1">
      <alignment horizontal="center"/>
      <protection locked="0"/>
    </xf>
    <xf numFmtId="168" fontId="9" fillId="2" borderId="0" xfId="0" applyNumberFormat="1" applyFont="1" applyFill="1"/>
    <xf numFmtId="165" fontId="15" fillId="7" borderId="0" xfId="0" applyNumberFormat="1" applyFont="1" applyFill="1" applyAlignment="1">
      <alignment horizontal="center"/>
    </xf>
    <xf numFmtId="0" fontId="15" fillId="2" borderId="0" xfId="0" applyFont="1" applyFill="1" applyAlignment="1">
      <alignment horizontal="left"/>
    </xf>
    <xf numFmtId="166" fontId="9" fillId="2" borderId="0" xfId="0" applyNumberFormat="1" applyFont="1" applyFill="1"/>
    <xf numFmtId="166" fontId="9" fillId="2" borderId="0" xfId="0" applyNumberFormat="1" applyFont="1" applyFill="1" applyAlignment="1">
      <alignment horizontal="right"/>
    </xf>
    <xf numFmtId="2" fontId="9" fillId="2" borderId="0" xfId="0" applyNumberFormat="1" applyFont="1" applyFill="1" applyAlignment="1">
      <alignment horizontal="right"/>
    </xf>
    <xf numFmtId="165" fontId="29" fillId="2" borderId="0" xfId="0" applyNumberFormat="1" applyFont="1" applyFill="1" applyAlignment="1">
      <alignment horizontal="center"/>
    </xf>
    <xf numFmtId="165" fontId="29" fillId="2" borderId="6" xfId="0" applyNumberFormat="1" applyFont="1" applyFill="1" applyBorder="1" applyAlignment="1">
      <alignment horizontal="center"/>
    </xf>
    <xf numFmtId="165" fontId="28" fillId="2" borderId="6" xfId="0" applyNumberFormat="1" applyFont="1" applyFill="1" applyBorder="1" applyAlignment="1">
      <alignment horizontal="center"/>
    </xf>
    <xf numFmtId="0" fontId="30" fillId="2" borderId="0" xfId="0" applyFont="1" applyFill="1"/>
    <xf numFmtId="165" fontId="31" fillId="2" borderId="0" xfId="0" applyNumberFormat="1" applyFont="1" applyFill="1" applyAlignment="1">
      <alignment horizontal="center"/>
    </xf>
    <xf numFmtId="165" fontId="31" fillId="2" borderId="6" xfId="0" applyNumberFormat="1" applyFont="1" applyFill="1" applyBorder="1" applyAlignment="1">
      <alignment horizontal="center"/>
    </xf>
    <xf numFmtId="0" fontId="23" fillId="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left" vertical="center"/>
      <protection locked="0"/>
    </xf>
    <xf numFmtId="0" fontId="9" fillId="2" borderId="5"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22" fillId="10" borderId="0" xfId="0" applyFont="1" applyFill="1" applyProtection="1">
      <protection locked="0"/>
    </xf>
    <xf numFmtId="0" fontId="9" fillId="10" borderId="0" xfId="0" applyFont="1" applyFill="1" applyProtection="1">
      <protection locked="0"/>
    </xf>
    <xf numFmtId="0" fontId="11" fillId="2" borderId="0" xfId="0" applyFont="1" applyFill="1" applyAlignment="1" applyProtection="1">
      <alignment horizontal="center"/>
      <protection locked="0"/>
    </xf>
    <xf numFmtId="0" fontId="0" fillId="2" borderId="6" xfId="0" applyFill="1" applyBorder="1" applyProtection="1">
      <protection locked="0"/>
    </xf>
    <xf numFmtId="0" fontId="11" fillId="2" borderId="6" xfId="0" applyFont="1" applyFill="1" applyBorder="1" applyProtection="1">
      <protection locked="0"/>
    </xf>
    <xf numFmtId="0" fontId="9" fillId="2" borderId="6" xfId="0" applyFont="1" applyFill="1" applyBorder="1" applyAlignment="1" applyProtection="1">
      <alignment horizontal="center"/>
      <protection locked="0"/>
    </xf>
    <xf numFmtId="0" fontId="10" fillId="2" borderId="0" xfId="0" applyFont="1" applyFill="1" applyProtection="1">
      <protection locked="0"/>
    </xf>
    <xf numFmtId="0" fontId="9" fillId="2" borderId="0" xfId="0" applyFont="1" applyFill="1" applyAlignment="1" applyProtection="1">
      <alignment horizontal="center"/>
      <protection locked="0"/>
    </xf>
    <xf numFmtId="165" fontId="15" fillId="3" borderId="0" xfId="0" applyNumberFormat="1" applyFont="1" applyFill="1" applyAlignment="1" applyProtection="1">
      <alignment horizontal="center"/>
      <protection locked="0"/>
    </xf>
    <xf numFmtId="165" fontId="15" fillId="5" borderId="0" xfId="0" applyNumberFormat="1" applyFont="1" applyFill="1" applyAlignment="1" applyProtection="1">
      <alignment horizontal="center"/>
      <protection locked="0"/>
    </xf>
    <xf numFmtId="0" fontId="9" fillId="2" borderId="0" xfId="0" applyFont="1" applyFill="1" applyAlignment="1" applyProtection="1">
      <alignment horizontal="left"/>
      <protection locked="0"/>
    </xf>
    <xf numFmtId="0" fontId="9" fillId="2" borderId="0" xfId="0" applyFont="1" applyFill="1" applyAlignment="1" applyProtection="1">
      <alignment horizontal="left" indent="1"/>
      <protection locked="0"/>
    </xf>
    <xf numFmtId="0" fontId="9" fillId="2" borderId="6" xfId="0" applyFont="1" applyFill="1" applyBorder="1" applyProtection="1">
      <protection locked="0"/>
    </xf>
    <xf numFmtId="165" fontId="9" fillId="2" borderId="0" xfId="0" applyNumberFormat="1" applyFont="1" applyFill="1" applyAlignment="1" applyProtection="1">
      <alignment horizontal="center"/>
      <protection locked="0"/>
    </xf>
    <xf numFmtId="165" fontId="9" fillId="3"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169" fontId="15" fillId="2" borderId="0" xfId="0" applyNumberFormat="1" applyFont="1" applyFill="1" applyAlignment="1" applyProtection="1">
      <alignment horizontal="center"/>
      <protection locked="0"/>
    </xf>
    <xf numFmtId="0" fontId="11" fillId="2" borderId="6" xfId="0" applyFont="1" applyFill="1" applyBorder="1" applyAlignment="1" applyProtection="1">
      <alignment horizontal="left"/>
      <protection locked="0"/>
    </xf>
    <xf numFmtId="165" fontId="15" fillId="2" borderId="6" xfId="0" applyNumberFormat="1" applyFont="1" applyFill="1" applyBorder="1" applyAlignment="1" applyProtection="1">
      <alignment horizontal="center"/>
      <protection locked="0"/>
    </xf>
    <xf numFmtId="164" fontId="15" fillId="2" borderId="6" xfId="0" applyNumberFormat="1" applyFont="1" applyFill="1" applyBorder="1" applyAlignment="1" applyProtection="1">
      <alignment horizontal="center"/>
      <protection locked="0"/>
    </xf>
    <xf numFmtId="165" fontId="15" fillId="10" borderId="0" xfId="0" applyNumberFormat="1" applyFont="1" applyFill="1" applyAlignment="1" applyProtection="1">
      <alignment horizontal="center"/>
      <protection locked="0"/>
    </xf>
    <xf numFmtId="0" fontId="22" fillId="2" borderId="0" xfId="0" applyFont="1" applyFill="1" applyProtection="1">
      <protection locked="0"/>
    </xf>
    <xf numFmtId="165" fontId="15"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11" fillId="2" borderId="0" xfId="0" applyFont="1" applyFill="1" applyProtection="1">
      <protection locked="0"/>
    </xf>
    <xf numFmtId="165" fontId="12" fillId="2" borderId="0" xfId="0" applyNumberFormat="1" applyFont="1" applyFill="1" applyAlignment="1" applyProtection="1">
      <alignment horizontal="center"/>
      <protection locked="0"/>
    </xf>
    <xf numFmtId="0" fontId="12" fillId="2" borderId="0" xfId="0" applyFont="1" applyFill="1" applyAlignment="1" applyProtection="1">
      <alignment horizontal="center"/>
      <protection locked="0"/>
    </xf>
    <xf numFmtId="165" fontId="15" fillId="11" borderId="0" xfId="0" applyNumberFormat="1" applyFont="1" applyFill="1" applyAlignment="1">
      <alignment horizontal="center"/>
    </xf>
    <xf numFmtId="0" fontId="0" fillId="12" borderId="16" xfId="0" quotePrefix="1" applyFill="1" applyBorder="1" applyAlignment="1" applyProtection="1">
      <alignment horizontal="center" vertical="center"/>
      <protection locked="0"/>
    </xf>
    <xf numFmtId="2" fontId="0" fillId="12" borderId="17" xfId="0" applyNumberFormat="1" applyFill="1" applyBorder="1" applyAlignment="1" applyProtection="1">
      <alignment horizontal="center" vertical="center"/>
      <protection locked="0"/>
    </xf>
    <xf numFmtId="0" fontId="5" fillId="2" borderId="2" xfId="6" applyFill="1" applyBorder="1"/>
    <xf numFmtId="0" fontId="5" fillId="2" borderId="3" xfId="6" applyFill="1" applyBorder="1"/>
    <xf numFmtId="0" fontId="33" fillId="2" borderId="3" xfId="6" applyFont="1" applyFill="1" applyBorder="1"/>
    <xf numFmtId="0" fontId="5" fillId="2" borderId="4" xfId="6" applyFill="1" applyBorder="1"/>
    <xf numFmtId="0" fontId="5" fillId="5" borderId="0" xfId="6" applyFill="1"/>
    <xf numFmtId="0" fontId="5" fillId="2" borderId="5" xfId="6" applyFill="1" applyBorder="1"/>
    <xf numFmtId="0" fontId="5" fillId="2" borderId="0" xfId="6" applyFill="1"/>
    <xf numFmtId="0" fontId="33" fillId="2" borderId="0" xfId="6" applyFont="1" applyFill="1"/>
    <xf numFmtId="0" fontId="5" fillId="2" borderId="8" xfId="6" applyFill="1" applyBorder="1"/>
    <xf numFmtId="0" fontId="34" fillId="2" borderId="0" xfId="6" applyFont="1" applyFill="1"/>
    <xf numFmtId="0" fontId="35" fillId="2" borderId="0" xfId="4" applyFont="1" applyFill="1" applyBorder="1"/>
    <xf numFmtId="0" fontId="5" fillId="2" borderId="9" xfId="6" applyFill="1" applyBorder="1"/>
    <xf numFmtId="0" fontId="5" fillId="2" borderId="6" xfId="6" applyFill="1" applyBorder="1"/>
    <xf numFmtId="0" fontId="5" fillId="2" borderId="7" xfId="6" applyFill="1" applyBorder="1"/>
    <xf numFmtId="0" fontId="33" fillId="2" borderId="0" xfId="6" applyFont="1" applyFill="1" applyAlignment="1">
      <alignment horizontal="left" wrapText="1"/>
    </xf>
    <xf numFmtId="0" fontId="33" fillId="7" borderId="0" xfId="6" applyFont="1" applyFill="1" applyAlignment="1">
      <alignment horizontal="justify" wrapText="1"/>
    </xf>
    <xf numFmtId="0" fontId="33" fillId="9" borderId="0" xfId="6" applyFont="1" applyFill="1" applyAlignment="1">
      <alignment horizontal="justify" wrapText="1"/>
    </xf>
    <xf numFmtId="0" fontId="33" fillId="2" borderId="0" xfId="6" applyFont="1" applyFill="1" applyAlignment="1">
      <alignment horizontal="left" vertical="center" wrapText="1"/>
    </xf>
    <xf numFmtId="165" fontId="39" fillId="3" borderId="0" xfId="6" applyNumberFormat="1" applyFont="1" applyFill="1" applyAlignment="1">
      <alignment horizontal="center"/>
    </xf>
    <xf numFmtId="165" fontId="39" fillId="5" borderId="0" xfId="6" applyNumberFormat="1" applyFont="1" applyFill="1" applyAlignment="1">
      <alignment horizontal="center"/>
    </xf>
    <xf numFmtId="165" fontId="39" fillId="13" borderId="0" xfId="6" applyNumberFormat="1" applyFont="1" applyFill="1" applyAlignment="1">
      <alignment horizontal="center"/>
    </xf>
    <xf numFmtId="165" fontId="39" fillId="4" borderId="0" xfId="6" applyNumberFormat="1" applyFont="1" applyFill="1" applyAlignment="1">
      <alignment horizontal="center"/>
    </xf>
    <xf numFmtId="165" fontId="39" fillId="2" borderId="0" xfId="6" applyNumberFormat="1" applyFont="1" applyFill="1" applyAlignment="1">
      <alignment horizontal="center"/>
    </xf>
    <xf numFmtId="165" fontId="39" fillId="14" borderId="0" xfId="6" applyNumberFormat="1" applyFont="1" applyFill="1" applyAlignment="1">
      <alignment horizontal="center"/>
    </xf>
    <xf numFmtId="165" fontId="39" fillId="2" borderId="18" xfId="6" applyNumberFormat="1" applyFont="1" applyFill="1" applyBorder="1" applyAlignment="1">
      <alignment horizontal="center"/>
    </xf>
    <xf numFmtId="0" fontId="33" fillId="2" borderId="0" xfId="6" applyFont="1" applyFill="1" applyAlignment="1">
      <alignment vertical="center" wrapText="1"/>
    </xf>
    <xf numFmtId="0" fontId="32" fillId="5" borderId="0" xfId="6" applyFont="1" applyFill="1"/>
    <xf numFmtId="0" fontId="40" fillId="5" borderId="0" xfId="6" applyFont="1" applyFill="1"/>
    <xf numFmtId="168" fontId="0" fillId="2" borderId="0" xfId="0" applyNumberFormat="1" applyFill="1" applyProtection="1">
      <protection locked="0"/>
    </xf>
    <xf numFmtId="165" fontId="39" fillId="6" borderId="0" xfId="6" applyNumberFormat="1" applyFont="1" applyFill="1" applyAlignment="1">
      <alignment horizontal="center"/>
    </xf>
    <xf numFmtId="0" fontId="0" fillId="5" borderId="10" xfId="0" applyFill="1" applyBorder="1" applyAlignment="1">
      <alignment horizontal="center"/>
    </xf>
    <xf numFmtId="0" fontId="0" fillId="5" borderId="1" xfId="0" applyFill="1" applyBorder="1" applyAlignment="1">
      <alignment horizontal="center"/>
    </xf>
    <xf numFmtId="0" fontId="0" fillId="5" borderId="13" xfId="0" quotePrefix="1" applyFill="1" applyBorder="1" applyAlignment="1">
      <alignment horizontal="center" vertical="center"/>
    </xf>
    <xf numFmtId="2" fontId="0" fillId="5" borderId="13" xfId="0" applyNumberFormat="1" applyFill="1" applyBorder="1" applyAlignment="1">
      <alignment horizontal="center" vertical="center"/>
    </xf>
    <xf numFmtId="165" fontId="0" fillId="5" borderId="14"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0" fillId="5" borderId="8" xfId="0" applyFill="1" applyBorder="1"/>
    <xf numFmtId="0" fontId="0" fillId="5" borderId="6" xfId="0" applyFill="1" applyBorder="1"/>
    <xf numFmtId="0" fontId="0" fillId="5" borderId="7" xfId="0" applyFill="1" applyBorder="1"/>
    <xf numFmtId="0" fontId="0" fillId="5" borderId="0" xfId="0" quotePrefix="1" applyFill="1" applyAlignment="1">
      <alignment horizontal="center" vertical="center"/>
    </xf>
    <xf numFmtId="2" fontId="0" fillId="5" borderId="0" xfId="0" applyNumberFormat="1" applyFill="1" applyAlignment="1">
      <alignment horizontal="center" vertical="center"/>
    </xf>
    <xf numFmtId="165" fontId="0" fillId="5" borderId="6" xfId="0" applyNumberFormat="1" applyFill="1" applyBorder="1" applyAlignment="1">
      <alignment horizontal="center" vertical="center"/>
    </xf>
    <xf numFmtId="0" fontId="17" fillId="2" borderId="6" xfId="0" applyFont="1" applyFill="1" applyBorder="1"/>
    <xf numFmtId="0" fontId="17" fillId="2" borderId="7" xfId="0" applyFont="1" applyFill="1" applyBorder="1"/>
    <xf numFmtId="165" fontId="15" fillId="2" borderId="11" xfId="0" applyNumberFormat="1" applyFont="1" applyFill="1" applyBorder="1" applyAlignment="1">
      <alignment horizontal="center"/>
    </xf>
    <xf numFmtId="0" fontId="27" fillId="2" borderId="13" xfId="0" applyFont="1" applyFill="1" applyBorder="1"/>
    <xf numFmtId="0" fontId="27" fillId="2" borderId="2" xfId="0" applyFont="1" applyFill="1" applyBorder="1"/>
    <xf numFmtId="0" fontId="33" fillId="2" borderId="0" xfId="6" applyFont="1" applyFill="1" applyAlignment="1">
      <alignment horizontal="justify" wrapText="1"/>
    </xf>
    <xf numFmtId="0" fontId="17" fillId="13" borderId="11" xfId="0" applyFont="1" applyFill="1" applyBorder="1" applyAlignment="1">
      <alignment horizontal="center" vertical="center" wrapText="1"/>
    </xf>
    <xf numFmtId="0" fontId="0" fillId="13" borderId="0" xfId="0" applyFill="1" applyAlignment="1">
      <alignment horizontal="center"/>
    </xf>
    <xf numFmtId="0" fontId="0" fillId="13" borderId="6" xfId="0" applyFill="1" applyBorder="1" applyAlignment="1">
      <alignment horizontal="center"/>
    </xf>
    <xf numFmtId="164" fontId="15" fillId="2" borderId="0" xfId="0" applyNumberFormat="1" applyFont="1" applyFill="1" applyAlignment="1">
      <alignment horizontal="center"/>
    </xf>
    <xf numFmtId="170" fontId="9" fillId="2" borderId="0" xfId="0" applyNumberFormat="1" applyFont="1" applyFill="1" applyAlignment="1">
      <alignment horizontal="center"/>
    </xf>
    <xf numFmtId="0" fontId="41" fillId="15" borderId="0" xfId="3" applyFont="1" applyFill="1" applyAlignment="1">
      <alignment horizontal="left" vertical="top"/>
    </xf>
    <xf numFmtId="164" fontId="15" fillId="2" borderId="6" xfId="0" applyNumberFormat="1" applyFont="1" applyFill="1" applyBorder="1" applyAlignment="1">
      <alignment horizontal="center"/>
    </xf>
    <xf numFmtId="0" fontId="17" fillId="2" borderId="14" xfId="0" applyFont="1" applyFill="1" applyBorder="1" applyAlignment="1">
      <alignment horizontal="center" vertical="center" wrapText="1"/>
    </xf>
    <xf numFmtId="0" fontId="0" fillId="2" borderId="0" xfId="0" applyFill="1" applyAlignment="1">
      <alignment horizontal="justify" vertical="top" wrapText="1"/>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0" fillId="2" borderId="14" xfId="0" applyFill="1" applyBorder="1" applyAlignment="1">
      <alignment vertical="center"/>
    </xf>
    <xf numFmtId="165" fontId="39" fillId="11" borderId="0" xfId="6" applyNumberFormat="1" applyFont="1" applyFill="1" applyAlignment="1">
      <alignment horizontal="center"/>
    </xf>
    <xf numFmtId="0" fontId="33" fillId="8" borderId="0" xfId="6" applyFont="1" applyFill="1"/>
    <xf numFmtId="0" fontId="33" fillId="8" borderId="0" xfId="6" applyFont="1" applyFill="1" applyAlignment="1">
      <alignment horizontal="justify" wrapText="1"/>
    </xf>
    <xf numFmtId="0" fontId="42" fillId="2" borderId="0" xfId="0" applyFont="1" applyFill="1" applyAlignment="1">
      <alignment vertical="top" wrapText="1"/>
    </xf>
    <xf numFmtId="0" fontId="17" fillId="2" borderId="12" xfId="0" applyFont="1" applyFill="1" applyBorder="1" applyAlignment="1">
      <alignment horizontal="center" vertical="top" wrapText="1"/>
    </xf>
    <xf numFmtId="0" fontId="27" fillId="2" borderId="9" xfId="0" applyFont="1" applyFill="1" applyBorder="1"/>
    <xf numFmtId="0" fontId="0" fillId="2" borderId="19" xfId="0" applyFill="1" applyBorder="1"/>
    <xf numFmtId="0" fontId="0" fillId="2" borderId="8" xfId="0" applyFill="1" applyBorder="1" applyAlignment="1">
      <alignment horizontal="justify" vertical="top" wrapText="1"/>
    </xf>
    <xf numFmtId="0" fontId="27" fillId="2" borderId="0" xfId="0" applyFont="1" applyFill="1"/>
    <xf numFmtId="165" fontId="15" fillId="6" borderId="0" xfId="0" applyNumberFormat="1" applyFont="1" applyFill="1" applyAlignment="1">
      <alignment horizontal="center"/>
    </xf>
    <xf numFmtId="168" fontId="9" fillId="2" borderId="0" xfId="0" applyNumberFormat="1" applyFont="1" applyFill="1" applyAlignment="1">
      <alignment horizontal="center"/>
    </xf>
    <xf numFmtId="165" fontId="9" fillId="11" borderId="0" xfId="0" applyNumberFormat="1" applyFont="1" applyFill="1" applyAlignment="1">
      <alignment horizontal="center"/>
    </xf>
    <xf numFmtId="165" fontId="9"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44" fillId="2" borderId="0" xfId="0" applyFont="1" applyFill="1" applyAlignment="1">
      <alignment vertical="center" wrapText="1"/>
    </xf>
    <xf numFmtId="0" fontId="9" fillId="2" borderId="11" xfId="0" applyFont="1" applyFill="1" applyBorder="1" applyAlignment="1">
      <alignment horizontal="center"/>
    </xf>
    <xf numFmtId="169" fontId="9" fillId="2" borderId="0" xfId="0" applyNumberFormat="1" applyFont="1" applyFill="1"/>
    <xf numFmtId="2" fontId="9" fillId="11" borderId="0" xfId="0" applyNumberFormat="1" applyFont="1" applyFill="1" applyAlignment="1">
      <alignment horizontal="center"/>
    </xf>
    <xf numFmtId="2" fontId="9" fillId="11" borderId="6" xfId="0" applyNumberFormat="1" applyFont="1" applyFill="1" applyBorder="1" applyAlignment="1">
      <alignment horizontal="center"/>
    </xf>
    <xf numFmtId="0" fontId="44" fillId="2" borderId="14" xfId="0" applyFont="1" applyFill="1" applyBorder="1" applyAlignment="1">
      <alignment horizontal="center" vertical="center" wrapText="1"/>
    </xf>
    <xf numFmtId="2" fontId="45" fillId="2" borderId="0" xfId="0" applyNumberFormat="1" applyFont="1" applyFill="1" applyAlignment="1">
      <alignment horizontal="center"/>
    </xf>
    <xf numFmtId="2" fontId="15" fillId="2" borderId="0" xfId="0" applyNumberFormat="1" applyFont="1" applyFill="1" applyAlignment="1">
      <alignment horizontal="center"/>
    </xf>
    <xf numFmtId="2" fontId="15" fillId="2" borderId="6" xfId="0" applyNumberFormat="1" applyFont="1" applyFill="1" applyBorder="1" applyAlignment="1">
      <alignment horizontal="center"/>
    </xf>
    <xf numFmtId="165" fontId="9" fillId="13" borderId="0" xfId="0" applyNumberFormat="1" applyFont="1" applyFill="1" applyAlignment="1">
      <alignment horizontal="center"/>
    </xf>
    <xf numFmtId="2" fontId="0" fillId="2" borderId="0" xfId="0" quotePrefix="1" applyNumberFormat="1" applyFill="1" applyAlignment="1" applyProtection="1">
      <alignment horizontal="center" vertical="center"/>
      <protection locked="0"/>
    </xf>
    <xf numFmtId="0" fontId="3" fillId="5" borderId="0" xfId="6" applyFont="1" applyFill="1"/>
    <xf numFmtId="0" fontId="3" fillId="5" borderId="0" xfId="6" applyFont="1" applyFill="1" applyAlignment="1">
      <alignment vertical="top"/>
    </xf>
    <xf numFmtId="0" fontId="3" fillId="5" borderId="0" xfId="6" applyFont="1" applyFill="1" applyAlignment="1">
      <alignment vertical="top" wrapText="1"/>
    </xf>
    <xf numFmtId="0" fontId="0" fillId="2" borderId="0" xfId="0" applyFont="1" applyFill="1"/>
    <xf numFmtId="2" fontId="0" fillId="2" borderId="14" xfId="0" applyNumberFormat="1" applyFill="1" applyBorder="1" applyAlignment="1">
      <alignment horizontal="center"/>
    </xf>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2" fontId="0" fillId="2" borderId="13" xfId="0" applyNumberFormat="1" applyFill="1" applyBorder="1" applyAlignment="1">
      <alignment horizontal="center"/>
    </xf>
    <xf numFmtId="165" fontId="0" fillId="2" borderId="2"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4"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0" xfId="0" applyFill="1" applyAlignment="1">
      <alignment horizontal="center" vertical="center"/>
    </xf>
    <xf numFmtId="165" fontId="9" fillId="3" borderId="6" xfId="0" applyNumberFormat="1" applyFont="1" applyFill="1" applyBorder="1" applyAlignment="1">
      <alignment horizontal="center"/>
    </xf>
    <xf numFmtId="1" fontId="9" fillId="2" borderId="7" xfId="0" applyNumberFormat="1" applyFont="1" applyFill="1" applyBorder="1" applyAlignment="1" applyProtection="1">
      <alignment horizontal="center"/>
      <protection locked="0"/>
    </xf>
    <xf numFmtId="169" fontId="15" fillId="2" borderId="0" xfId="0" applyNumberFormat="1" applyFont="1" applyFill="1" applyAlignment="1" applyProtection="1">
      <alignment horizontal="left"/>
      <protection locked="0"/>
    </xf>
    <xf numFmtId="165" fontId="15" fillId="11" borderId="2" xfId="0" applyNumberFormat="1" applyFont="1" applyFill="1" applyBorder="1" applyAlignment="1" applyProtection="1">
      <alignment horizontal="center"/>
      <protection locked="0"/>
    </xf>
    <xf numFmtId="165" fontId="15" fillId="11" borderId="4" xfId="0" applyNumberFormat="1" applyFont="1" applyFill="1" applyBorder="1" applyAlignment="1" applyProtection="1">
      <alignment horizontal="center"/>
      <protection locked="0"/>
    </xf>
    <xf numFmtId="165" fontId="15" fillId="11" borderId="9" xfId="0" applyNumberFormat="1" applyFont="1" applyFill="1" applyBorder="1" applyAlignment="1" applyProtection="1">
      <alignment horizontal="center"/>
      <protection locked="0"/>
    </xf>
    <xf numFmtId="165" fontId="15" fillId="11" borderId="7" xfId="0" applyNumberFormat="1" applyFont="1" applyFill="1" applyBorder="1" applyAlignment="1" applyProtection="1">
      <alignment horizontal="center"/>
      <protection locked="0"/>
    </xf>
    <xf numFmtId="0" fontId="1" fillId="5" borderId="0" xfId="6" applyFont="1" applyFill="1"/>
    <xf numFmtId="0" fontId="1" fillId="5" borderId="0" xfId="6" applyFont="1" applyFill="1" applyAlignment="1">
      <alignment vertical="top"/>
    </xf>
    <xf numFmtId="0" fontId="1" fillId="5" borderId="0" xfId="6" applyFont="1" applyFill="1" applyAlignment="1">
      <alignment vertical="top" wrapText="1"/>
    </xf>
    <xf numFmtId="0" fontId="1" fillId="5" borderId="0" xfId="6" applyFont="1" applyFill="1" applyAlignment="1">
      <alignment vertical="center" wrapText="1"/>
    </xf>
    <xf numFmtId="0" fontId="33" fillId="2" borderId="0" xfId="6" applyFont="1" applyFill="1" applyAlignment="1">
      <alignment horizontal="justify" vertical="top" wrapText="1"/>
    </xf>
    <xf numFmtId="0" fontId="33" fillId="2" borderId="0" xfId="6" applyFont="1" applyFill="1" applyAlignment="1">
      <alignment horizontal="justify" vertical="justify" wrapText="1"/>
    </xf>
    <xf numFmtId="0" fontId="34" fillId="2" borderId="0" xfId="6" applyFont="1" applyFill="1" applyAlignment="1">
      <alignment horizontal="justify" vertical="top" wrapText="1"/>
    </xf>
    <xf numFmtId="0" fontId="15" fillId="2" borderId="0" xfId="0" applyFont="1" applyFill="1" applyAlignment="1" applyProtection="1">
      <alignment horizontal="left"/>
      <protection locked="0"/>
    </xf>
    <xf numFmtId="0" fontId="15" fillId="2" borderId="0" xfId="0" applyFont="1" applyFill="1" applyProtection="1">
      <protection locked="0"/>
    </xf>
    <xf numFmtId="0" fontId="13" fillId="2" borderId="0" xfId="0" applyFont="1" applyFill="1" applyProtection="1">
      <protection locked="0"/>
    </xf>
    <xf numFmtId="0" fontId="33" fillId="10" borderId="0" xfId="6" applyFont="1" applyFill="1" applyAlignment="1">
      <alignment horizontal="justify" wrapText="1"/>
    </xf>
    <xf numFmtId="0" fontId="33" fillId="16" borderId="0" xfId="6" applyFont="1" applyFill="1" applyAlignment="1">
      <alignment horizontal="justify" wrapText="1"/>
    </xf>
    <xf numFmtId="0" fontId="46" fillId="5" borderId="0" xfId="6" applyFont="1" applyFill="1"/>
    <xf numFmtId="0" fontId="47" fillId="2" borderId="0" xfId="0" applyFont="1" applyFill="1" applyAlignment="1">
      <alignment horizontal="left" indent="1"/>
    </xf>
    <xf numFmtId="0" fontId="33" fillId="17" borderId="0" xfId="6" applyFont="1" applyFill="1" applyAlignment="1">
      <alignment horizontal="justify" wrapText="1"/>
    </xf>
    <xf numFmtId="0" fontId="17" fillId="5" borderId="3" xfId="0" applyFont="1" applyFill="1" applyBorder="1" applyAlignment="1">
      <alignment horizontal="center" vertical="top" wrapText="1"/>
    </xf>
    <xf numFmtId="0" fontId="17" fillId="5" borderId="4" xfId="0" applyFont="1" applyFill="1" applyBorder="1" applyAlignment="1">
      <alignment horizontal="center" vertical="top" wrapText="1"/>
    </xf>
    <xf numFmtId="0" fontId="17" fillId="5" borderId="15" xfId="0" applyFont="1" applyFill="1" applyBorder="1" applyAlignment="1">
      <alignment horizontal="center"/>
    </xf>
    <xf numFmtId="0" fontId="0" fillId="5" borderId="15" xfId="0" applyFill="1" applyBorder="1" applyAlignment="1">
      <alignment horizontal="center" vertical="center"/>
    </xf>
    <xf numFmtId="2" fontId="0" fillId="5" borderId="14" xfId="0" applyNumberFormat="1" applyFill="1" applyBorder="1" applyAlignment="1">
      <alignment horizontal="center" vertical="center"/>
    </xf>
    <xf numFmtId="2" fontId="0" fillId="5" borderId="15" xfId="0" applyNumberFormat="1" applyFill="1" applyBorder="1" applyAlignment="1">
      <alignment horizontal="center" vertical="center"/>
    </xf>
    <xf numFmtId="165" fontId="44" fillId="5" borderId="13" xfId="0" applyNumberFormat="1" applyFont="1" applyFill="1" applyBorder="1" applyAlignment="1">
      <alignment horizontal="center" vertical="center"/>
    </xf>
    <xf numFmtId="0" fontId="0" fillId="2" borderId="0" xfId="0" applyFill="1" applyAlignment="1">
      <alignment vertical="center"/>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0" xfId="0" applyFont="1" applyFill="1" applyBorder="1" applyAlignment="1">
      <alignment horizontal="center" vertical="center" wrapText="1"/>
    </xf>
    <xf numFmtId="0" fontId="17" fillId="5" borderId="8" xfId="0" applyFont="1" applyFill="1" applyBorder="1" applyAlignment="1">
      <alignment horizontal="center" vertical="center" wrapText="1"/>
    </xf>
    <xf numFmtId="2" fontId="0" fillId="5" borderId="0"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165" fontId="17" fillId="5" borderId="0" xfId="0" applyNumberFormat="1" applyFont="1" applyFill="1" applyBorder="1" applyAlignment="1">
      <alignment horizontal="center" vertical="center" wrapText="1"/>
    </xf>
    <xf numFmtId="165" fontId="17" fillId="5" borderId="8" xfId="0" applyNumberFormat="1" applyFont="1" applyFill="1" applyBorder="1" applyAlignment="1">
      <alignment horizontal="center" vertical="center" wrapText="1"/>
    </xf>
    <xf numFmtId="2" fontId="0" fillId="5" borderId="6"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0" fillId="5" borderId="5" xfId="0" applyFill="1" applyBorder="1" applyAlignment="1">
      <alignment horizontal="left" vertical="center"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165" fontId="15"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9" borderId="0" xfId="0" applyFont="1" applyFill="1" applyAlignment="1">
      <alignment horizontal="center" vertical="top"/>
    </xf>
    <xf numFmtId="0" fontId="0" fillId="19" borderId="0" xfId="0" applyFont="1" applyFill="1" applyAlignment="1">
      <alignment vertical="top"/>
    </xf>
    <xf numFmtId="0" fontId="17" fillId="0" borderId="0" xfId="0" applyFont="1" applyFill="1" applyAlignment="1">
      <alignment horizontal="left" vertical="center"/>
    </xf>
    <xf numFmtId="0" fontId="48" fillId="18" borderId="0" xfId="0" applyFont="1" applyFill="1" applyAlignment="1">
      <alignment horizontal="left" vertical="center"/>
    </xf>
    <xf numFmtId="0" fontId="0" fillId="18" borderId="0" xfId="0" applyFont="1" applyFill="1" applyAlignment="1">
      <alignment vertical="top"/>
    </xf>
    <xf numFmtId="0" fontId="22" fillId="18" borderId="0" xfId="0" applyFont="1" applyFill="1" applyAlignment="1">
      <alignment horizontal="center" vertical="top"/>
    </xf>
    <xf numFmtId="0" fontId="22" fillId="18" borderId="0" xfId="0" applyFont="1" applyFill="1" applyAlignment="1">
      <alignment horizontal="center"/>
    </xf>
    <xf numFmtId="0" fontId="49" fillId="18" borderId="0" xfId="0" applyFont="1" applyFill="1" applyAlignment="1">
      <alignment horizontal="center" vertical="center" wrapText="1"/>
    </xf>
    <xf numFmtId="0" fontId="48" fillId="18" borderId="0" xfId="0" applyFont="1" applyFill="1" applyAlignment="1">
      <alignment horizontal="center" vertical="center" wrapText="1"/>
    </xf>
    <xf numFmtId="0" fontId="43" fillId="19" borderId="0" xfId="0" applyFont="1" applyFill="1" applyAlignment="1">
      <alignment horizontal="left" vertical="top" wrapText="1"/>
    </xf>
    <xf numFmtId="0" fontId="25" fillId="19" borderId="0" xfId="0" applyFont="1" applyFill="1" applyAlignment="1">
      <alignment horizontal="center"/>
    </xf>
    <xf numFmtId="0" fontId="0" fillId="19" borderId="0" xfId="0" applyFont="1" applyFill="1" applyAlignment="1">
      <alignment horizontal="left"/>
    </xf>
    <xf numFmtId="0" fontId="43" fillId="19" borderId="0" xfId="0" applyFont="1" applyFill="1" applyAlignment="1">
      <alignment horizontal="left" vertical="top" wrapText="1" indent="1"/>
    </xf>
    <xf numFmtId="0" fontId="43" fillId="19" borderId="0" xfId="0" applyFont="1" applyFill="1" applyAlignment="1">
      <alignment vertical="top"/>
    </xf>
    <xf numFmtId="0" fontId="43" fillId="19" borderId="0" xfId="0" applyFont="1" applyFill="1" applyAlignment="1">
      <alignment horizontal="left" wrapText="1"/>
    </xf>
    <xf numFmtId="0" fontId="0" fillId="18" borderId="0" xfId="0" applyFont="1" applyFill="1"/>
    <xf numFmtId="1" fontId="48" fillId="18"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5"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9" borderId="0" xfId="0" applyFont="1" applyFill="1" applyAlignment="1">
      <alignment horizontal="center"/>
    </xf>
    <xf numFmtId="165" fontId="25" fillId="0" borderId="0" xfId="0" applyNumberFormat="1" applyFont="1" applyAlignment="1">
      <alignment horizontal="center" vertical="center"/>
    </xf>
    <xf numFmtId="165" fontId="9" fillId="2" borderId="0" xfId="0" applyNumberFormat="1" applyFont="1" applyFill="1" applyAlignment="1">
      <alignment horizontal="center" vertical="center"/>
    </xf>
    <xf numFmtId="0" fontId="33" fillId="2" borderId="0" xfId="6" applyFont="1" applyFill="1" applyAlignment="1">
      <alignment horizontal="justify" vertical="top" wrapText="1"/>
    </xf>
    <xf numFmtId="0" fontId="0" fillId="2" borderId="0" xfId="0" applyFill="1" applyAlignment="1">
      <alignment wrapText="1"/>
    </xf>
    <xf numFmtId="0" fontId="33" fillId="20" borderId="0" xfId="6" applyFont="1" applyFill="1" applyAlignment="1">
      <alignment horizontal="justify" wrapText="1"/>
    </xf>
    <xf numFmtId="0" fontId="43" fillId="2" borderId="0" xfId="0" applyFont="1" applyFill="1"/>
    <xf numFmtId="0" fontId="25" fillId="2" borderId="0" xfId="0" applyFont="1" applyFill="1" applyAlignment="1">
      <alignment horizontal="center"/>
    </xf>
    <xf numFmtId="165" fontId="25" fillId="2" borderId="0" xfId="0" applyNumberFormat="1" applyFont="1" applyFill="1" applyAlignment="1">
      <alignment horizontal="center"/>
    </xf>
    <xf numFmtId="165" fontId="15" fillId="2" borderId="0" xfId="0" applyNumberFormat="1" applyFont="1" applyFill="1" applyAlignment="1" applyProtection="1">
      <alignment horizontal="left"/>
      <protection locked="0"/>
    </xf>
    <xf numFmtId="1" fontId="9" fillId="2" borderId="0" xfId="0" applyNumberFormat="1" applyFont="1" applyFill="1" applyAlignment="1">
      <alignment horizontal="center"/>
    </xf>
    <xf numFmtId="1" fontId="15" fillId="21" borderId="0" xfId="0" applyNumberFormat="1" applyFont="1" applyFill="1" applyAlignment="1" applyProtection="1">
      <alignment horizontal="center"/>
      <protection locked="0"/>
    </xf>
    <xf numFmtId="165" fontId="39" fillId="21" borderId="0" xfId="6" applyNumberFormat="1" applyFont="1" applyFill="1" applyAlignment="1">
      <alignment horizontal="center"/>
    </xf>
    <xf numFmtId="0" fontId="0" fillId="5" borderId="2" xfId="0" applyFont="1" applyFill="1" applyBorder="1"/>
    <xf numFmtId="0" fontId="0" fillId="5" borderId="5" xfId="0" applyFont="1" applyFill="1" applyBorder="1"/>
    <xf numFmtId="0" fontId="0" fillId="5" borderId="9" xfId="0" applyFont="1" applyFill="1" applyBorder="1" applyAlignment="1">
      <alignment horizontal="left"/>
    </xf>
    <xf numFmtId="0" fontId="44" fillId="13" borderId="14" xfId="0" applyFont="1" applyFill="1" applyBorder="1" applyAlignment="1">
      <alignment horizontal="center" vertical="center" wrapText="1"/>
    </xf>
    <xf numFmtId="0" fontId="17" fillId="13" borderId="1" xfId="0" applyFont="1" applyFill="1" applyBorder="1" applyAlignment="1">
      <alignment horizontal="center" vertical="center" wrapText="1"/>
    </xf>
    <xf numFmtId="165" fontId="17" fillId="2" borderId="15" xfId="0" applyNumberFormat="1" applyFont="1" applyFill="1" applyBorder="1" applyAlignment="1">
      <alignment horizontal="center"/>
    </xf>
    <xf numFmtId="165" fontId="17" fillId="2" borderId="14" xfId="0" applyNumberFormat="1" applyFont="1" applyFill="1" applyBorder="1" applyAlignment="1">
      <alignment horizontal="center"/>
    </xf>
    <xf numFmtId="0" fontId="0" fillId="2" borderId="7" xfId="0" applyFill="1" applyBorder="1" applyAlignment="1">
      <alignment vertical="center"/>
    </xf>
    <xf numFmtId="0" fontId="0" fillId="2" borderId="9" xfId="0" applyFill="1" applyBorder="1" applyAlignment="1">
      <alignment vertical="center"/>
    </xf>
    <xf numFmtId="0" fontId="5" fillId="2" borderId="5" xfId="6" applyFill="1" applyBorder="1" applyAlignment="1">
      <alignment vertical="center"/>
    </xf>
    <xf numFmtId="0" fontId="33" fillId="7" borderId="0" xfId="6" applyFont="1" applyFill="1" applyAlignment="1">
      <alignment horizontal="justify" vertical="center" wrapText="1"/>
    </xf>
    <xf numFmtId="0" fontId="33" fillId="12" borderId="20" xfId="6" applyFont="1" applyFill="1" applyBorder="1" applyAlignment="1">
      <alignment vertical="center" wrapText="1"/>
    </xf>
    <xf numFmtId="0" fontId="5" fillId="2" borderId="8" xfId="6" applyFill="1" applyBorder="1" applyAlignment="1">
      <alignment vertical="center"/>
    </xf>
    <xf numFmtId="0" fontId="3" fillId="5" borderId="0" xfId="6" applyFont="1" applyFill="1" applyAlignment="1">
      <alignment vertical="center"/>
    </xf>
    <xf numFmtId="0" fontId="5" fillId="5" borderId="0" xfId="6" applyFill="1" applyAlignment="1">
      <alignment vertical="center"/>
    </xf>
    <xf numFmtId="0" fontId="33" fillId="2" borderId="14" xfId="6" applyFont="1" applyFill="1" applyBorder="1" applyAlignment="1">
      <alignment vertical="center" wrapText="1"/>
    </xf>
    <xf numFmtId="0" fontId="33" fillId="13" borderId="3" xfId="6" applyFont="1" applyFill="1" applyBorder="1" applyAlignment="1">
      <alignment vertical="center" wrapText="1"/>
    </xf>
    <xf numFmtId="0" fontId="33" fillId="5" borderId="0" xfId="6" applyFont="1" applyFill="1" applyBorder="1" applyAlignment="1">
      <alignment vertical="center" wrapText="1"/>
    </xf>
    <xf numFmtId="2" fontId="15" fillId="11" borderId="0" xfId="0" applyNumberFormat="1" applyFont="1" applyFill="1" applyAlignment="1">
      <alignment horizontal="center"/>
    </xf>
    <xf numFmtId="165" fontId="15" fillId="11" borderId="3" xfId="0" applyNumberFormat="1" applyFont="1" applyFill="1" applyBorder="1" applyAlignment="1" applyProtection="1">
      <alignment horizontal="center"/>
      <protection locked="0"/>
    </xf>
    <xf numFmtId="165" fontId="15" fillId="11" borderId="6" xfId="0" applyNumberFormat="1" applyFont="1" applyFill="1" applyBorder="1" applyAlignment="1" applyProtection="1">
      <alignment horizontal="center"/>
      <protection locked="0"/>
    </xf>
    <xf numFmtId="2" fontId="25" fillId="10" borderId="0" xfId="0" applyNumberFormat="1" applyFont="1" applyFill="1" applyAlignment="1">
      <alignment horizontal="center" vertical="center"/>
    </xf>
    <xf numFmtId="165" fontId="9" fillId="2" borderId="0" xfId="0" applyNumberFormat="1" applyFont="1" applyFill="1" applyBorder="1" applyAlignment="1">
      <alignment horizontal="center"/>
    </xf>
    <xf numFmtId="165" fontId="15" fillId="22" borderId="0" xfId="0" applyNumberFormat="1" applyFont="1" applyFill="1" applyAlignment="1" applyProtection="1">
      <alignment horizontal="center"/>
      <protection locked="0"/>
    </xf>
    <xf numFmtId="165" fontId="9" fillId="22" borderId="0" xfId="0" applyNumberFormat="1" applyFont="1" applyFill="1" applyAlignment="1" applyProtection="1">
      <alignment horizontal="center"/>
      <protection locked="0"/>
    </xf>
    <xf numFmtId="165" fontId="9" fillId="22" borderId="0" xfId="0" applyNumberFormat="1" applyFont="1" applyFill="1" applyAlignment="1">
      <alignment horizontal="center"/>
    </xf>
    <xf numFmtId="2" fontId="45" fillId="22" borderId="0" xfId="0" applyNumberFormat="1" applyFont="1" applyFill="1" applyAlignment="1">
      <alignment horizontal="center"/>
    </xf>
    <xf numFmtId="2" fontId="15" fillId="22" borderId="0" xfId="0" applyNumberFormat="1" applyFont="1" applyFill="1" applyAlignment="1">
      <alignment horizontal="center"/>
    </xf>
    <xf numFmtId="0" fontId="9" fillId="22" borderId="0" xfId="0" applyFont="1" applyFill="1"/>
    <xf numFmtId="167" fontId="9" fillId="22" borderId="0" xfId="0" applyNumberFormat="1" applyFont="1" applyFill="1" applyAlignment="1">
      <alignment horizontal="center"/>
    </xf>
    <xf numFmtId="2" fontId="9" fillId="22" borderId="0" xfId="0" applyNumberFormat="1" applyFont="1" applyFill="1" applyAlignment="1">
      <alignment horizontal="center"/>
    </xf>
    <xf numFmtId="2" fontId="25" fillId="2" borderId="0" xfId="0" applyNumberFormat="1" applyFont="1" applyFill="1"/>
    <xf numFmtId="0" fontId="25" fillId="2" borderId="0" xfId="0" applyFont="1" applyFill="1" applyAlignment="1">
      <alignment vertical="center"/>
    </xf>
    <xf numFmtId="2" fontId="25" fillId="2" borderId="0" xfId="0" applyNumberFormat="1" applyFont="1" applyFill="1" applyAlignment="1">
      <alignment vertical="center"/>
    </xf>
    <xf numFmtId="0" fontId="33" fillId="2" borderId="0" xfId="6" applyFont="1" applyFill="1" applyAlignment="1">
      <alignment horizontal="justify" vertical="top" wrapText="1"/>
    </xf>
    <xf numFmtId="0" fontId="19" fillId="2" borderId="6" xfId="6" applyFont="1" applyFill="1" applyBorder="1" applyAlignment="1">
      <alignment horizontal="left" wrapText="1"/>
    </xf>
    <xf numFmtId="0" fontId="34" fillId="2" borderId="0" xfId="6" applyFont="1" applyFill="1" applyAlignment="1">
      <alignment horizontal="justify" vertical="justify" wrapText="1"/>
    </xf>
    <xf numFmtId="0" fontId="33" fillId="2" borderId="0" xfId="6" applyFont="1" applyFill="1" applyAlignment="1">
      <alignment horizontal="left" vertical="center" wrapText="1"/>
    </xf>
    <xf numFmtId="0" fontId="33" fillId="2" borderId="21" xfId="6" applyFont="1" applyFill="1" applyBorder="1" applyAlignment="1">
      <alignment horizontal="left" vertical="center" wrapText="1"/>
    </xf>
    <xf numFmtId="0" fontId="33" fillId="2" borderId="0" xfId="6" applyFont="1" applyFill="1" applyAlignment="1">
      <alignment horizontal="justify" vertical="justify" wrapText="1"/>
    </xf>
    <xf numFmtId="0" fontId="33" fillId="2" borderId="0" xfId="6" applyFont="1" applyFill="1" applyAlignment="1">
      <alignment horizontal="justify" vertical="center" wrapText="1"/>
    </xf>
    <xf numFmtId="0" fontId="33" fillId="2" borderId="0" xfId="12" applyFont="1" applyFill="1" applyAlignment="1">
      <alignment horizontal="left" vertical="top" wrapText="1"/>
    </xf>
    <xf numFmtId="0" fontId="34" fillId="2" borderId="0" xfId="6" applyFont="1" applyFill="1" applyAlignment="1">
      <alignment horizontal="justify" vertical="top"/>
    </xf>
    <xf numFmtId="0" fontId="34" fillId="2" borderId="0" xfId="6" applyFont="1" applyFill="1" applyAlignment="1">
      <alignment horizontal="justify" vertical="top" wrapText="1"/>
    </xf>
    <xf numFmtId="0" fontId="46" fillId="2" borderId="0" xfId="6" applyFont="1" applyFill="1" applyAlignment="1">
      <alignment horizontal="justify" vertical="top" wrapText="1"/>
    </xf>
    <xf numFmtId="0" fontId="33" fillId="2" borderId="0" xfId="6" applyFont="1" applyFill="1" applyBorder="1" applyAlignment="1">
      <alignment horizontal="left" vertical="center" wrapText="1"/>
    </xf>
    <xf numFmtId="0" fontId="33" fillId="2" borderId="0" xfId="6" applyFont="1" applyFill="1" applyAlignment="1">
      <alignment horizontal="left" vertical="top" wrapText="1"/>
    </xf>
    <xf numFmtId="0" fontId="33" fillId="2" borderId="8" xfId="6" applyFont="1" applyFill="1" applyBorder="1" applyAlignment="1">
      <alignment horizontal="left" vertical="top" wrapText="1"/>
    </xf>
    <xf numFmtId="0" fontId="33" fillId="2" borderId="22" xfId="6" applyFont="1" applyFill="1" applyBorder="1" applyAlignment="1">
      <alignment horizontal="left"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0" fillId="2" borderId="3" xfId="0" applyFill="1" applyBorder="1" applyAlignment="1">
      <alignment horizontal="left" vertical="top" wrapText="1"/>
    </xf>
    <xf numFmtId="0" fontId="17" fillId="2" borderId="11"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51" fillId="2" borderId="0" xfId="0" applyFont="1" applyFill="1" applyAlignment="1">
      <alignment horizontal="center" vertical="center" wrapText="1"/>
    </xf>
    <xf numFmtId="0" fontId="0" fillId="5" borderId="5" xfId="0" applyFill="1" applyBorder="1" applyAlignment="1">
      <alignment horizontal="left" vertical="center" wrapText="1"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9" xfId="0" applyFill="1" applyBorder="1" applyAlignment="1">
      <alignment horizontal="left" vertical="center" wrapText="1" indent="2"/>
    </xf>
    <xf numFmtId="0" fontId="0" fillId="5" borderId="6" xfId="0" applyFill="1" applyBorder="1" applyAlignment="1">
      <alignment horizontal="left" vertical="center" wrapText="1" indent="2"/>
    </xf>
    <xf numFmtId="0" fontId="0" fillId="5" borderId="7" xfId="0" applyFill="1" applyBorder="1" applyAlignment="1">
      <alignment horizontal="left" vertical="center" wrapText="1" indent="2"/>
    </xf>
    <xf numFmtId="0" fontId="43" fillId="2" borderId="3" xfId="0" applyFont="1" applyFill="1" applyBorder="1" applyAlignment="1">
      <alignment horizontal="justify" vertical="top" wrapText="1"/>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0" fillId="2" borderId="15" xfId="0" applyFill="1" applyBorder="1" applyAlignment="1">
      <alignment horizontal="left"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0" fillId="2" borderId="9"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2" xfId="0" applyFont="1" applyFill="1" applyBorder="1" applyAlignment="1">
      <alignment horizontal="left"/>
    </xf>
    <xf numFmtId="0" fontId="17" fillId="2" borderId="3" xfId="0" applyFont="1" applyFill="1" applyBorder="1" applyAlignment="1">
      <alignment horizontal="left"/>
    </xf>
    <xf numFmtId="0" fontId="17" fillId="2" borderId="9" xfId="0" applyFont="1" applyFill="1" applyBorder="1" applyAlignment="1">
      <alignment horizontal="left"/>
    </xf>
    <xf numFmtId="0" fontId="17" fillId="2" borderId="6" xfId="0" applyFont="1" applyFill="1" applyBorder="1" applyAlignment="1">
      <alignment horizontal="left"/>
    </xf>
    <xf numFmtId="0" fontId="0" fillId="2" borderId="0" xfId="0" applyFill="1" applyAlignment="1">
      <alignment horizontal="justify" vertical="top" wrapText="1"/>
    </xf>
    <xf numFmtId="0" fontId="0" fillId="13" borderId="15"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165" fontId="0" fillId="2" borderId="15" xfId="0" applyNumberFormat="1" applyFill="1" applyBorder="1" applyAlignment="1">
      <alignment horizontal="center" vertical="center" wrapText="1"/>
    </xf>
    <xf numFmtId="165" fontId="0" fillId="2" borderId="13" xfId="0" applyNumberFormat="1" applyFill="1" applyBorder="1" applyAlignment="1">
      <alignment horizontal="center" vertical="center" wrapText="1"/>
    </xf>
    <xf numFmtId="165" fontId="0" fillId="2" borderId="14" xfId="0" applyNumberFormat="1" applyFill="1" applyBorder="1" applyAlignment="1">
      <alignment horizontal="center" vertical="center" wrapText="1"/>
    </xf>
    <xf numFmtId="0" fontId="0" fillId="2" borderId="3" xfId="0" applyFill="1" applyBorder="1" applyAlignment="1">
      <alignment horizontal="justify" vertical="top" wrapText="1"/>
    </xf>
    <xf numFmtId="0" fontId="44" fillId="2" borderId="10" xfId="0" applyFont="1" applyFill="1" applyBorder="1" applyAlignment="1">
      <alignment horizontal="center" vertical="center" wrapText="1"/>
    </xf>
    <xf numFmtId="0" fontId="44" fillId="2" borderId="11" xfId="0" applyFont="1" applyFill="1" applyBorder="1" applyAlignment="1">
      <alignment horizontal="center" vertical="center" wrapText="1"/>
    </xf>
    <xf numFmtId="0" fontId="44"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44">
    <dxf>
      <font>
        <color theme="0"/>
      </font>
      <fill>
        <patternFill>
          <bgColor theme="0"/>
        </patternFill>
      </fill>
    </dxf>
    <dxf>
      <font>
        <color theme="0"/>
      </font>
      <fill>
        <patternFill>
          <bgColor theme="0"/>
        </patternFill>
      </fill>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border>
    </dxf>
    <dxf>
      <fill>
        <patternFill>
          <bgColor theme="0" tint="-0.14996795556505021"/>
        </patternFill>
      </fill>
    </dxf>
    <dxf>
      <fill>
        <patternFill>
          <bgColor theme="0"/>
        </patternFill>
      </fill>
    </dxf>
    <dxf>
      <font>
        <color theme="0"/>
      </font>
    </dxf>
    <dxf>
      <font>
        <color theme="0"/>
      </font>
    </dxf>
    <dxf>
      <border>
        <left style="thin">
          <color auto="1"/>
        </left>
        <top style="thin">
          <color auto="1"/>
        </top>
        <bottom style="thin">
          <color auto="1"/>
        </bottom>
        <vertical/>
        <horizontal/>
      </border>
    </dxf>
    <dxf>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fill>
        <patternFill>
          <bgColor theme="0" tint="-0.14996795556505021"/>
        </patternFill>
      </fill>
    </dxf>
    <dxf>
      <font>
        <color theme="0"/>
      </font>
      <fill>
        <patternFill>
          <bgColor theme="0"/>
        </patternFill>
      </fill>
      <border>
        <left/>
        <right/>
        <top/>
        <bottom/>
        <vertical/>
        <horizontal/>
      </border>
    </dxf>
    <dxf>
      <font>
        <color theme="0"/>
      </font>
    </dxf>
    <dxf>
      <font>
        <color theme="0"/>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34998626667073579"/>
        </patternFill>
      </fill>
    </dxf>
    <dxf>
      <fill>
        <patternFill>
          <bgColor theme="0" tint="-0.14996795556505021"/>
        </patternFill>
      </fill>
    </dxf>
    <dxf>
      <font>
        <color theme="0"/>
      </font>
      <fill>
        <patternFill>
          <bgColor theme="0"/>
        </patternFill>
      </fill>
      <border>
        <left/>
        <right/>
        <top/>
        <bottom/>
      </border>
    </dxf>
    <dxf>
      <fill>
        <patternFill>
          <bgColor theme="0" tint="-0.34998626667073579"/>
        </patternFill>
      </fill>
      <border>
        <left style="thin">
          <color auto="1"/>
        </left>
        <right style="thin">
          <color auto="1"/>
        </right>
        <bottom style="thin">
          <color auto="1"/>
        </bottom>
      </border>
    </dxf>
    <dxf>
      <fill>
        <patternFill>
          <bgColor theme="0" tint="-0.34998626667073579"/>
        </patternFill>
      </fill>
      <border>
        <left style="thin">
          <color auto="1"/>
        </left>
        <right style="thin">
          <color auto="1"/>
        </right>
        <top style="thin">
          <color auto="1"/>
        </top>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dxf>
    <dxf>
      <font>
        <color theme="0"/>
      </font>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border>
        <left/>
        <right/>
        <top/>
        <bottom/>
        <vertical/>
        <horizontal/>
      </border>
    </dxf>
    <dxf>
      <border>
        <left style="thin">
          <color auto="1"/>
        </left>
        <right/>
        <top/>
        <bottom/>
        <vertical/>
        <horizontal/>
      </border>
    </dxf>
    <dxf>
      <font>
        <strike val="0"/>
        <color theme="0"/>
      </font>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Stochastic!$B$21</c:f>
          <c:strCache>
            <c:ptCount val="1"/>
            <c:pt idx="0">
              <c:v>Stochastic debt projections 2029-2033</c:v>
            </c:pt>
          </c:strCache>
        </c:strRef>
      </c:tx>
      <c:overlay val="0"/>
    </c:title>
    <c:autoTitleDeleted val="0"/>
    <c:plotArea>
      <c:layout>
        <c:manualLayout>
          <c:layoutTarget val="inner"/>
          <c:xMode val="edge"/>
          <c:yMode val="edge"/>
          <c:x val="8.6310419062785679E-2"/>
          <c:y val="0.14954234919701911"/>
          <c:w val="0.85496978555227576"/>
          <c:h val="0.75103905168930085"/>
        </c:manualLayout>
      </c:layout>
      <c:areaChart>
        <c:grouping val="stacked"/>
        <c:varyColors val="0"/>
        <c:ser>
          <c:idx val="1"/>
          <c:order val="0"/>
          <c:tx>
            <c:strRef>
              <c:f>Stochastic!$B$22</c:f>
              <c:strCache>
                <c:ptCount val="1"/>
                <c:pt idx="0">
                  <c:v>p10</c:v>
                </c:pt>
              </c:strCache>
            </c:strRef>
          </c:tx>
          <c:spPr>
            <a:noFill/>
            <a:ln w="25400">
              <a:noFill/>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Stochastic!$C$22:$I$22</c:f>
              <c:numCache>
                <c:formatCode>0.0</c:formatCode>
                <c:ptCount val="7"/>
                <c:pt idx="0">
                  <c:v>79.484335796243897</c:v>
                </c:pt>
                <c:pt idx="1">
                  <c:v>77.440287313107248</c:v>
                </c:pt>
                <c:pt idx="2">
                  <c:v>68.026850286534099</c:v>
                </c:pt>
                <c:pt idx="3">
                  <c:v>62.189103860276177</c:v>
                </c:pt>
                <c:pt idx="4">
                  <c:v>56.957507752690006</c:v>
                </c:pt>
                <c:pt idx="5">
                  <c:v>52.667045502663612</c:v>
                </c:pt>
                <c:pt idx="6">
                  <c:v>48.473821270357668</c:v>
                </c:pt>
              </c:numCache>
            </c:numRef>
          </c:val>
          <c:extLst>
            <c:ext xmlns:c16="http://schemas.microsoft.com/office/drawing/2014/chart" uri="{C3380CC4-5D6E-409C-BE32-E72D297353CC}">
              <c16:uniqueId val="{00000000-0172-4116-9325-0285A655A4B3}"/>
            </c:ext>
          </c:extLst>
        </c:ser>
        <c:ser>
          <c:idx val="2"/>
          <c:order val="1"/>
          <c:tx>
            <c:strRef>
              <c:f>Stochastic!$B$23</c:f>
              <c:strCache>
                <c:ptCount val="1"/>
                <c:pt idx="0">
                  <c:v>p30_p10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Stochastic!$C$23:$I$23</c:f>
              <c:numCache>
                <c:formatCode>0.0</c:formatCode>
                <c:ptCount val="7"/>
                <c:pt idx="0">
                  <c:v>0</c:v>
                </c:pt>
                <c:pt idx="1">
                  <c:v>0</c:v>
                </c:pt>
                <c:pt idx="2">
                  <c:v>3.9434051513671875</c:v>
                </c:pt>
                <c:pt idx="3">
                  <c:v>5.35260009765625</c:v>
                </c:pt>
                <c:pt idx="4">
                  <c:v>6.437591552734375</c:v>
                </c:pt>
                <c:pt idx="5">
                  <c:v>7.4634780883789063</c:v>
                </c:pt>
                <c:pt idx="6">
                  <c:v>8.372589111328125</c:v>
                </c:pt>
              </c:numCache>
            </c:numRef>
          </c:val>
          <c:extLst>
            <c:ext xmlns:c16="http://schemas.microsoft.com/office/drawing/2014/chart" uri="{C3380CC4-5D6E-409C-BE32-E72D297353CC}">
              <c16:uniqueId val="{00000001-0172-4116-9325-0285A655A4B3}"/>
            </c:ext>
          </c:extLst>
        </c:ser>
        <c:ser>
          <c:idx val="3"/>
          <c:order val="2"/>
          <c:tx>
            <c:strRef>
              <c:f>Stochastic!$B$24</c:f>
              <c:strCache>
                <c:ptCount val="1"/>
                <c:pt idx="0">
                  <c:v>p50_p30</c:v>
                </c:pt>
              </c:strCache>
            </c:strRef>
          </c:tx>
          <c:spPr>
            <a:solidFill>
              <a:schemeClr val="accent1">
                <a:lumMod val="60000"/>
                <a:lumOff val="40000"/>
              </a:scheme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Stochastic!$C$24:$I$24</c:f>
              <c:numCache>
                <c:formatCode>0.0</c:formatCode>
                <c:ptCount val="7"/>
                <c:pt idx="0">
                  <c:v>0</c:v>
                </c:pt>
                <c:pt idx="1">
                  <c:v>0</c:v>
                </c:pt>
                <c:pt idx="2">
                  <c:v>2.5906524658203125</c:v>
                </c:pt>
                <c:pt idx="3">
                  <c:v>3.8641738891601563</c:v>
                </c:pt>
                <c:pt idx="4">
                  <c:v>4.6380233764648438</c:v>
                </c:pt>
                <c:pt idx="5">
                  <c:v>5.1610183715820313</c:v>
                </c:pt>
                <c:pt idx="6">
                  <c:v>5.7987060546875</c:v>
                </c:pt>
              </c:numCache>
            </c:numRef>
          </c:val>
          <c:extLst>
            <c:ext xmlns:c16="http://schemas.microsoft.com/office/drawing/2014/chart" uri="{C3380CC4-5D6E-409C-BE32-E72D297353CC}">
              <c16:uniqueId val="{00000002-0172-4116-9325-0285A655A4B3}"/>
            </c:ext>
          </c:extLst>
        </c:ser>
        <c:ser>
          <c:idx val="4"/>
          <c:order val="3"/>
          <c:tx>
            <c:strRef>
              <c:f>Stochastic!$B$25</c:f>
              <c:strCache>
                <c:ptCount val="1"/>
                <c:pt idx="0">
                  <c:v>p70_p50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Stochastic!$C$25:$I$25</c:f>
              <c:numCache>
                <c:formatCode>0.0</c:formatCode>
                <c:ptCount val="7"/>
                <c:pt idx="0">
                  <c:v>0</c:v>
                </c:pt>
                <c:pt idx="1">
                  <c:v>0</c:v>
                </c:pt>
                <c:pt idx="2">
                  <c:v>2.65289306640625</c:v>
                </c:pt>
                <c:pt idx="3">
                  <c:v>3.75189208984375</c:v>
                </c:pt>
                <c:pt idx="4">
                  <c:v>4.4892959594726563</c:v>
                </c:pt>
                <c:pt idx="5">
                  <c:v>5.1950912475585938</c:v>
                </c:pt>
                <c:pt idx="6">
                  <c:v>6.1019744873046875</c:v>
                </c:pt>
              </c:numCache>
            </c:numRef>
          </c:val>
          <c:extLst>
            <c:ext xmlns:c16="http://schemas.microsoft.com/office/drawing/2014/chart" uri="{C3380CC4-5D6E-409C-BE32-E72D297353CC}">
              <c16:uniqueId val="{00000003-0172-4116-9325-0285A655A4B3}"/>
            </c:ext>
          </c:extLst>
        </c:ser>
        <c:ser>
          <c:idx val="5"/>
          <c:order val="4"/>
          <c:tx>
            <c:strRef>
              <c:f>Stochastic!$B$26</c:f>
              <c:strCache>
                <c:ptCount val="1"/>
                <c:pt idx="0">
                  <c:v>p90_p70</c:v>
                </c:pt>
              </c:strCache>
            </c:strRef>
          </c:tx>
          <c:spPr>
            <a:solidFill>
              <a:srgbClr val="4F81BD">
                <a:lumMod val="20000"/>
                <a:lumOff val="8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Stochastic!$C$26:$I$26</c:f>
              <c:numCache>
                <c:formatCode>0.0</c:formatCode>
                <c:ptCount val="7"/>
                <c:pt idx="0">
                  <c:v>0</c:v>
                </c:pt>
                <c:pt idx="1">
                  <c:v>0</c:v>
                </c:pt>
                <c:pt idx="2">
                  <c:v>3.974365234375</c:v>
                </c:pt>
                <c:pt idx="3">
                  <c:v>5.5295944213867188</c:v>
                </c:pt>
                <c:pt idx="4">
                  <c:v>6.765289306640625</c:v>
                </c:pt>
                <c:pt idx="5">
                  <c:v>7.7694549560546875</c:v>
                </c:pt>
                <c:pt idx="6">
                  <c:v>8.37042236328125</c:v>
                </c:pt>
              </c:numCache>
            </c:numRef>
          </c:val>
          <c:extLst>
            <c:ext xmlns:c16="http://schemas.microsoft.com/office/drawing/2014/chart" uri="{C3380CC4-5D6E-409C-BE32-E72D297353CC}">
              <c16:uniqueId val="{00000004-0172-4116-9325-0285A655A4B3}"/>
            </c:ext>
          </c:extLst>
        </c:ser>
        <c:dLbls>
          <c:showLegendKey val="0"/>
          <c:showVal val="0"/>
          <c:showCatName val="0"/>
          <c:showSerName val="0"/>
          <c:showPercent val="0"/>
          <c:showBubbleSize val="0"/>
        </c:dLbls>
        <c:axId val="1747775104"/>
        <c:axId val="1"/>
      </c:areaChart>
      <c:lineChart>
        <c:grouping val="standard"/>
        <c:varyColors val="0"/>
        <c:ser>
          <c:idx val="0"/>
          <c:order val="5"/>
          <c:tx>
            <c:strRef>
              <c:f>Stochastic!$B$30</c:f>
              <c:strCache>
                <c:ptCount val="1"/>
                <c:pt idx="0">
                  <c:v>p70</c:v>
                </c:pt>
              </c:strCache>
            </c:strRef>
          </c:tx>
          <c:spPr>
            <a:ln w="44450">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6-2026-4D35-8044-BA74213EFFB8}"/>
                </c:ext>
              </c:extLst>
            </c:dLbl>
            <c:dLbl>
              <c:idx val="6"/>
              <c:layout>
                <c:manualLayout>
                  <c:x val="0"/>
                  <c:y val="-1.03573278094251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7-2026-4D35-8044-BA74213EFFB8}"/>
                </c:ext>
              </c:extLst>
            </c:dLbl>
            <c:spPr>
              <a:ln>
                <a:noFill/>
              </a:ln>
              <a:effectLst/>
            </c:spPr>
            <c:txPr>
              <a:bodyPr wrap="square" lIns="38100" tIns="19050" rIns="38100" bIns="19050" anchor="ctr">
                <a:spAutoFit/>
              </a:bodyPr>
              <a:lstStyle/>
              <a:p>
                <a:pPr>
                  <a:defRPr b="1">
                    <a:solidFill>
                      <a:srgbClr val="FF0000"/>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Stochastic!$C$30:$I$30</c:f>
              <c:numCache>
                <c:formatCode>0.0</c:formatCode>
                <c:ptCount val="7"/>
                <c:pt idx="0">
                  <c:v>79.484335796243897</c:v>
                </c:pt>
                <c:pt idx="1">
                  <c:v>77.440287313107248</c:v>
                </c:pt>
                <c:pt idx="2">
                  <c:v>77.213800970127849</c:v>
                </c:pt>
                <c:pt idx="3">
                  <c:v>75.157769936936333</c:v>
                </c:pt>
                <c:pt idx="4">
                  <c:v>72.522418641361881</c:v>
                </c:pt>
                <c:pt idx="5">
                  <c:v>70.486633210183143</c:v>
                </c:pt>
                <c:pt idx="6">
                  <c:v>68.747090923677973</c:v>
                </c:pt>
              </c:numCache>
            </c:numRef>
          </c:val>
          <c:smooth val="0"/>
          <c:extLst>
            <c:ext xmlns:c16="http://schemas.microsoft.com/office/drawing/2014/chart" uri="{C3380CC4-5D6E-409C-BE32-E72D297353CC}">
              <c16:uniqueId val="{00000000-2026-4D35-8044-BA74213EFFB8}"/>
            </c:ext>
          </c:extLst>
        </c:ser>
        <c:ser>
          <c:idx val="6"/>
          <c:order val="6"/>
          <c:tx>
            <c:strRef>
              <c:f>Stochastic!$B$28</c:f>
              <c:strCache>
                <c:ptCount val="1"/>
                <c:pt idx="0">
                  <c:v>p30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Stochastic!$C$28:$I$28</c:f>
              <c:numCache>
                <c:formatCode>0.0</c:formatCode>
                <c:ptCount val="7"/>
                <c:pt idx="0">
                  <c:v>79.484335796243897</c:v>
                </c:pt>
                <c:pt idx="1">
                  <c:v>77.440287313107248</c:v>
                </c:pt>
                <c:pt idx="2">
                  <c:v>71.970255437901287</c:v>
                </c:pt>
                <c:pt idx="3">
                  <c:v>67.541703957932427</c:v>
                </c:pt>
                <c:pt idx="4">
                  <c:v>63.395099305424381</c:v>
                </c:pt>
                <c:pt idx="5">
                  <c:v>60.130523591042518</c:v>
                </c:pt>
                <c:pt idx="6">
                  <c:v>56.846410381685793</c:v>
                </c:pt>
              </c:numCache>
            </c:numRef>
          </c:val>
          <c:smooth val="0"/>
          <c:extLst>
            <c:ext xmlns:c16="http://schemas.microsoft.com/office/drawing/2014/chart" uri="{C3380CC4-5D6E-409C-BE32-E72D297353CC}">
              <c16:uniqueId val="{00000007-2026-4D35-8044-BA74213EFFB8}"/>
            </c:ext>
          </c:extLst>
        </c:ser>
        <c:ser>
          <c:idx val="7"/>
          <c:order val="7"/>
          <c:tx>
            <c:strRef>
              <c:f>Stochastic!$B$31</c:f>
              <c:strCache>
                <c:ptCount val="1"/>
                <c:pt idx="0">
                  <c:v>p90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8-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9-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A-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B-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C-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D-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Stochastic!$C$31:$I$31</c:f>
              <c:numCache>
                <c:formatCode>0.0</c:formatCode>
                <c:ptCount val="7"/>
                <c:pt idx="0">
                  <c:v>79.484335796243897</c:v>
                </c:pt>
                <c:pt idx="1">
                  <c:v>77.440287313107248</c:v>
                </c:pt>
                <c:pt idx="2">
                  <c:v>81.188166204502849</c:v>
                </c:pt>
                <c:pt idx="3">
                  <c:v>80.687364358323052</c:v>
                </c:pt>
                <c:pt idx="4">
                  <c:v>79.287707948002506</c:v>
                </c:pt>
                <c:pt idx="5">
                  <c:v>78.256088166237831</c:v>
                </c:pt>
                <c:pt idx="6">
                  <c:v>77.117513286959223</c:v>
                </c:pt>
              </c:numCache>
            </c:numRef>
          </c:val>
          <c:smooth val="0"/>
          <c:extLst>
            <c:ext xmlns:c16="http://schemas.microsoft.com/office/drawing/2014/chart" uri="{C3380CC4-5D6E-409C-BE32-E72D297353CC}">
              <c16:uniqueId val="{00000008-2026-4D35-8044-BA74213EFFB8}"/>
            </c:ext>
          </c:extLst>
        </c:ser>
        <c:ser>
          <c:idx val="8"/>
          <c:order val="8"/>
          <c:tx>
            <c:strRef>
              <c:f>Stochastic!$B$29</c:f>
              <c:strCache>
                <c:ptCount val="1"/>
                <c:pt idx="0">
                  <c:v>p50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A-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B-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C-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D-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E-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F-2026-4D35-8044-BA74213EFFB8}"/>
                </c:ext>
              </c:extLst>
            </c:dLbl>
            <c:dLbl>
              <c:idx val="6"/>
              <c:layout>
                <c:manualLayout>
                  <c:x val="-1.0111916703481372E-2"/>
                  <c:y val="-5.184033177812338E-3"/>
                </c:manualLayout>
              </c:layout>
              <c:tx>
                <c:rich>
                  <a:bodyPr wrap="square" lIns="38100" tIns="19050" rIns="38100" bIns="19050" anchor="ctr">
                    <a:noAutofit/>
                  </a:bodyPr>
                  <a:lstStyle/>
                  <a:p>
                    <a:pPr>
                      <a:defRPr sz="1200"/>
                    </a:pPr>
                    <a:fld id="{395A9F43-309F-4036-9976-E03D2F102A6A}" type="SERIESNAME">
                      <a:rPr lang="en-US" sz="1200"/>
                      <a:pPr>
                        <a:defRPr sz="1200"/>
                      </a:pPr>
                      <a:t>[SERIES NAME]</a:t>
                    </a:fld>
                    <a:endParaRPr lang="en-IE"/>
                  </a:p>
                </c:rich>
              </c:tx>
              <c:spPr>
                <a:ln>
                  <a:noFill/>
                </a:ln>
                <a:effectLst/>
              </c:spPr>
              <c:showLegendKey val="0"/>
              <c:showVal val="0"/>
              <c:showCatName val="0"/>
              <c:showSerName val="1"/>
              <c:showPercent val="0"/>
              <c:showBubbleSize val="0"/>
              <c:extLst>
                <c:ext xmlns:c15="http://schemas.microsoft.com/office/drawing/2012/chart" uri="{CE6537A1-D6FC-4f65-9D91-7224C49458BB}">
                  <c15:layout>
                    <c:manualLayout>
                      <c:w val="7.2647564068536369E-2"/>
                      <c:h val="7.4010849732430412E-2"/>
                    </c:manualLayout>
                  </c15:layout>
                  <c15:dlblFieldTable/>
                  <c15:showDataLabelsRange val="0"/>
                </c:ext>
                <c:ext xmlns:c16="http://schemas.microsoft.com/office/drawing/2014/chart" uri="{C3380CC4-5D6E-409C-BE32-E72D297353CC}">
                  <c16:uniqueId val="{00000010-2026-4D35-8044-BA74213EFFB8}"/>
                </c:ext>
              </c:extLst>
            </c:dLbl>
            <c:spPr>
              <a:ln>
                <a:noFill/>
              </a:ln>
              <a:effectLst/>
            </c:spPr>
            <c:txPr>
              <a:bodyPr wrap="square" lIns="38100" tIns="19050" rIns="38100" bIns="19050" anchor="ctr">
                <a:spAutoFit/>
              </a:bodyPr>
              <a:lstStyle/>
              <a:p>
                <a:pPr>
                  <a:defRPr sz="1200"/>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Stochastic!$C$29:$I$29</c:f>
              <c:numCache>
                <c:formatCode>0.0</c:formatCode>
                <c:ptCount val="7"/>
                <c:pt idx="0">
                  <c:v>79.484335796243897</c:v>
                </c:pt>
                <c:pt idx="1">
                  <c:v>77.440287313107248</c:v>
                </c:pt>
                <c:pt idx="2">
                  <c:v>74.560907903721599</c:v>
                </c:pt>
                <c:pt idx="3">
                  <c:v>71.405877847092583</c:v>
                </c:pt>
                <c:pt idx="4">
                  <c:v>68.033122681889225</c:v>
                </c:pt>
                <c:pt idx="5">
                  <c:v>65.291541962624549</c:v>
                </c:pt>
                <c:pt idx="6">
                  <c:v>62.645116436373293</c:v>
                </c:pt>
              </c:numCache>
            </c:numRef>
          </c:val>
          <c:smooth val="0"/>
          <c:extLst>
            <c:ext xmlns:c16="http://schemas.microsoft.com/office/drawing/2014/chart" uri="{C3380CC4-5D6E-409C-BE32-E72D297353CC}">
              <c16:uniqueId val="{00000009-2026-4D35-8044-BA74213EFFB8}"/>
            </c:ext>
          </c:extLst>
        </c:ser>
        <c:ser>
          <c:idx val="9"/>
          <c:order val="9"/>
          <c:tx>
            <c:strRef>
              <c:f>Stochastic!$B$27</c:f>
              <c:strCache>
                <c:ptCount val="1"/>
                <c:pt idx="0">
                  <c:v>p10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2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2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2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2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2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Stochastic!$C$27:$I$27</c:f>
              <c:numCache>
                <c:formatCode>0.0</c:formatCode>
                <c:ptCount val="7"/>
                <c:pt idx="0">
                  <c:v>79.484335796243897</c:v>
                </c:pt>
                <c:pt idx="1">
                  <c:v>77.440287313107248</c:v>
                </c:pt>
                <c:pt idx="2">
                  <c:v>68.026850286534099</c:v>
                </c:pt>
                <c:pt idx="3">
                  <c:v>62.189103860276177</c:v>
                </c:pt>
                <c:pt idx="4">
                  <c:v>56.957507752690006</c:v>
                </c:pt>
                <c:pt idx="5">
                  <c:v>52.667045502663612</c:v>
                </c:pt>
                <c:pt idx="6">
                  <c:v>48.473821270357668</c:v>
                </c:pt>
              </c:numCache>
            </c:numRef>
          </c:val>
          <c:smooth val="0"/>
          <c:extLst>
            <c:ext xmlns:c16="http://schemas.microsoft.com/office/drawing/2014/chart" uri="{C3380CC4-5D6E-409C-BE32-E72D297353CC}">
              <c16:uniqueId val="{00000020-2026-4D35-8044-BA74213EFFB8}"/>
            </c:ext>
          </c:extLst>
        </c:ser>
        <c:dLbls>
          <c:showLegendKey val="0"/>
          <c:showVal val="0"/>
          <c:showCatName val="0"/>
          <c:showSerName val="0"/>
          <c:showPercent val="0"/>
          <c:showBubbleSize val="0"/>
        </c:dLbls>
        <c:marker val="1"/>
        <c:smooth val="0"/>
        <c:axId val="1747775104"/>
        <c:axId val="1"/>
      </c:lineChart>
      <c:catAx>
        <c:axId val="1747775104"/>
        <c:scaling>
          <c:orientation val="minMax"/>
        </c:scaling>
        <c:delete val="0"/>
        <c:axPos val="b"/>
        <c:numFmt formatCode="General" sourceLinked="1"/>
        <c:majorTickMark val="none"/>
        <c:minorTickMark val="none"/>
        <c:tickLblPos val="nextTo"/>
        <c:spPr>
          <a:ln w="3175">
            <a:solidFill>
              <a:sysClr val="windowText" lastClr="000000"/>
            </a:solidFill>
            <a:prstDash val="solid"/>
          </a:ln>
        </c:spPr>
        <c:txPr>
          <a:bodyPr rot="0" vert="horz"/>
          <a:lstStyle/>
          <a:p>
            <a:pPr>
              <a:defRPr sz="1200" b="0" i="0" u="none" strike="noStrike" baseline="0">
                <a:solidFill>
                  <a:sysClr val="windowText" lastClr="000000"/>
                </a:solidFill>
                <a:latin typeface="+mn-lt"/>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title>
          <c:tx>
            <c:rich>
              <a:bodyPr rot="0" vert="horz" anchor="t" anchorCtr="0"/>
              <a:lstStyle/>
              <a:p>
                <a:pPr>
                  <a:defRPr/>
                </a:pPr>
                <a:r>
                  <a:rPr lang="en-IE" sz="1050"/>
                  <a:t>% GDP</a:t>
                </a:r>
              </a:p>
            </c:rich>
          </c:tx>
          <c:layout>
            <c:manualLayout>
              <c:xMode val="edge"/>
              <c:yMode val="edge"/>
              <c:x val="0"/>
              <c:y val="7.0931724514217989E-2"/>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100" b="0" i="0" u="none" strike="noStrike" baseline="0">
                <a:solidFill>
                  <a:sysClr val="windowText" lastClr="000000"/>
                </a:solidFill>
                <a:latin typeface="+mn-lt"/>
                <a:ea typeface="Arial"/>
                <a:cs typeface="Arial"/>
              </a:defRPr>
            </a:pPr>
            <a:endParaRPr lang="en-US"/>
          </a:p>
        </c:txPr>
        <c:crossAx val="1747775104"/>
        <c:crosses val="autoZero"/>
        <c:crossBetween val="between"/>
      </c:valAx>
      <c:spPr>
        <a:noFill/>
        <a:ln w="25400">
          <a:noFill/>
        </a:ln>
      </c:spPr>
    </c:plotArea>
    <c:plotVisOnly val="1"/>
    <c:dispBlanksAs val="gap"/>
    <c:showDLblsOverMax val="0"/>
  </c:chart>
  <c:spPr>
    <a:solidFill>
      <a:srgbClr val="FFFFFF"/>
    </a:solidFill>
    <a:ln w="3175">
      <a:solidFill>
        <a:sysClr val="windowText" lastClr="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88354</xdr:colOff>
      <xdr:row>1</xdr:row>
      <xdr:rowOff>121091</xdr:rowOff>
    </xdr:from>
    <xdr:to>
      <xdr:col>5</xdr:col>
      <xdr:colOff>16549</xdr:colOff>
      <xdr:row>9</xdr:row>
      <xdr:rowOff>2950</xdr:rowOff>
    </xdr:to>
    <xdr:pic>
      <xdr:nvPicPr>
        <xdr:cNvPr id="2" name="Picture 1">
          <a:extLst>
            <a:ext uri="{FF2B5EF4-FFF2-40B4-BE49-F238E27FC236}">
              <a16:creationId xmlns:a16="http://schemas.microsoft.com/office/drawing/2014/main" id="{5DF9B7FF-C014-4B8E-95A6-509766BF4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339" y="303971"/>
          <a:ext cx="2124660" cy="1327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97153</xdr:colOff>
      <xdr:row>4</xdr:row>
      <xdr:rowOff>38102</xdr:rowOff>
    </xdr:from>
    <xdr:to>
      <xdr:col>6</xdr:col>
      <xdr:colOff>600075</xdr:colOff>
      <xdr:row>5</xdr:row>
      <xdr:rowOff>137163</xdr:rowOff>
    </xdr:to>
    <xdr:sp macro="" textlink="">
      <xdr:nvSpPr>
        <xdr:cNvPr id="3" name="Arrow: Down 2">
          <a:extLst>
            <a:ext uri="{FF2B5EF4-FFF2-40B4-BE49-F238E27FC236}">
              <a16:creationId xmlns:a16="http://schemas.microsoft.com/office/drawing/2014/main" id="{870E84B9-D7D9-4AE0-8686-64A30E36AF6E}"/>
            </a:ext>
          </a:extLst>
        </xdr:cNvPr>
        <xdr:cNvSpPr/>
      </xdr:nvSpPr>
      <xdr:spPr>
        <a:xfrm rot="5400000">
          <a:off x="6010273" y="601982"/>
          <a:ext cx="274321"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87630</xdr:colOff>
      <xdr:row>21</xdr:row>
      <xdr:rowOff>9525</xdr:rowOff>
    </xdr:from>
    <xdr:to>
      <xdr:col>19</xdr:col>
      <xdr:colOff>377190</xdr:colOff>
      <xdr:row>42</xdr:row>
      <xdr:rowOff>83820</xdr:rowOff>
    </xdr:to>
    <xdr:graphicFrame macro="">
      <xdr:nvGraphicFramePr>
        <xdr:cNvPr id="9" name="Chart stochastic">
          <a:extLst>
            <a:ext uri="{FF2B5EF4-FFF2-40B4-BE49-F238E27FC236}">
              <a16:creationId xmlns:a16="http://schemas.microsoft.com/office/drawing/2014/main" id="{9ECBE4A0-5C2C-8A7C-9086-251DAC5F4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tabColor theme="1"/>
  </sheetPr>
  <dimension ref="B2:N87"/>
  <sheetViews>
    <sheetView zoomScaleNormal="100" workbookViewId="0"/>
  </sheetViews>
  <sheetFormatPr defaultColWidth="9.33203125" defaultRowHeight="14.4" x14ac:dyDescent="0.3"/>
  <cols>
    <col min="1" max="3" width="9.33203125" style="172"/>
    <col min="4" max="4" width="7.33203125" style="172" customWidth="1"/>
    <col min="5" max="5" width="6.109375" style="172" customWidth="1"/>
    <col min="6" max="6" width="3.109375" style="172" customWidth="1"/>
    <col min="7" max="13" width="9.33203125" style="172"/>
    <col min="14" max="14" width="18.109375" style="172" customWidth="1"/>
    <col min="15" max="16384" width="9.33203125" style="172"/>
  </cols>
  <sheetData>
    <row r="2" spans="2:12" x14ac:dyDescent="0.3">
      <c r="B2" s="168"/>
      <c r="C2" s="169"/>
      <c r="D2" s="169"/>
      <c r="E2" s="169"/>
      <c r="F2" s="169"/>
      <c r="G2" s="170"/>
      <c r="H2" s="169"/>
      <c r="I2" s="169"/>
      <c r="J2" s="169"/>
      <c r="K2" s="169"/>
      <c r="L2" s="171"/>
    </row>
    <row r="3" spans="2:12" x14ac:dyDescent="0.3">
      <c r="B3" s="173"/>
      <c r="C3" s="174"/>
      <c r="D3" s="174"/>
      <c r="E3" s="174"/>
      <c r="F3" s="174"/>
      <c r="G3" s="175"/>
      <c r="H3" s="174"/>
      <c r="I3" s="174"/>
      <c r="J3" s="174"/>
      <c r="K3" s="174"/>
      <c r="L3" s="176"/>
    </row>
    <row r="4" spans="2:12" x14ac:dyDescent="0.3">
      <c r="B4" s="173"/>
      <c r="C4" s="174"/>
      <c r="D4" s="174"/>
      <c r="E4" s="174"/>
      <c r="F4" s="174"/>
      <c r="G4" s="177" t="s">
        <v>0</v>
      </c>
      <c r="H4" s="174"/>
      <c r="I4" s="174"/>
      <c r="J4" s="174"/>
      <c r="K4" s="174"/>
      <c r="L4" s="176"/>
    </row>
    <row r="5" spans="2:12" x14ac:dyDescent="0.3">
      <c r="B5" s="173"/>
      <c r="C5" s="174"/>
      <c r="D5" s="174"/>
      <c r="E5" s="174"/>
      <c r="F5" s="174"/>
      <c r="G5" s="175"/>
      <c r="H5" s="174"/>
      <c r="I5" s="174"/>
      <c r="J5" s="174"/>
      <c r="K5" s="174"/>
      <c r="L5" s="176"/>
    </row>
    <row r="6" spans="2:12" x14ac:dyDescent="0.3">
      <c r="B6" s="173"/>
      <c r="C6" s="174"/>
      <c r="D6" s="174"/>
      <c r="E6" s="174"/>
      <c r="F6" s="174"/>
      <c r="G6" s="175" t="s">
        <v>1</v>
      </c>
      <c r="H6" s="174"/>
      <c r="I6" s="174"/>
      <c r="J6" s="174"/>
      <c r="K6" s="174"/>
      <c r="L6" s="176"/>
    </row>
    <row r="7" spans="2:12" x14ac:dyDescent="0.3">
      <c r="B7" s="173"/>
      <c r="C7" s="174"/>
      <c r="D7" s="174"/>
      <c r="E7" s="174"/>
      <c r="F7" s="174"/>
      <c r="G7" s="175" t="s">
        <v>2</v>
      </c>
      <c r="H7" s="174"/>
      <c r="I7" s="174"/>
      <c r="J7" s="174"/>
      <c r="K7" s="174"/>
      <c r="L7" s="176"/>
    </row>
    <row r="8" spans="2:12" x14ac:dyDescent="0.3">
      <c r="B8" s="173"/>
      <c r="C8" s="174"/>
      <c r="D8" s="174"/>
      <c r="E8" s="174"/>
      <c r="F8" s="174"/>
      <c r="G8" s="178" t="s">
        <v>3</v>
      </c>
      <c r="H8" s="174"/>
      <c r="I8" s="174"/>
      <c r="J8" s="174"/>
      <c r="K8" s="174"/>
      <c r="L8" s="176"/>
    </row>
    <row r="9" spans="2:12" x14ac:dyDescent="0.3">
      <c r="B9" s="173"/>
      <c r="C9" s="174"/>
      <c r="D9" s="174"/>
      <c r="E9" s="174"/>
      <c r="F9" s="174"/>
      <c r="G9" s="175"/>
      <c r="H9" s="174"/>
      <c r="I9" s="174"/>
      <c r="J9" s="174"/>
      <c r="K9" s="174"/>
      <c r="L9" s="176"/>
    </row>
    <row r="10" spans="2:12" x14ac:dyDescent="0.3">
      <c r="B10" s="173"/>
      <c r="C10" s="174"/>
      <c r="D10" s="174"/>
      <c r="E10" s="174"/>
      <c r="F10" s="174"/>
      <c r="G10" s="175"/>
      <c r="H10" s="174"/>
      <c r="I10" s="174"/>
      <c r="J10" s="174"/>
      <c r="K10" s="174"/>
      <c r="L10" s="176"/>
    </row>
    <row r="11" spans="2:12" x14ac:dyDescent="0.3">
      <c r="B11" s="179"/>
      <c r="C11" s="180"/>
      <c r="D11" s="180"/>
      <c r="E11" s="180"/>
      <c r="F11" s="180"/>
      <c r="G11" s="180"/>
      <c r="H11" s="180"/>
      <c r="I11" s="180"/>
      <c r="J11" s="180"/>
      <c r="K11" s="180"/>
      <c r="L11" s="181"/>
    </row>
    <row r="15" spans="2:12" x14ac:dyDescent="0.3">
      <c r="B15" s="168"/>
      <c r="C15" s="169"/>
      <c r="D15" s="169"/>
      <c r="E15" s="169"/>
      <c r="F15" s="169"/>
      <c r="G15" s="169"/>
      <c r="H15" s="169"/>
      <c r="I15" s="169"/>
      <c r="J15" s="169"/>
      <c r="K15" s="169"/>
      <c r="L15" s="171"/>
    </row>
    <row r="16" spans="2:12" x14ac:dyDescent="0.3">
      <c r="B16" s="173"/>
      <c r="C16" s="177" t="s">
        <v>4</v>
      </c>
      <c r="D16" s="175"/>
      <c r="E16" s="175"/>
      <c r="F16" s="175"/>
      <c r="G16" s="175"/>
      <c r="H16" s="175"/>
      <c r="I16" s="175"/>
      <c r="J16" s="175"/>
      <c r="K16" s="175"/>
      <c r="L16" s="176"/>
    </row>
    <row r="17" spans="2:14" x14ac:dyDescent="0.3">
      <c r="B17" s="173"/>
      <c r="C17" s="175"/>
      <c r="D17" s="175"/>
      <c r="E17" s="175"/>
      <c r="F17" s="175"/>
      <c r="G17" s="177"/>
      <c r="H17" s="175"/>
      <c r="I17" s="175"/>
      <c r="J17" s="175"/>
      <c r="K17" s="175"/>
      <c r="L17" s="176"/>
    </row>
    <row r="18" spans="2:14" ht="15" customHeight="1" x14ac:dyDescent="0.3">
      <c r="B18" s="173"/>
      <c r="C18" s="402" t="s">
        <v>286</v>
      </c>
      <c r="D18" s="402"/>
      <c r="E18" s="402"/>
      <c r="F18" s="402"/>
      <c r="G18" s="402"/>
      <c r="H18" s="402"/>
      <c r="I18" s="402"/>
      <c r="J18" s="402"/>
      <c r="K18" s="402"/>
      <c r="L18" s="176"/>
      <c r="N18" s="291"/>
    </row>
    <row r="19" spans="2:14" x14ac:dyDescent="0.3">
      <c r="B19" s="173"/>
      <c r="C19" s="402"/>
      <c r="D19" s="402"/>
      <c r="E19" s="402"/>
      <c r="F19" s="402"/>
      <c r="G19" s="402"/>
      <c r="H19" s="402"/>
      <c r="I19" s="402"/>
      <c r="J19" s="402"/>
      <c r="K19" s="402"/>
      <c r="L19" s="176"/>
    </row>
    <row r="20" spans="2:14" x14ac:dyDescent="0.3">
      <c r="B20" s="173"/>
      <c r="C20" s="402"/>
      <c r="D20" s="402"/>
      <c r="E20" s="402"/>
      <c r="F20" s="402"/>
      <c r="G20" s="402"/>
      <c r="H20" s="402"/>
      <c r="I20" s="402"/>
      <c r="J20" s="402"/>
      <c r="K20" s="402"/>
      <c r="L20" s="176"/>
    </row>
    <row r="21" spans="2:14" ht="9" customHeight="1" x14ac:dyDescent="0.3">
      <c r="B21" s="173"/>
      <c r="C21" s="175"/>
      <c r="D21" s="175"/>
      <c r="E21" s="175"/>
      <c r="F21" s="175"/>
      <c r="G21" s="175"/>
      <c r="H21" s="175"/>
      <c r="I21" s="175"/>
      <c r="J21" s="175"/>
      <c r="K21" s="175"/>
      <c r="L21" s="176"/>
    </row>
    <row r="22" spans="2:14" ht="15" customHeight="1" x14ac:dyDescent="0.3">
      <c r="B22" s="173"/>
      <c r="C22" s="402" t="s">
        <v>265</v>
      </c>
      <c r="D22" s="402"/>
      <c r="E22" s="402"/>
      <c r="F22" s="402"/>
      <c r="G22" s="402"/>
      <c r="H22" s="402"/>
      <c r="I22" s="402"/>
      <c r="J22" s="402"/>
      <c r="K22" s="402"/>
      <c r="L22" s="176"/>
    </row>
    <row r="23" spans="2:14" x14ac:dyDescent="0.3">
      <c r="B23" s="173"/>
      <c r="C23" s="402"/>
      <c r="D23" s="402"/>
      <c r="E23" s="402"/>
      <c r="F23" s="402"/>
      <c r="G23" s="402"/>
      <c r="H23" s="402"/>
      <c r="I23" s="402"/>
      <c r="J23" s="402"/>
      <c r="K23" s="402"/>
      <c r="L23" s="176"/>
    </row>
    <row r="24" spans="2:14" x14ac:dyDescent="0.3">
      <c r="B24" s="173"/>
      <c r="C24" s="402"/>
      <c r="D24" s="402"/>
      <c r="E24" s="402"/>
      <c r="F24" s="402"/>
      <c r="G24" s="402"/>
      <c r="H24" s="402"/>
      <c r="I24" s="402"/>
      <c r="J24" s="402"/>
      <c r="K24" s="402"/>
      <c r="L24" s="176"/>
    </row>
    <row r="25" spans="2:14" ht="30" customHeight="1" x14ac:dyDescent="0.3">
      <c r="B25" s="173"/>
      <c r="C25" s="402"/>
      <c r="D25" s="402"/>
      <c r="E25" s="402"/>
      <c r="F25" s="402"/>
      <c r="G25" s="402"/>
      <c r="H25" s="402"/>
      <c r="I25" s="402"/>
      <c r="J25" s="402"/>
      <c r="K25" s="402"/>
      <c r="L25" s="176"/>
      <c r="N25" s="268"/>
    </row>
    <row r="26" spans="2:14" x14ac:dyDescent="0.3">
      <c r="B26" s="173"/>
      <c r="C26" s="217"/>
      <c r="D26" s="217"/>
      <c r="E26" s="217"/>
      <c r="F26" s="217"/>
      <c r="G26" s="217"/>
      <c r="H26" s="217"/>
      <c r="I26" s="217"/>
      <c r="J26" s="217"/>
      <c r="K26" s="217"/>
      <c r="L26" s="176"/>
    </row>
    <row r="27" spans="2:14" x14ac:dyDescent="0.3">
      <c r="B27" s="173"/>
      <c r="C27" s="404" t="s">
        <v>5</v>
      </c>
      <c r="D27" s="404"/>
      <c r="E27" s="404"/>
      <c r="F27" s="404"/>
      <c r="G27" s="404"/>
      <c r="H27" s="404"/>
      <c r="I27" s="404"/>
      <c r="J27" s="404"/>
      <c r="K27" s="404"/>
      <c r="L27" s="176"/>
    </row>
    <row r="28" spans="2:14" x14ac:dyDescent="0.3">
      <c r="B28" s="173"/>
      <c r="C28" s="296"/>
      <c r="D28" s="296"/>
      <c r="E28" s="296"/>
      <c r="F28" s="296"/>
      <c r="G28" s="296"/>
      <c r="H28" s="296"/>
      <c r="I28" s="296"/>
      <c r="J28" s="296"/>
      <c r="K28" s="296"/>
      <c r="L28" s="176"/>
    </row>
    <row r="29" spans="2:14" ht="230.1" customHeight="1" x14ac:dyDescent="0.3">
      <c r="B29" s="173"/>
      <c r="C29" s="402" t="s">
        <v>276</v>
      </c>
      <c r="D29" s="402"/>
      <c r="E29" s="402"/>
      <c r="F29" s="402"/>
      <c r="G29" s="402"/>
      <c r="H29" s="402"/>
      <c r="I29" s="402"/>
      <c r="J29" s="402"/>
      <c r="K29" s="402"/>
      <c r="L29" s="176"/>
      <c r="N29" s="292"/>
    </row>
    <row r="30" spans="2:14" x14ac:dyDescent="0.3">
      <c r="B30" s="173"/>
      <c r="C30" s="296"/>
      <c r="D30" s="296"/>
      <c r="E30" s="296"/>
      <c r="F30" s="296"/>
      <c r="G30" s="296"/>
      <c r="H30" s="296"/>
      <c r="I30" s="296"/>
      <c r="J30" s="296"/>
      <c r="K30" s="296"/>
      <c r="L30" s="176"/>
      <c r="N30" s="194"/>
    </row>
    <row r="31" spans="2:14" x14ac:dyDescent="0.3">
      <c r="B31" s="173"/>
      <c r="C31" s="407" t="s">
        <v>6</v>
      </c>
      <c r="D31" s="407"/>
      <c r="E31" s="407"/>
      <c r="F31" s="407"/>
      <c r="G31" s="407"/>
      <c r="H31" s="407"/>
      <c r="I31" s="407"/>
      <c r="J31" s="407"/>
      <c r="K31" s="407"/>
      <c r="L31" s="176"/>
    </row>
    <row r="32" spans="2:14" x14ac:dyDescent="0.3">
      <c r="B32" s="173"/>
      <c r="C32" s="217"/>
      <c r="D32" s="182"/>
      <c r="E32" s="182"/>
      <c r="F32" s="182"/>
      <c r="G32" s="182"/>
      <c r="H32" s="182"/>
      <c r="I32" s="182"/>
      <c r="J32" s="182"/>
      <c r="K32" s="182"/>
      <c r="L32" s="176"/>
    </row>
    <row r="33" spans="2:14" ht="36" customHeight="1" thickBot="1" x14ac:dyDescent="0.35">
      <c r="B33" s="173"/>
      <c r="C33" s="183"/>
      <c r="D33" s="402" t="s">
        <v>257</v>
      </c>
      <c r="E33" s="402"/>
      <c r="F33" s="402"/>
      <c r="G33" s="402"/>
      <c r="H33" s="402"/>
      <c r="I33" s="402"/>
      <c r="J33" s="402"/>
      <c r="K33" s="402"/>
      <c r="L33" s="176"/>
      <c r="M33" s="267"/>
      <c r="N33" s="294"/>
    </row>
    <row r="34" spans="2:14" s="382" customFormat="1" ht="50.1" customHeight="1" thickTop="1" thickBot="1" x14ac:dyDescent="0.3">
      <c r="B34" s="377"/>
      <c r="C34" s="378"/>
      <c r="D34" s="193"/>
      <c r="E34" s="379"/>
      <c r="F34" s="416" t="s">
        <v>272</v>
      </c>
      <c r="G34" s="405"/>
      <c r="H34" s="405"/>
      <c r="I34" s="405"/>
      <c r="J34" s="405"/>
      <c r="K34" s="405"/>
      <c r="L34" s="380"/>
      <c r="M34" s="381"/>
      <c r="N34" s="294"/>
    </row>
    <row r="35" spans="2:14" s="382" customFormat="1" ht="33" customHeight="1" thickTop="1" x14ac:dyDescent="0.25">
      <c r="B35" s="377"/>
      <c r="C35" s="378"/>
      <c r="D35" s="193"/>
      <c r="E35" s="383"/>
      <c r="F35" s="413" t="s">
        <v>273</v>
      </c>
      <c r="G35" s="413"/>
      <c r="H35" s="413"/>
      <c r="I35" s="413"/>
      <c r="J35" s="413"/>
      <c r="K35" s="413"/>
      <c r="L35" s="380"/>
      <c r="M35" s="381"/>
      <c r="N35" s="294"/>
    </row>
    <row r="36" spans="2:14" s="382" customFormat="1" ht="33" customHeight="1" x14ac:dyDescent="0.25">
      <c r="B36" s="377"/>
      <c r="C36" s="378"/>
      <c r="D36" s="193"/>
      <c r="E36" s="384"/>
      <c r="F36" s="413"/>
      <c r="G36" s="413"/>
      <c r="H36" s="413"/>
      <c r="I36" s="413"/>
      <c r="J36" s="413"/>
      <c r="K36" s="413"/>
      <c r="L36" s="380"/>
      <c r="M36" s="381"/>
      <c r="N36" s="294"/>
    </row>
    <row r="37" spans="2:14" s="382" customFormat="1" ht="66" customHeight="1" x14ac:dyDescent="0.25">
      <c r="B37" s="377"/>
      <c r="C37" s="378"/>
      <c r="D37" s="193"/>
      <c r="E37" s="385"/>
      <c r="F37" s="413" t="s">
        <v>274</v>
      </c>
      <c r="G37" s="405"/>
      <c r="H37" s="405"/>
      <c r="I37" s="405"/>
      <c r="J37" s="405"/>
      <c r="K37" s="405"/>
      <c r="L37" s="380"/>
      <c r="M37" s="381"/>
      <c r="N37" s="294"/>
    </row>
    <row r="38" spans="2:14" ht="9" customHeight="1" x14ac:dyDescent="0.3">
      <c r="B38" s="173"/>
      <c r="C38" s="183"/>
      <c r="D38" s="414"/>
      <c r="E38" s="414"/>
      <c r="F38" s="414"/>
      <c r="G38" s="414"/>
      <c r="H38" s="414"/>
      <c r="I38" s="414"/>
      <c r="J38" s="414"/>
      <c r="K38" s="414"/>
      <c r="L38" s="415"/>
      <c r="M38" s="267"/>
      <c r="N38" s="294"/>
    </row>
    <row r="39" spans="2:14" ht="102.75" customHeight="1" x14ac:dyDescent="0.3">
      <c r="B39" s="173"/>
      <c r="C39" s="183"/>
      <c r="D39" s="402" t="s">
        <v>258</v>
      </c>
      <c r="E39" s="402"/>
      <c r="F39" s="402"/>
      <c r="G39" s="402"/>
      <c r="H39" s="402"/>
      <c r="I39" s="402"/>
      <c r="J39" s="402"/>
      <c r="K39" s="402"/>
      <c r="L39" s="176"/>
      <c r="M39" s="267"/>
      <c r="N39" s="294"/>
    </row>
    <row r="40" spans="2:14" ht="52.5" customHeight="1" x14ac:dyDescent="0.3">
      <c r="B40" s="173"/>
      <c r="C40" s="183"/>
      <c r="D40" s="402" t="s">
        <v>269</v>
      </c>
      <c r="E40" s="402"/>
      <c r="F40" s="402"/>
      <c r="G40" s="402"/>
      <c r="H40" s="402"/>
      <c r="I40" s="402"/>
      <c r="J40" s="402"/>
      <c r="K40" s="402"/>
      <c r="L40" s="176"/>
      <c r="M40" s="267"/>
      <c r="N40" s="269"/>
    </row>
    <row r="41" spans="2:14" ht="41.25" customHeight="1" x14ac:dyDescent="0.3">
      <c r="B41" s="173"/>
      <c r="C41" s="183"/>
      <c r="D41" s="402" t="s">
        <v>267</v>
      </c>
      <c r="E41" s="402"/>
      <c r="F41" s="402"/>
      <c r="G41" s="402"/>
      <c r="H41" s="402"/>
      <c r="I41" s="402"/>
      <c r="J41" s="402"/>
      <c r="K41" s="402"/>
      <c r="L41" s="176"/>
      <c r="M41" s="267"/>
      <c r="N41" s="269"/>
    </row>
    <row r="42" spans="2:14" ht="96.75" customHeight="1" x14ac:dyDescent="0.3">
      <c r="B42" s="173"/>
      <c r="C42" s="183"/>
      <c r="D42" s="402" t="s">
        <v>268</v>
      </c>
      <c r="E42" s="402"/>
      <c r="F42" s="402"/>
      <c r="G42" s="402"/>
      <c r="H42" s="402"/>
      <c r="I42" s="402"/>
      <c r="J42" s="402"/>
      <c r="K42" s="402"/>
      <c r="L42" s="176"/>
      <c r="M42" s="267"/>
      <c r="N42" s="294"/>
    </row>
    <row r="43" spans="2:14" ht="144" customHeight="1" x14ac:dyDescent="0.3">
      <c r="B43" s="173"/>
      <c r="C43" s="183"/>
      <c r="D43" s="402" t="s">
        <v>256</v>
      </c>
      <c r="E43" s="402"/>
      <c r="F43" s="402"/>
      <c r="G43" s="402"/>
      <c r="H43" s="402"/>
      <c r="I43" s="402"/>
      <c r="J43" s="402"/>
      <c r="K43" s="402"/>
      <c r="L43" s="176"/>
      <c r="M43" s="267"/>
      <c r="N43" s="294"/>
    </row>
    <row r="44" spans="2:14" ht="66" customHeight="1" x14ac:dyDescent="0.3">
      <c r="B44" s="173"/>
      <c r="C44" s="183"/>
      <c r="D44" s="402" t="s">
        <v>255</v>
      </c>
      <c r="E44" s="402"/>
      <c r="F44" s="402"/>
      <c r="G44" s="402"/>
      <c r="H44" s="402"/>
      <c r="I44" s="402"/>
      <c r="J44" s="402"/>
      <c r="K44" s="402"/>
      <c r="L44" s="176"/>
      <c r="M44" s="267"/>
      <c r="N44" s="269"/>
    </row>
    <row r="45" spans="2:14" ht="68.25" customHeight="1" x14ac:dyDescent="0.3">
      <c r="B45" s="173"/>
      <c r="C45" s="183"/>
      <c r="D45" s="402" t="s">
        <v>266</v>
      </c>
      <c r="E45" s="402"/>
      <c r="F45" s="402"/>
      <c r="G45" s="402"/>
      <c r="H45" s="402"/>
      <c r="I45" s="402"/>
      <c r="J45" s="402"/>
      <c r="K45" s="402"/>
      <c r="L45" s="176"/>
      <c r="M45" s="267"/>
      <c r="N45" s="269"/>
    </row>
    <row r="46" spans="2:14" x14ac:dyDescent="0.3">
      <c r="B46" s="173"/>
      <c r="C46" s="217"/>
      <c r="D46" s="182"/>
      <c r="E46" s="182"/>
      <c r="F46" s="182"/>
      <c r="G46" s="182"/>
      <c r="H46" s="182"/>
      <c r="I46" s="182"/>
      <c r="J46" s="182"/>
      <c r="K46" s="182"/>
      <c r="L46" s="176"/>
    </row>
    <row r="47" spans="2:14" ht="61.95" customHeight="1" x14ac:dyDescent="0.3">
      <c r="B47" s="173"/>
      <c r="C47" s="184"/>
      <c r="D47" s="402" t="s">
        <v>178</v>
      </c>
      <c r="E47" s="402"/>
      <c r="F47" s="402"/>
      <c r="G47" s="402"/>
      <c r="H47" s="402"/>
      <c r="I47" s="402"/>
      <c r="J47" s="402"/>
      <c r="K47" s="402"/>
      <c r="L47" s="176"/>
      <c r="N47" s="294"/>
    </row>
    <row r="48" spans="2:14" ht="32.4" customHeight="1" x14ac:dyDescent="0.3">
      <c r="B48" s="173"/>
      <c r="C48" s="184"/>
      <c r="D48" s="402" t="s">
        <v>7</v>
      </c>
      <c r="E48" s="402"/>
      <c r="F48" s="402"/>
      <c r="G48" s="402"/>
      <c r="H48" s="402"/>
      <c r="I48" s="402"/>
      <c r="J48" s="402"/>
      <c r="K48" s="402"/>
      <c r="L48" s="176"/>
    </row>
    <row r="49" spans="2:14" ht="33.6" customHeight="1" x14ac:dyDescent="0.3">
      <c r="B49" s="173"/>
      <c r="C49" s="184"/>
      <c r="D49" s="185"/>
      <c r="E49" s="186"/>
      <c r="F49" s="402" t="s">
        <v>259</v>
      </c>
      <c r="G49" s="402"/>
      <c r="H49" s="402"/>
      <c r="I49" s="402"/>
      <c r="J49" s="402"/>
      <c r="K49" s="402"/>
      <c r="L49" s="176"/>
    </row>
    <row r="50" spans="2:14" ht="98.25" customHeight="1" x14ac:dyDescent="0.3">
      <c r="B50" s="173"/>
      <c r="C50" s="184"/>
      <c r="D50" s="185"/>
      <c r="E50" s="367"/>
      <c r="F50" s="405" t="s">
        <v>293</v>
      </c>
      <c r="G50" s="405"/>
      <c r="H50" s="405"/>
      <c r="I50" s="405"/>
      <c r="J50" s="405"/>
      <c r="K50" s="405"/>
      <c r="L50" s="176"/>
    </row>
    <row r="51" spans="2:14" ht="32.25" customHeight="1" x14ac:dyDescent="0.3">
      <c r="B51" s="173"/>
      <c r="C51" s="184"/>
      <c r="D51" s="185"/>
      <c r="E51" s="187"/>
      <c r="F51" s="408" t="s">
        <v>238</v>
      </c>
      <c r="G51" s="408"/>
      <c r="H51" s="408"/>
      <c r="I51" s="408"/>
      <c r="J51" s="408"/>
      <c r="K51" s="408"/>
      <c r="L51" s="176"/>
    </row>
    <row r="52" spans="2:14" ht="92.25" customHeight="1" x14ac:dyDescent="0.3">
      <c r="B52" s="173"/>
      <c r="C52" s="184"/>
      <c r="D52" s="185"/>
      <c r="E52" s="242"/>
      <c r="F52" s="408" t="s">
        <v>8</v>
      </c>
      <c r="G52" s="408"/>
      <c r="H52" s="408"/>
      <c r="I52" s="408"/>
      <c r="J52" s="408"/>
      <c r="K52" s="408"/>
      <c r="L52" s="176"/>
    </row>
    <row r="53" spans="2:14" ht="23.25" customHeight="1" x14ac:dyDescent="0.3">
      <c r="B53" s="173"/>
      <c r="C53" s="184"/>
      <c r="D53" s="185"/>
      <c r="E53" s="197"/>
      <c r="F53" s="408" t="s">
        <v>9</v>
      </c>
      <c r="G53" s="408"/>
      <c r="H53" s="408"/>
      <c r="I53" s="408"/>
      <c r="J53" s="408"/>
      <c r="K53" s="408"/>
      <c r="L53" s="176"/>
    </row>
    <row r="54" spans="2:14" ht="121.5" customHeight="1" x14ac:dyDescent="0.3">
      <c r="B54" s="173"/>
      <c r="C54" s="184"/>
      <c r="D54" s="402" t="s">
        <v>261</v>
      </c>
      <c r="E54" s="402"/>
      <c r="F54" s="402"/>
      <c r="G54" s="402"/>
      <c r="H54" s="402"/>
      <c r="I54" s="402"/>
      <c r="J54" s="402"/>
      <c r="K54" s="402"/>
      <c r="L54" s="176"/>
      <c r="N54" s="293"/>
    </row>
    <row r="55" spans="2:14" x14ac:dyDescent="0.3">
      <c r="B55" s="173"/>
      <c r="C55" s="217"/>
      <c r="D55" s="295"/>
      <c r="E55" s="295"/>
      <c r="F55" s="295"/>
      <c r="G55" s="295"/>
      <c r="H55" s="295"/>
      <c r="I55" s="295"/>
      <c r="J55" s="295"/>
      <c r="K55" s="295"/>
      <c r="L55" s="176"/>
      <c r="N55" s="293"/>
    </row>
    <row r="56" spans="2:14" ht="98.25" customHeight="1" x14ac:dyDescent="0.3">
      <c r="B56" s="173"/>
      <c r="C56" s="402" t="s">
        <v>193</v>
      </c>
      <c r="D56" s="402"/>
      <c r="E56" s="402"/>
      <c r="F56" s="402"/>
      <c r="G56" s="402"/>
      <c r="H56" s="402"/>
      <c r="I56" s="402"/>
      <c r="J56" s="402"/>
      <c r="K56" s="402"/>
      <c r="L56" s="176"/>
      <c r="N56" s="293"/>
    </row>
    <row r="57" spans="2:14" x14ac:dyDescent="0.3">
      <c r="B57" s="173"/>
      <c r="C57" s="217"/>
      <c r="D57" s="295"/>
      <c r="E57" s="295"/>
      <c r="F57" s="295"/>
      <c r="G57" s="295"/>
      <c r="H57" s="295"/>
      <c r="I57" s="295"/>
      <c r="J57" s="295"/>
      <c r="K57" s="295"/>
      <c r="L57" s="176"/>
      <c r="N57" s="293"/>
    </row>
    <row r="58" spans="2:14" ht="48.75" customHeight="1" x14ac:dyDescent="0.3">
      <c r="B58" s="173"/>
      <c r="C58" s="301"/>
      <c r="D58" s="402" t="s">
        <v>287</v>
      </c>
      <c r="E58" s="402"/>
      <c r="F58" s="402"/>
      <c r="G58" s="402"/>
      <c r="H58" s="402"/>
      <c r="I58" s="402"/>
      <c r="J58" s="402"/>
      <c r="K58" s="402"/>
      <c r="L58" s="176"/>
      <c r="N58" s="293"/>
    </row>
    <row r="59" spans="2:14" x14ac:dyDescent="0.3">
      <c r="B59" s="173"/>
      <c r="C59" s="217"/>
      <c r="D59" s="295"/>
      <c r="E59" s="295"/>
      <c r="F59" s="295"/>
      <c r="G59" s="295"/>
      <c r="H59" s="295"/>
      <c r="I59" s="295"/>
      <c r="J59" s="295"/>
      <c r="K59" s="295"/>
      <c r="L59" s="176"/>
      <c r="N59" s="293"/>
    </row>
    <row r="60" spans="2:14" ht="97.5" customHeight="1" x14ac:dyDescent="0.3">
      <c r="B60" s="173"/>
      <c r="C60" s="302"/>
      <c r="D60" s="402" t="s">
        <v>262</v>
      </c>
      <c r="E60" s="402"/>
      <c r="F60" s="402"/>
      <c r="G60" s="402"/>
      <c r="H60" s="402"/>
      <c r="I60" s="402"/>
      <c r="J60" s="402"/>
      <c r="K60" s="402"/>
      <c r="L60" s="176"/>
      <c r="N60" s="293"/>
    </row>
    <row r="61" spans="2:14" x14ac:dyDescent="0.3">
      <c r="B61" s="173"/>
      <c r="C61" s="217"/>
      <c r="D61" s="217"/>
      <c r="E61" s="217"/>
      <c r="F61" s="217"/>
      <c r="G61" s="217"/>
      <c r="H61" s="217"/>
      <c r="I61" s="217"/>
      <c r="J61" s="217"/>
      <c r="K61" s="217"/>
      <c r="L61" s="176"/>
    </row>
    <row r="62" spans="2:14" ht="54" customHeight="1" x14ac:dyDescent="0.3">
      <c r="B62" s="173"/>
      <c r="C62" s="243"/>
      <c r="D62" s="402" t="s">
        <v>263</v>
      </c>
      <c r="E62" s="402"/>
      <c r="F62" s="402"/>
      <c r="G62" s="402"/>
      <c r="H62" s="402"/>
      <c r="I62" s="402"/>
      <c r="J62" s="402"/>
      <c r="K62" s="402"/>
      <c r="L62" s="176"/>
    </row>
    <row r="63" spans="2:14" x14ac:dyDescent="0.3">
      <c r="B63" s="173"/>
      <c r="C63" s="244"/>
      <c r="D63" s="410" t="s">
        <v>186</v>
      </c>
      <c r="E63" s="410"/>
      <c r="F63" s="410"/>
      <c r="G63" s="410"/>
      <c r="H63" s="410"/>
      <c r="I63" s="410"/>
      <c r="J63" s="410"/>
      <c r="K63" s="410"/>
      <c r="L63" s="176"/>
    </row>
    <row r="64" spans="2:14" x14ac:dyDescent="0.3">
      <c r="B64" s="173"/>
      <c r="C64" s="244"/>
      <c r="D64" s="411" t="s">
        <v>10</v>
      </c>
      <c r="E64" s="411"/>
      <c r="F64" s="411"/>
      <c r="G64" s="411"/>
      <c r="H64" s="411"/>
      <c r="I64" s="411"/>
      <c r="J64" s="411"/>
      <c r="K64" s="411"/>
      <c r="L64" s="176"/>
    </row>
    <row r="65" spans="2:14" x14ac:dyDescent="0.3">
      <c r="B65" s="173"/>
      <c r="C65" s="244"/>
      <c r="D65" s="411" t="s">
        <v>11</v>
      </c>
      <c r="E65" s="411"/>
      <c r="F65" s="411"/>
      <c r="G65" s="411"/>
      <c r="H65" s="411"/>
      <c r="I65" s="411"/>
      <c r="J65" s="411"/>
      <c r="K65" s="411"/>
      <c r="L65" s="176"/>
    </row>
    <row r="66" spans="2:14" x14ac:dyDescent="0.3">
      <c r="B66" s="173"/>
      <c r="C66" s="244"/>
      <c r="D66" s="411" t="s">
        <v>12</v>
      </c>
      <c r="E66" s="411"/>
      <c r="F66" s="411"/>
      <c r="G66" s="411"/>
      <c r="H66" s="411"/>
      <c r="I66" s="411"/>
      <c r="J66" s="411"/>
      <c r="K66" s="411"/>
      <c r="L66" s="176"/>
    </row>
    <row r="67" spans="2:14" x14ac:dyDescent="0.3">
      <c r="B67" s="173"/>
      <c r="C67" s="244"/>
      <c r="D67" s="297"/>
      <c r="E67" s="297"/>
      <c r="F67" s="297"/>
      <c r="G67" s="297"/>
      <c r="H67" s="297"/>
      <c r="I67" s="297"/>
      <c r="J67" s="297"/>
      <c r="K67" s="297"/>
      <c r="L67" s="176"/>
    </row>
    <row r="68" spans="2:14" ht="33.75" customHeight="1" x14ac:dyDescent="0.3">
      <c r="B68" s="173"/>
      <c r="C68" s="244"/>
      <c r="D68" s="402" t="s">
        <v>192</v>
      </c>
      <c r="E68" s="412"/>
      <c r="F68" s="412"/>
      <c r="G68" s="412"/>
      <c r="H68" s="412"/>
      <c r="I68" s="412"/>
      <c r="J68" s="412"/>
      <c r="K68" s="412"/>
      <c r="L68" s="176"/>
      <c r="N68" s="195"/>
    </row>
    <row r="69" spans="2:14" x14ac:dyDescent="0.3">
      <c r="B69" s="173"/>
      <c r="C69" s="217"/>
      <c r="D69" s="296"/>
      <c r="E69" s="296"/>
      <c r="F69" s="296"/>
      <c r="G69" s="296"/>
      <c r="H69" s="296"/>
      <c r="I69" s="296"/>
      <c r="J69" s="296"/>
      <c r="K69" s="296"/>
      <c r="L69" s="176"/>
    </row>
    <row r="70" spans="2:14" ht="52.5" customHeight="1" x14ac:dyDescent="0.3">
      <c r="B70" s="173"/>
      <c r="C70" s="305"/>
      <c r="D70" s="402" t="s">
        <v>195</v>
      </c>
      <c r="E70" s="402"/>
      <c r="F70" s="402"/>
      <c r="G70" s="402"/>
      <c r="H70" s="402"/>
      <c r="I70" s="402"/>
      <c r="J70" s="402"/>
      <c r="K70" s="402"/>
      <c r="L70" s="176"/>
    </row>
    <row r="71" spans="2:14" x14ac:dyDescent="0.3">
      <c r="B71" s="173"/>
      <c r="C71" s="217"/>
      <c r="D71" s="193"/>
      <c r="E71" s="193"/>
      <c r="F71" s="193"/>
      <c r="G71" s="193"/>
      <c r="H71" s="193"/>
      <c r="I71" s="193"/>
      <c r="J71" s="193"/>
      <c r="K71" s="193"/>
      <c r="L71" s="176"/>
    </row>
    <row r="72" spans="2:14" ht="46.2" customHeight="1" x14ac:dyDescent="0.3">
      <c r="B72" s="173"/>
      <c r="C72" s="409" t="s">
        <v>194</v>
      </c>
      <c r="D72" s="409"/>
      <c r="E72" s="409"/>
      <c r="F72" s="409"/>
      <c r="G72" s="409"/>
      <c r="H72" s="409"/>
      <c r="I72" s="409"/>
      <c r="J72" s="409"/>
      <c r="K72" s="409"/>
      <c r="L72" s="176"/>
    </row>
    <row r="73" spans="2:14" ht="38.25" customHeight="1" x14ac:dyDescent="0.3">
      <c r="B73" s="173"/>
      <c r="C73" s="217"/>
      <c r="D73" s="186"/>
      <c r="E73" s="405" t="s">
        <v>170</v>
      </c>
      <c r="F73" s="405"/>
      <c r="G73" s="405"/>
      <c r="H73" s="405"/>
      <c r="I73" s="405"/>
      <c r="J73" s="405"/>
      <c r="K73" s="405"/>
      <c r="L73" s="176"/>
      <c r="N73" s="267"/>
    </row>
    <row r="74" spans="2:14" ht="45.6" customHeight="1" x14ac:dyDescent="0.3">
      <c r="B74" s="173"/>
      <c r="C74" s="217"/>
      <c r="D74" s="188"/>
      <c r="E74" s="405" t="s">
        <v>179</v>
      </c>
      <c r="F74" s="405"/>
      <c r="G74" s="405"/>
      <c r="H74" s="405"/>
      <c r="I74" s="405"/>
      <c r="J74" s="405"/>
      <c r="K74" s="405"/>
      <c r="L74" s="176"/>
      <c r="N74" s="294"/>
    </row>
    <row r="75" spans="2:14" ht="45" customHeight="1" x14ac:dyDescent="0.3">
      <c r="B75" s="173"/>
      <c r="C75" s="217"/>
      <c r="D75" s="189"/>
      <c r="E75" s="405" t="s">
        <v>161</v>
      </c>
      <c r="F75" s="405"/>
      <c r="G75" s="405"/>
      <c r="H75" s="405"/>
      <c r="I75" s="405"/>
      <c r="J75" s="405"/>
      <c r="K75" s="405"/>
      <c r="L75" s="176"/>
    </row>
    <row r="76" spans="2:14" x14ac:dyDescent="0.3">
      <c r="B76" s="173"/>
      <c r="C76" s="217"/>
      <c r="D76" s="296"/>
      <c r="E76" s="190"/>
      <c r="F76" s="295"/>
      <c r="G76" s="295"/>
      <c r="H76" s="295"/>
      <c r="I76" s="295"/>
      <c r="J76" s="295"/>
      <c r="K76" s="295"/>
      <c r="L76" s="176"/>
    </row>
    <row r="77" spans="2:14" ht="48" customHeight="1" x14ac:dyDescent="0.3">
      <c r="B77" s="173"/>
      <c r="C77" s="217"/>
      <c r="D77" s="402" t="s">
        <v>13</v>
      </c>
      <c r="E77" s="402"/>
      <c r="F77" s="402"/>
      <c r="G77" s="402"/>
      <c r="H77" s="402"/>
      <c r="I77" s="402"/>
      <c r="J77" s="402"/>
      <c r="K77" s="402"/>
      <c r="L77" s="176"/>
    </row>
    <row r="78" spans="2:14" ht="33" customHeight="1" thickBot="1" x14ac:dyDescent="0.35">
      <c r="B78" s="173"/>
      <c r="C78" s="217"/>
      <c r="D78" s="191"/>
      <c r="E78" s="405" t="s">
        <v>163</v>
      </c>
      <c r="F78" s="405"/>
      <c r="G78" s="405"/>
      <c r="H78" s="405"/>
      <c r="I78" s="405"/>
      <c r="J78" s="405"/>
      <c r="K78" s="405"/>
      <c r="L78" s="176"/>
    </row>
    <row r="79" spans="2:14" ht="33" customHeight="1" thickBot="1" x14ac:dyDescent="0.35">
      <c r="B79" s="173"/>
      <c r="C79" s="217"/>
      <c r="D79" s="192"/>
      <c r="E79" s="406" t="s">
        <v>162</v>
      </c>
      <c r="F79" s="405"/>
      <c r="G79" s="405"/>
      <c r="H79" s="405"/>
      <c r="I79" s="405"/>
      <c r="J79" s="405"/>
      <c r="K79" s="405"/>
      <c r="L79" s="176"/>
    </row>
    <row r="80" spans="2:14" x14ac:dyDescent="0.3">
      <c r="B80" s="173"/>
      <c r="C80" s="217"/>
      <c r="D80" s="296"/>
      <c r="E80" s="296"/>
      <c r="F80" s="296"/>
      <c r="G80" s="296"/>
      <c r="H80" s="296"/>
      <c r="I80" s="296"/>
      <c r="J80" s="296"/>
      <c r="K80" s="296"/>
      <c r="L80" s="176"/>
    </row>
    <row r="81" spans="2:14" ht="17.399999999999999" customHeight="1" x14ac:dyDescent="0.3">
      <c r="B81" s="173"/>
      <c r="C81" s="404" t="s">
        <v>14</v>
      </c>
      <c r="D81" s="404"/>
      <c r="E81" s="404"/>
      <c r="F81" s="404"/>
      <c r="G81" s="404"/>
      <c r="H81" s="404"/>
      <c r="I81" s="404"/>
      <c r="J81" s="404"/>
      <c r="K81" s="404"/>
      <c r="L81" s="176"/>
    </row>
    <row r="82" spans="2:14" ht="90" customHeight="1" x14ac:dyDescent="0.3">
      <c r="B82" s="173"/>
      <c r="C82" s="402" t="s">
        <v>264</v>
      </c>
      <c r="D82" s="402"/>
      <c r="E82" s="402"/>
      <c r="F82" s="402"/>
      <c r="G82" s="402"/>
      <c r="H82" s="402"/>
      <c r="I82" s="402"/>
      <c r="J82" s="402"/>
      <c r="K82" s="402"/>
      <c r="L82" s="176"/>
      <c r="N82" s="268"/>
    </row>
    <row r="83" spans="2:14" ht="15" customHeight="1" x14ac:dyDescent="0.3">
      <c r="B83" s="173"/>
      <c r="C83" s="358"/>
      <c r="D83" s="358"/>
      <c r="E83" s="358"/>
      <c r="F83" s="358"/>
      <c r="G83" s="358"/>
      <c r="H83" s="358"/>
      <c r="I83" s="358"/>
      <c r="J83" s="358"/>
      <c r="K83" s="358"/>
      <c r="L83" s="176"/>
      <c r="N83" s="268"/>
    </row>
    <row r="84" spans="2:14" ht="165" customHeight="1" x14ac:dyDescent="0.3">
      <c r="B84" s="173"/>
      <c r="C84" s="360"/>
      <c r="D84" s="402" t="s">
        <v>277</v>
      </c>
      <c r="E84" s="402"/>
      <c r="F84" s="402"/>
      <c r="G84" s="402"/>
      <c r="H84" s="402"/>
      <c r="I84" s="402"/>
      <c r="J84" s="402"/>
      <c r="K84" s="402"/>
      <c r="L84" s="176"/>
      <c r="N84" s="268"/>
    </row>
    <row r="85" spans="2:14" x14ac:dyDescent="0.3">
      <c r="B85" s="179"/>
      <c r="C85" s="403"/>
      <c r="D85" s="403"/>
      <c r="E85" s="403"/>
      <c r="F85" s="403"/>
      <c r="G85" s="403"/>
      <c r="H85" s="403"/>
      <c r="I85" s="403"/>
      <c r="J85" s="403"/>
      <c r="K85" s="403"/>
      <c r="L85" s="181"/>
    </row>
    <row r="87" spans="2:14" x14ac:dyDescent="0.3">
      <c r="C87" s="303"/>
    </row>
  </sheetData>
  <mergeCells count="46">
    <mergeCell ref="F37:K37"/>
    <mergeCell ref="D38:L38"/>
    <mergeCell ref="F50:K50"/>
    <mergeCell ref="D40:K40"/>
    <mergeCell ref="D33:K33"/>
    <mergeCell ref="F34:K34"/>
    <mergeCell ref="F35:K36"/>
    <mergeCell ref="D39:K39"/>
    <mergeCell ref="D47:K47"/>
    <mergeCell ref="D48:K48"/>
    <mergeCell ref="F49:K49"/>
    <mergeCell ref="F53:K53"/>
    <mergeCell ref="F52:K52"/>
    <mergeCell ref="C72:K72"/>
    <mergeCell ref="E73:K73"/>
    <mergeCell ref="E74:K74"/>
    <mergeCell ref="D54:K54"/>
    <mergeCell ref="D62:K62"/>
    <mergeCell ref="D63:K63"/>
    <mergeCell ref="D64:K64"/>
    <mergeCell ref="D65:K65"/>
    <mergeCell ref="D66:K66"/>
    <mergeCell ref="D68:K68"/>
    <mergeCell ref="C56:K56"/>
    <mergeCell ref="D58:K58"/>
    <mergeCell ref="D60:K60"/>
    <mergeCell ref="F51:K51"/>
    <mergeCell ref="D44:K44"/>
    <mergeCell ref="D43:K43"/>
    <mergeCell ref="D41:K41"/>
    <mergeCell ref="D42:K42"/>
    <mergeCell ref="D45:K45"/>
    <mergeCell ref="C18:K20"/>
    <mergeCell ref="C22:K25"/>
    <mergeCell ref="C27:K27"/>
    <mergeCell ref="C29:K29"/>
    <mergeCell ref="C31:K31"/>
    <mergeCell ref="C82:K82"/>
    <mergeCell ref="C85:K85"/>
    <mergeCell ref="D77:K77"/>
    <mergeCell ref="D70:K70"/>
    <mergeCell ref="C81:K81"/>
    <mergeCell ref="E75:K75"/>
    <mergeCell ref="E78:K78"/>
    <mergeCell ref="E79:K79"/>
    <mergeCell ref="D84:K84"/>
  </mergeCells>
  <hyperlinks>
    <hyperlink ref="G8"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14999847407452621"/>
  </sheetPr>
  <dimension ref="A2:V82"/>
  <sheetViews>
    <sheetView tabSelected="1" topLeftCell="A11" zoomScale="80" zoomScaleNormal="80" workbookViewId="0">
      <selection activeCell="K30" sqref="K30"/>
    </sheetView>
  </sheetViews>
  <sheetFormatPr defaultColWidth="8.6640625" defaultRowHeight="13.2" x14ac:dyDescent="0.25"/>
  <cols>
    <col min="1" max="3" width="8.6640625" style="5"/>
    <col min="4" max="4" width="11.44140625" style="5" customWidth="1"/>
    <col min="5" max="5" width="38.33203125" style="5" customWidth="1"/>
    <col min="6" max="6" width="16.44140625" style="5" customWidth="1"/>
    <col min="7" max="7" width="22.109375" style="5" customWidth="1"/>
    <col min="8" max="8" width="21.109375" style="5" customWidth="1"/>
    <col min="9" max="9" width="18.5546875" style="5" customWidth="1"/>
    <col min="10" max="10" width="19" style="5" customWidth="1"/>
    <col min="11" max="11" width="16.33203125" style="5" customWidth="1"/>
    <col min="12" max="12" width="20.5546875" style="5" customWidth="1"/>
    <col min="13" max="13" width="20.109375" style="5" customWidth="1"/>
    <col min="14" max="14" width="18.5546875" style="5" customWidth="1"/>
    <col min="15" max="15" width="18.109375" style="5" customWidth="1"/>
    <col min="16" max="16" width="24.6640625" style="5" customWidth="1"/>
    <col min="17" max="17" width="21.44140625" style="5" customWidth="1"/>
    <col min="18" max="20" width="8.6640625" style="5"/>
    <col min="21" max="21" width="8.6640625" style="108"/>
    <col min="22" max="22" width="8.6640625" style="399"/>
    <col min="23" max="16384" width="8.6640625" style="5"/>
  </cols>
  <sheetData>
    <row r="2" spans="1:22" x14ac:dyDescent="0.25">
      <c r="U2" s="108">
        <v>4</v>
      </c>
      <c r="V2" s="399">
        <v>0</v>
      </c>
    </row>
    <row r="3" spans="1:22" ht="12.75" customHeight="1" x14ac:dyDescent="0.25">
      <c r="D3" s="417" t="s">
        <v>164</v>
      </c>
      <c r="E3" s="418"/>
      <c r="F3" s="419"/>
      <c r="H3" s="444" t="str">
        <f ca="1">IF(OR(AND($G$12="ok",$G$13="ok",$G$14="ok",$G$15="ok",$H$12="ok",$I$12="ok",$L$12&lt;&gt;"Not met"),
AND($I$12="ok",$J$12="ok",$J$13="ok",$J$14="ok",$J$15="ok",$L$12&lt;&gt;"Not met")),
"OK"&amp;CHAR(10)&amp;"adjustment"&amp;CHAR(10)&amp;"complies with all requirements",
"NOT OK"&amp;CHAR(10)&amp;"adjustment does not"&amp;CHAR(10)&amp;"comply with all requirements")</f>
        <v>OK
adjustment
complies with all requirements</v>
      </c>
      <c r="I3" s="444"/>
      <c r="U3" s="108">
        <v>7</v>
      </c>
      <c r="V3" s="399">
        <v>0.02</v>
      </c>
    </row>
    <row r="4" spans="1:22" ht="13.8" thickBot="1" x14ac:dyDescent="0.3">
      <c r="D4" s="216" t="s">
        <v>15</v>
      </c>
      <c r="E4" s="18"/>
      <c r="F4" s="40" t="s">
        <v>160</v>
      </c>
      <c r="H4" s="444"/>
      <c r="I4" s="444"/>
      <c r="V4" s="399">
        <v>0.04</v>
      </c>
    </row>
    <row r="5" spans="1:22" ht="13.8" thickTop="1" x14ac:dyDescent="0.25">
      <c r="D5" s="215" t="s">
        <v>270</v>
      </c>
      <c r="F5" s="166">
        <v>4</v>
      </c>
      <c r="H5" s="444"/>
      <c r="I5" s="444"/>
      <c r="V5" s="399">
        <v>0.06</v>
      </c>
    </row>
    <row r="6" spans="1:22" ht="13.8" thickBot="1" x14ac:dyDescent="0.3">
      <c r="D6" s="247" t="s">
        <v>16</v>
      </c>
      <c r="E6" s="248"/>
      <c r="F6" s="167">
        <v>0.98</v>
      </c>
      <c r="H6" s="444"/>
      <c r="I6" s="444"/>
      <c r="V6" s="399">
        <v>0.08</v>
      </c>
    </row>
    <row r="7" spans="1:22" ht="13.8" thickTop="1" x14ac:dyDescent="0.25">
      <c r="D7" s="250"/>
      <c r="F7" s="266"/>
      <c r="V7" s="399">
        <v>0.1</v>
      </c>
    </row>
    <row r="8" spans="1:22" x14ac:dyDescent="0.25">
      <c r="D8" s="16"/>
      <c r="F8" s="17"/>
      <c r="V8" s="399">
        <v>0.12</v>
      </c>
    </row>
    <row r="9" spans="1:22" ht="18.75" customHeight="1" x14ac:dyDescent="0.25">
      <c r="D9" s="16"/>
      <c r="F9" s="17"/>
      <c r="G9" s="435" t="s">
        <v>165</v>
      </c>
      <c r="H9" s="436"/>
      <c r="I9" s="436"/>
      <c r="J9" s="437"/>
      <c r="L9" s="441" t="s">
        <v>166</v>
      </c>
      <c r="M9" s="442"/>
      <c r="N9" s="442"/>
      <c r="O9" s="442"/>
      <c r="P9" s="442"/>
      <c r="Q9" s="443"/>
      <c r="V9" s="399">
        <v>0.14000000000000001</v>
      </c>
    </row>
    <row r="10" spans="1:22" ht="18.75" customHeight="1" x14ac:dyDescent="0.25">
      <c r="A10" s="283"/>
      <c r="F10" s="272"/>
      <c r="G10" s="438"/>
      <c r="H10" s="439"/>
      <c r="I10" s="439"/>
      <c r="J10" s="440"/>
      <c r="L10" s="423" t="s">
        <v>190</v>
      </c>
      <c r="M10" s="426"/>
      <c r="N10" s="427" t="s">
        <v>191</v>
      </c>
      <c r="O10" s="428"/>
      <c r="P10" s="423" t="s">
        <v>17</v>
      </c>
      <c r="Q10" s="424"/>
      <c r="V10" s="399">
        <v>0.16</v>
      </c>
    </row>
    <row r="11" spans="1:22" ht="107.25" customHeight="1" x14ac:dyDescent="0.25">
      <c r="A11" s="359"/>
      <c r="D11" s="212"/>
      <c r="E11" s="212"/>
      <c r="F11" s="213" t="s">
        <v>199</v>
      </c>
      <c r="G11" s="42" t="s">
        <v>18</v>
      </c>
      <c r="H11" s="218" t="s">
        <v>19</v>
      </c>
      <c r="I11" s="41" t="s">
        <v>20</v>
      </c>
      <c r="J11" s="91" t="str">
        <f>"Debt below 60% of GDP in T+"&amp;10+F5&amp;" **"</f>
        <v>Debt below 60% of GDP in T+14 **</v>
      </c>
      <c r="L11" s="91" t="s">
        <v>188</v>
      </c>
      <c r="M11" s="225" t="s">
        <v>189</v>
      </c>
      <c r="N11" s="371" t="s">
        <v>21</v>
      </c>
      <c r="O11" s="372" t="s">
        <v>22</v>
      </c>
      <c r="P11" s="261" t="s">
        <v>23</v>
      </c>
      <c r="Q11" s="91" t="s">
        <v>24</v>
      </c>
      <c r="V11" s="399">
        <v>0.18</v>
      </c>
    </row>
    <row r="12" spans="1:22" x14ac:dyDescent="0.25">
      <c r="D12" s="14" t="s">
        <v>25</v>
      </c>
      <c r="G12" s="10" t="str">
        <f ca="1">IF(OR('Adjust. no safeguard'!F57&gt;60,'Adjust. no safeguard'!F77&lt;-3),IF(SUM(OFFSET('Adjust. no safeguard'!$F$83,0,$F$5+1,1,10))=0,"ok","Not met"),"")</f>
        <v>ok</v>
      </c>
      <c r="H12" s="219" t="str">
        <f>IF(OR('Adjust. no safeguard'!F57&gt;60,'Adjust. no safeguard'!F77&lt;-3),IF($F$5=4,IF(Stochastic!$O$17&lt;Stochastic!$J$17,"ok","Not met"),IF(Stochastic!$R$17&lt;Stochastic!$M$17,"ok","Not met")),"")</f>
        <v>ok</v>
      </c>
      <c r="I12" s="8" t="str">
        <f ca="1">IF(MIN(OFFSET('Adjust. no safeguard'!$F$77,0,$F$5,1,11))&gt;-3.05,"ok","Not met")</f>
        <v>ok</v>
      </c>
      <c r="J12" s="12" t="str">
        <f ca="1">IF(OFFSET('Adjust. no safeguard'!$F$57,0,$F$5+10,1,1)&lt;60,"ok","Not met")</f>
        <v>ok</v>
      </c>
      <c r="L12" s="432" t="str">
        <f ca="1">_xlfn.LET(_xlpm.debtChange,OFFSET('Adjustment scenario'!F58,0,1,1,$F$5),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IFERROR(IF(AND(MAX(_xlpm.debt90)=0,MAX(_xlpm.debt6090)=1),IF(AVERAGEIFS(_xlpm.debtChange,_xlpm.debt6090,1,_xlpm.EDP,0)&lt;-0.5,"ok","Not met"),
IF(AND(MAX(_xlpm.debt90)=1,MAX(_xlpm.debt6090)=0),IF(AVERAGEIFS(_xlpm.debtChange,_xlpm.EDP,0)&lt;-1,"ok","Not met"),
IF(AND(MAX(_xlpm.debt90)=1,MAX(_xlpm.debt6090)=1),IF(AND(AVERAGEIFS(_xlpm.debtChange,_xlpm.debt90,1,_xlpm.EDP,0)&lt;-1,AVERAGEIFS(_xlpm.debtChange,_xlpm.debt6090,1,_xlpm.EDP,0)&lt;-0.5),"ok","Not met")))),
"Not applicable, debt below 60% of GDP by EDP correction"))))</f>
        <v>ok</v>
      </c>
      <c r="M12" s="472">
        <f ca="1">_xlfn.LET(_xlpm.debtChange,OFFSET('Adjustment scenario'!F58,0,1,1,$F$5),
_xlpm.debt60,OFFSET('Adjustment scenario'!F86,0,1,1,$F$5),
_xlpm.debt6090,OFFSET('Adjustment scenario'!F85,0,1,1,$F$5),
_xlpm.debt90,OFFSET('Adjustment scenario'!F84,0,1,1,$F$5),
_xlpm.EDP,OFFSET('Adjustment scenario'!F87,0,1,1,$F$5),
IF(AND(MAX(_xlpm.debt90)=0,MAX(_xlpm.debt6090)=0),"Debt below 60% of GDP over the adjustment period",
IF(MIN(_xlpm.EDP)=1,"Not applicable, reference year is the last year of adjustment",
IFERROR(IF(AND(MAX(_xlpm.debt90)=0,MAX(_xlpm.debt6090)=1),AVERAGEIFS(_xlpm.debtChange,_xlpm.debt60,1,_xlpm.EDP,0),
IF(AND(MAX(_xlpm.debt90)=1,MAX(_xlpm.debt6090)=0),AVERAGEIFS(_xlpm.debtChange,_xlpm.EDP,0),
IF(AND(MAX(_xlpm.debt90)=1,MAX(_xlpm.debt6090)=1),AVERAGEIFS(_xlpm.debtChange,_xlpm.debt60,1,_xlpm.EDP,0)))),
"Not applicable, debt below 60% of GDP by EDP correction"))))</f>
        <v>-0.52444068261521148</v>
      </c>
      <c r="N12" s="429" t="str">
        <f>IF(AND(O12=0,F6&lt;0.5),"not relevant","ok")</f>
        <v>ok</v>
      </c>
      <c r="O12" s="469">
        <f>IF(AND('Input data'!$F$17=1,F6&lt;0.5),COUNTIFS('Adjustment scenario'!F77:H77,"&lt;="&amp;-3.05),0)+IF(AND(F5=4,J19&gt;0.4,J19&gt;F6),1,COUNTIFS(J19:M19,"&gt;" &amp; F6,J19:M19,"&gt;"&amp;0.4))</f>
        <v>0</v>
      </c>
      <c r="P12" s="432" t="str">
        <f>IF(OR(AND(F5=4,Q12=0,F6&lt;0.4),AND(F5=7,Q12=0,F6&lt;0.25)),"not relevant, 
(over the adjustment horizon)","ok")</f>
        <v>ok</v>
      </c>
      <c r="Q12" s="420">
        <f>IF(AND('Criteria results'!$F$5=4,'Criteria results'!$F$6&lt;=0.4),COUNTIFS('Adjustment scenario'!G13:J13,0.4,'Adjustment scenario'!F88:I88,0),IF(AND('Criteria results'!$F$5=7,'Criteria results'!$F$6&lt;=0.25),COUNTIFS('Adjustment scenario'!G13:M13,0.25,'Adjustment scenario'!F88:L88,0),0))</f>
        <v>0</v>
      </c>
      <c r="V12" s="399">
        <v>0.2</v>
      </c>
    </row>
    <row r="13" spans="1:22" x14ac:dyDescent="0.25">
      <c r="D13" s="14" t="s">
        <v>26</v>
      </c>
      <c r="G13" s="10" t="str">
        <f ca="1">IF(OR('Adjustment scenario'!F57&gt;60,'Adjustment scenario'!F77&lt;-3),IF(SUM(OFFSET('Financial stress'!$F$75,0,$F$5+1,1,10))=0,"ok","Not met"),"")</f>
        <v>ok</v>
      </c>
      <c r="H13" s="219"/>
      <c r="I13" s="8"/>
      <c r="J13" s="12" t="str">
        <f ca="1">IF(OR('Adjustment scenario'!F57&gt;60,'Adjustment scenario'!F77&lt;-3),IF(OFFSET('Financial stress'!$F$56,0,$F$5+10,1,1)&lt;60,"ok","Not met"),"")</f>
        <v>ok</v>
      </c>
      <c r="L13" s="433"/>
      <c r="M13" s="473"/>
      <c r="N13" s="430"/>
      <c r="O13" s="470"/>
      <c r="P13" s="433"/>
      <c r="Q13" s="421"/>
      <c r="V13" s="399">
        <v>0.22</v>
      </c>
    </row>
    <row r="14" spans="1:22" x14ac:dyDescent="0.25">
      <c r="D14" s="14" t="s">
        <v>27</v>
      </c>
      <c r="G14" s="10" t="str">
        <f ca="1">IF(OR('Adjustment scenario'!F57&gt;60,'Adjustment scenario'!F77&lt;-3),IF(SUM(OFFSET('Lower SPB'!$F$75,0,$F$5+1,1,10))=0,"ok","Not met"),"")</f>
        <v>ok</v>
      </c>
      <c r="H14" s="219"/>
      <c r="I14" s="8"/>
      <c r="J14" s="12" t="str">
        <f ca="1">IF(OR('Adjustment scenario'!F57&gt;60,'Adjustment scenario'!F77&lt;-3),IF(OFFSET('Lower SPB'!$F$56,0,$F$5+10,1,1)&lt;60,"ok","Not met"),"")</f>
        <v>ok</v>
      </c>
      <c r="L14" s="433"/>
      <c r="M14" s="473"/>
      <c r="N14" s="430"/>
      <c r="O14" s="470"/>
      <c r="P14" s="433"/>
      <c r="Q14" s="421"/>
      <c r="V14" s="399">
        <v>0.24</v>
      </c>
    </row>
    <row r="15" spans="1:22" x14ac:dyDescent="0.25">
      <c r="D15" s="15" t="s">
        <v>28</v>
      </c>
      <c r="E15" s="6"/>
      <c r="F15" s="6"/>
      <c r="G15" s="11" t="str">
        <f ca="1">IF(OR('Adjustment scenario'!F57&gt;60,'Adjustment scenario'!F77&lt;-3),IF(SUM(OFFSET('Adverse (r-g)'!$F$76,0,$F$5+1,1,10))=0,"ok","Not met"),"")</f>
        <v>ok</v>
      </c>
      <c r="H15" s="220"/>
      <c r="I15" s="9"/>
      <c r="J15" s="13" t="str">
        <f ca="1">IF(OR('Adjustment scenario'!F57&gt;60,'Adjustment scenario'!F77&lt;-3),IF(OFFSET('Adverse (r-g)'!$F$57,0,$F$5+10,1,1)&lt;60,"ok","Not met"),"")</f>
        <v>ok</v>
      </c>
      <c r="L15" s="434"/>
      <c r="M15" s="474"/>
      <c r="N15" s="431"/>
      <c r="O15" s="471"/>
      <c r="P15" s="434"/>
      <c r="Q15" s="422"/>
      <c r="V15" s="399">
        <v>0.26</v>
      </c>
    </row>
    <row r="16" spans="1:22" ht="102" customHeight="1" x14ac:dyDescent="0.25">
      <c r="D16" s="475" t="s">
        <v>278</v>
      </c>
      <c r="E16" s="475"/>
      <c r="F16" s="475"/>
      <c r="G16" s="475"/>
      <c r="H16" s="475"/>
      <c r="I16" s="475"/>
      <c r="J16" s="475"/>
      <c r="L16" s="425" t="s">
        <v>200</v>
      </c>
      <c r="M16" s="425"/>
      <c r="N16" s="425"/>
      <c r="O16" s="425"/>
      <c r="P16" s="425"/>
      <c r="Q16" s="425"/>
      <c r="V16" s="399">
        <v>0.28000000000000003</v>
      </c>
    </row>
    <row r="17" spans="4:22" ht="15.75" customHeight="1" x14ac:dyDescent="0.25">
      <c r="D17" s="226"/>
      <c r="E17" s="226"/>
      <c r="F17" s="226"/>
      <c r="G17" s="476" t="s">
        <v>169</v>
      </c>
      <c r="H17" s="477"/>
      <c r="I17" s="477"/>
      <c r="J17" s="478"/>
      <c r="K17" s="245"/>
      <c r="L17" s="245"/>
      <c r="M17" s="245"/>
      <c r="N17" s="245"/>
      <c r="O17" s="245"/>
      <c r="P17" s="232"/>
      <c r="V17" s="399">
        <v>0.3</v>
      </c>
    </row>
    <row r="18" spans="4:22" ht="13.5" customHeight="1" x14ac:dyDescent="0.25">
      <c r="D18" s="226"/>
      <c r="E18" s="227"/>
      <c r="F18" s="233"/>
      <c r="G18" s="228">
        <v>2025</v>
      </c>
      <c r="H18" s="229">
        <v>2026</v>
      </c>
      <c r="I18" s="229">
        <v>2027</v>
      </c>
      <c r="J18" s="229">
        <v>2028</v>
      </c>
      <c r="K18" s="229">
        <v>2029</v>
      </c>
      <c r="L18" s="229">
        <v>2030</v>
      </c>
      <c r="M18" s="246">
        <v>2031</v>
      </c>
      <c r="N18" s="234"/>
      <c r="P18" s="234"/>
      <c r="V18" s="399">
        <v>0.32</v>
      </c>
    </row>
    <row r="19" spans="4:22" ht="15" customHeight="1" x14ac:dyDescent="0.25">
      <c r="D19" s="479" t="s">
        <v>29</v>
      </c>
      <c r="E19" s="480"/>
      <c r="F19" s="481"/>
      <c r="G19" s="231">
        <f>'Adjustment scenario'!G12-'Adjustment scenario'!F12</f>
        <v>0.98</v>
      </c>
      <c r="H19" s="238">
        <f>'Adjustment scenario'!H12-'Adjustment scenario'!G12</f>
        <v>0.98</v>
      </c>
      <c r="I19" s="238">
        <f>'Adjustment scenario'!I12-'Adjustment scenario'!H12</f>
        <v>0.98</v>
      </c>
      <c r="J19" s="238">
        <f>'Adjustment scenario'!J12-'Adjustment scenario'!I12</f>
        <v>0.98</v>
      </c>
      <c r="K19" s="238">
        <f>'Adjustment scenario'!K12-'Adjustment scenario'!J12</f>
        <v>0</v>
      </c>
      <c r="L19" s="238">
        <f>'Adjustment scenario'!L12-'Adjustment scenario'!K12</f>
        <v>0</v>
      </c>
      <c r="M19" s="239">
        <f>'Adjustment scenario'!M12-'Adjustment scenario'!L12</f>
        <v>0</v>
      </c>
      <c r="N19" s="231"/>
      <c r="P19" s="231"/>
      <c r="V19" s="399">
        <v>0.34</v>
      </c>
    </row>
    <row r="20" spans="4:22" ht="15" customHeight="1" x14ac:dyDescent="0.25">
      <c r="D20" s="461" t="s">
        <v>30</v>
      </c>
      <c r="E20" s="462"/>
      <c r="F20" s="463"/>
      <c r="G20" s="236">
        <f>'Adjustment scenario'!G79</f>
        <v>1.1375734655168435</v>
      </c>
      <c r="H20" s="237">
        <f>'Adjustment scenario'!H79</f>
        <v>0.84178076551684322</v>
      </c>
      <c r="I20" s="237">
        <f>'Adjustment scenario'!I79</f>
        <v>1.1492923905168433</v>
      </c>
      <c r="J20" s="237">
        <f>'Adjustment scenario'!J79</f>
        <v>1.134393115516843</v>
      </c>
      <c r="K20" s="237">
        <f>'Adjustment scenario'!K79</f>
        <v>3.0800088749999999</v>
      </c>
      <c r="L20" s="237">
        <f>'Adjustment scenario'!L79</f>
        <v>3.2288854999999996</v>
      </c>
      <c r="M20" s="240">
        <f>'Adjustment scenario'!M79</f>
        <v>3.2983541250000004</v>
      </c>
      <c r="N20" s="255"/>
      <c r="P20" s="231"/>
      <c r="V20" s="399">
        <v>0.36</v>
      </c>
    </row>
    <row r="21" spans="4:22" ht="15" customHeight="1" x14ac:dyDescent="0.25">
      <c r="D21" s="282" t="s">
        <v>41</v>
      </c>
      <c r="E21" s="273"/>
      <c r="F21" s="274"/>
      <c r="G21" s="278">
        <f>'Adjustment scenario'!G77</f>
        <v>-3.0043645179910756</v>
      </c>
      <c r="H21" s="279">
        <f>'Adjustment scenario'!H77</f>
        <v>-1.9557163380106286</v>
      </c>
      <c r="I21" s="279">
        <f>'Adjustment scenario'!I77</f>
        <v>-1.1228680689361459</v>
      </c>
      <c r="J21" s="279">
        <f>'Adjustment scenario'!J77</f>
        <v>-0.24046993882586598</v>
      </c>
      <c r="K21" s="279">
        <f>'Adjustment scenario'!K77</f>
        <v>3.0716137670885324E-2</v>
      </c>
      <c r="L21" s="279">
        <f>'Adjustment scenario'!L77</f>
        <v>0.31041978038643636</v>
      </c>
      <c r="M21" s="280">
        <f>'Adjustment scenario'!M77</f>
        <v>0.60498470183076436</v>
      </c>
      <c r="N21" s="255"/>
      <c r="P21" s="231"/>
      <c r="V21" s="399">
        <v>0.38</v>
      </c>
    </row>
    <row r="22" spans="4:22" ht="15" customHeight="1" x14ac:dyDescent="0.25">
      <c r="D22" s="282" t="s">
        <v>42</v>
      </c>
      <c r="E22" s="273"/>
      <c r="F22" s="274"/>
      <c r="G22" s="275">
        <f>'Adjustment scenario'!G78</f>
        <v>-1.8583778336494259</v>
      </c>
      <c r="H22" s="276">
        <f>'Adjustment scenario'!H78</f>
        <v>-0.85391978892672848</v>
      </c>
      <c r="I22" s="276">
        <f>'Adjustment scenario'!I78</f>
        <v>1.8909573207907648E-2</v>
      </c>
      <c r="J22" s="276">
        <f>'Adjustment scenario'!J78</f>
        <v>0.92796840640235523</v>
      </c>
      <c r="K22" s="276">
        <f>'Adjustment scenario'!K78</f>
        <v>0.80967503448969114</v>
      </c>
      <c r="L22" s="276">
        <f>'Adjustment scenario'!L78</f>
        <v>0.69989922879584576</v>
      </c>
      <c r="M22" s="281">
        <f>'Adjustment scenario'!M78</f>
        <v>0.60498470183076436</v>
      </c>
      <c r="N22" s="255"/>
      <c r="P22" s="231"/>
      <c r="V22" s="399">
        <v>0.4</v>
      </c>
    </row>
    <row r="23" spans="4:22" ht="15" customHeight="1" x14ac:dyDescent="0.25">
      <c r="D23" s="282" t="s">
        <v>43</v>
      </c>
      <c r="E23" s="273"/>
      <c r="F23" s="274"/>
      <c r="G23" s="236">
        <f>'Adjustment scenario'!G57</f>
        <v>80.81308351777497</v>
      </c>
      <c r="H23" s="237">
        <f>'Adjustment scenario'!H57</f>
        <v>80.673518010562546</v>
      </c>
      <c r="I23" s="237">
        <f>'Adjustment scenario'!I57</f>
        <v>79.484335796243897</v>
      </c>
      <c r="J23" s="237">
        <f>'Adjustment scenario'!J57</f>
        <v>77.440287313107248</v>
      </c>
      <c r="K23" s="237">
        <f>'Adjustment scenario'!K57</f>
        <v>74.560907903721599</v>
      </c>
      <c r="L23" s="237">
        <f>'Adjustment scenario'!L57</f>
        <v>71.405877847092583</v>
      </c>
      <c r="M23" s="240">
        <f>'Adjustment scenario'!M57</f>
        <v>68.033122681889225</v>
      </c>
      <c r="N23" s="255"/>
      <c r="P23" s="231"/>
      <c r="V23" s="399">
        <v>0.42</v>
      </c>
    </row>
    <row r="24" spans="4:22" ht="15" customHeight="1" x14ac:dyDescent="0.25">
      <c r="D24" s="455" t="s">
        <v>31</v>
      </c>
      <c r="E24" s="455"/>
      <c r="F24" s="455"/>
      <c r="G24" s="277">
        <f>AVERAGE(G19:J19)</f>
        <v>0.98</v>
      </c>
      <c r="I24" s="231"/>
      <c r="J24" s="231"/>
      <c r="K24" s="231"/>
      <c r="L24" s="231"/>
      <c r="M24" s="231"/>
      <c r="N24" s="231"/>
      <c r="P24" s="235"/>
      <c r="V24" s="399">
        <v>0.44</v>
      </c>
    </row>
    <row r="25" spans="4:22" x14ac:dyDescent="0.25">
      <c r="D25" s="241" t="s">
        <v>32</v>
      </c>
      <c r="E25" s="376"/>
      <c r="F25" s="375"/>
      <c r="G25" s="271">
        <f>IF(F5=4,AVERAGE(G19:J19),AVERAGE(G19:M19))</f>
        <v>0.98</v>
      </c>
      <c r="H25" s="231"/>
      <c r="Q25" s="230"/>
      <c r="V25" s="399">
        <v>0.46</v>
      </c>
    </row>
    <row r="26" spans="4:22" x14ac:dyDescent="0.25">
      <c r="D26" s="464" t="s">
        <v>33</v>
      </c>
      <c r="E26" s="465"/>
      <c r="F26" s="465"/>
      <c r="G26" s="373">
        <f>AVERAGE(G20:J20)</f>
        <v>1.0657599342668433</v>
      </c>
      <c r="Q26" s="230"/>
      <c r="V26" s="399">
        <v>0.48</v>
      </c>
    </row>
    <row r="27" spans="4:22" ht="15" customHeight="1" x14ac:dyDescent="0.25">
      <c r="D27" s="466" t="s">
        <v>34</v>
      </c>
      <c r="E27" s="467"/>
      <c r="F27" s="467"/>
      <c r="G27" s="374">
        <f>IF(F5=4,AVERAGE(G20:J20),AVERAGE(G20:M20))</f>
        <v>1.0657599342668433</v>
      </c>
      <c r="H27" s="231"/>
      <c r="I27" s="231"/>
      <c r="J27" s="231"/>
      <c r="K27" s="231"/>
      <c r="L27" s="231"/>
      <c r="M27" s="231"/>
      <c r="N27" s="231"/>
      <c r="O27" s="231"/>
      <c r="P27" s="231"/>
      <c r="V27" s="399">
        <v>0.5</v>
      </c>
    </row>
    <row r="28" spans="4:22" ht="53.25" customHeight="1" x14ac:dyDescent="0.25">
      <c r="D28" s="468" t="s">
        <v>279</v>
      </c>
      <c r="E28" s="468"/>
      <c r="F28" s="468"/>
      <c r="G28" s="468"/>
      <c r="H28" s="468"/>
      <c r="I28" s="468"/>
      <c r="J28" s="468"/>
      <c r="K28" s="232"/>
      <c r="L28" s="232"/>
      <c r="M28" s="232"/>
      <c r="N28" s="232"/>
      <c r="O28" s="232"/>
      <c r="V28" s="399">
        <v>0.52</v>
      </c>
    </row>
    <row r="29" spans="4:22" x14ac:dyDescent="0.25">
      <c r="V29" s="399">
        <v>0.54</v>
      </c>
    </row>
    <row r="30" spans="4:22" ht="15.75" customHeight="1" x14ac:dyDescent="0.25">
      <c r="G30" s="456" t="s">
        <v>167</v>
      </c>
      <c r="H30" s="457"/>
      <c r="V30" s="399">
        <v>0.56000000000000005</v>
      </c>
    </row>
    <row r="31" spans="4:22" x14ac:dyDescent="0.25">
      <c r="G31" s="198" t="s">
        <v>35</v>
      </c>
      <c r="H31" s="199" t="s">
        <v>36</v>
      </c>
      <c r="V31" s="399">
        <v>0.57999999999999996</v>
      </c>
    </row>
    <row r="32" spans="4:22" x14ac:dyDescent="0.25">
      <c r="D32" s="368" t="s">
        <v>270</v>
      </c>
      <c r="E32" s="203"/>
      <c r="F32" s="204"/>
      <c r="G32" s="209">
        <v>4</v>
      </c>
      <c r="H32" s="200">
        <v>7</v>
      </c>
      <c r="M32" s="270"/>
      <c r="V32" s="399">
        <v>0.6</v>
      </c>
    </row>
    <row r="33" spans="4:22" x14ac:dyDescent="0.25">
      <c r="D33" s="369" t="s">
        <v>37</v>
      </c>
      <c r="E33" s="205"/>
      <c r="F33" s="206"/>
      <c r="G33" s="210">
        <v>0.56000000000000005</v>
      </c>
      <c r="H33" s="201">
        <v>0.32</v>
      </c>
      <c r="V33" s="399">
        <v>0.62</v>
      </c>
    </row>
    <row r="34" spans="4:22" x14ac:dyDescent="0.25">
      <c r="D34" s="370" t="s">
        <v>271</v>
      </c>
      <c r="E34" s="207"/>
      <c r="F34" s="208"/>
      <c r="G34" s="211">
        <v>70.860000610351563</v>
      </c>
      <c r="H34" s="202">
        <v>70.670000076293945</v>
      </c>
      <c r="V34" s="399">
        <v>0.64</v>
      </c>
    </row>
    <row r="35" spans="4:22" ht="40.200000000000003" customHeight="1" x14ac:dyDescent="0.25">
      <c r="D35" s="451" t="s">
        <v>185</v>
      </c>
      <c r="E35" s="451"/>
      <c r="F35" s="451"/>
      <c r="G35" s="451"/>
      <c r="H35" s="451"/>
      <c r="V35" s="399">
        <v>0.66</v>
      </c>
    </row>
    <row r="36" spans="4:22" x14ac:dyDescent="0.25">
      <c r="V36" s="399">
        <v>0.68</v>
      </c>
    </row>
    <row r="37" spans="4:22" ht="19.95" customHeight="1" x14ac:dyDescent="0.25">
      <c r="D37" s="226"/>
      <c r="E37" s="226"/>
      <c r="F37" s="226"/>
      <c r="H37" s="452" t="s">
        <v>254</v>
      </c>
      <c r="I37" s="453"/>
      <c r="J37" s="453"/>
      <c r="K37" s="453"/>
      <c r="L37" s="453"/>
      <c r="M37" s="453"/>
      <c r="N37" s="454"/>
      <c r="O37" s="256"/>
      <c r="V37" s="399">
        <v>0.7</v>
      </c>
    </row>
    <row r="38" spans="4:22" x14ac:dyDescent="0.25">
      <c r="D38" s="226"/>
      <c r="E38" s="226"/>
      <c r="F38" s="249"/>
      <c r="G38" s="308" t="s">
        <v>237</v>
      </c>
      <c r="H38" s="306">
        <v>2025</v>
      </c>
      <c r="I38" s="306">
        <v>2026</v>
      </c>
      <c r="J38" s="306">
        <v>2027</v>
      </c>
      <c r="K38" s="306">
        <v>2028</v>
      </c>
      <c r="L38" s="306">
        <v>2029</v>
      </c>
      <c r="M38" s="306">
        <v>2030</v>
      </c>
      <c r="N38" s="307">
        <v>2031</v>
      </c>
      <c r="V38" s="399">
        <v>0.72</v>
      </c>
    </row>
    <row r="39" spans="4:22" s="313" customFormat="1" ht="15" customHeight="1" x14ac:dyDescent="0.25">
      <c r="D39" s="458" t="s">
        <v>197</v>
      </c>
      <c r="E39" s="459"/>
      <c r="F39" s="460"/>
      <c r="G39" s="309"/>
      <c r="H39" s="314"/>
      <c r="I39" s="314"/>
      <c r="J39" s="314"/>
      <c r="K39" s="314"/>
      <c r="L39" s="314"/>
      <c r="M39" s="314"/>
      <c r="N39" s="315"/>
      <c r="U39" s="400"/>
      <c r="V39" s="401">
        <v>0.74</v>
      </c>
    </row>
    <row r="40" spans="4:22" s="313" customFormat="1" ht="15" customHeight="1" x14ac:dyDescent="0.25">
      <c r="D40" s="326" t="s">
        <v>30</v>
      </c>
      <c r="E40" s="327"/>
      <c r="F40" s="328"/>
      <c r="G40" s="312">
        <v>1.0657599342668433</v>
      </c>
      <c r="H40" s="322">
        <v>1.1375734655168435</v>
      </c>
      <c r="I40" s="322">
        <v>0.84178076551684322</v>
      </c>
      <c r="J40" s="322">
        <v>1.1492923905168433</v>
      </c>
      <c r="K40" s="322">
        <v>1.134393115516843</v>
      </c>
      <c r="L40" s="316"/>
      <c r="M40" s="316"/>
      <c r="N40" s="317"/>
      <c r="U40" s="400"/>
      <c r="V40" s="401">
        <v>0.76</v>
      </c>
    </row>
    <row r="41" spans="4:22" s="313" customFormat="1" ht="15" customHeight="1" x14ac:dyDescent="0.25">
      <c r="D41" s="445" t="s">
        <v>187</v>
      </c>
      <c r="E41" s="446"/>
      <c r="F41" s="447"/>
      <c r="G41" s="201">
        <v>0.98</v>
      </c>
      <c r="H41" s="318">
        <v>0.98</v>
      </c>
      <c r="I41" s="318">
        <v>0.98</v>
      </c>
      <c r="J41" s="318">
        <v>0.98</v>
      </c>
      <c r="K41" s="318">
        <v>0.98</v>
      </c>
      <c r="L41" s="318"/>
      <c r="M41" s="318"/>
      <c r="N41" s="319"/>
      <c r="U41" s="400"/>
      <c r="V41" s="401">
        <v>0.78</v>
      </c>
    </row>
    <row r="42" spans="4:22" s="313" customFormat="1" ht="15" customHeight="1" x14ac:dyDescent="0.25">
      <c r="D42" s="458" t="s">
        <v>198</v>
      </c>
      <c r="E42" s="459"/>
      <c r="F42" s="460"/>
      <c r="G42" s="311"/>
      <c r="H42" s="320"/>
      <c r="I42" s="320"/>
      <c r="J42" s="320"/>
      <c r="K42" s="320"/>
      <c r="L42" s="320"/>
      <c r="M42" s="320"/>
      <c r="N42" s="321"/>
      <c r="U42" s="400"/>
      <c r="V42" s="401">
        <v>0.8</v>
      </c>
    </row>
    <row r="43" spans="4:22" s="313" customFormat="1" ht="15" customHeight="1" x14ac:dyDescent="0.25">
      <c r="D43" s="326" t="s">
        <v>30</v>
      </c>
      <c r="E43" s="327"/>
      <c r="F43" s="328"/>
      <c r="G43" s="312">
        <v>2.0495719362374976</v>
      </c>
      <c r="H43" s="322">
        <v>2.1213854674874981</v>
      </c>
      <c r="I43" s="322">
        <v>1.8255927674874979</v>
      </c>
      <c r="J43" s="322">
        <v>2.1331043924874979</v>
      </c>
      <c r="K43" s="322">
        <v>2.1182051174874976</v>
      </c>
      <c r="L43" s="322">
        <v>2.2097136424874977</v>
      </c>
      <c r="M43" s="322">
        <v>2.3585902674874974</v>
      </c>
      <c r="N43" s="323">
        <v>2.4280588924874982</v>
      </c>
      <c r="U43" s="400"/>
      <c r="V43" s="401">
        <v>0.82</v>
      </c>
    </row>
    <row r="44" spans="4:22" s="313" customFormat="1" ht="15" customHeight="1" x14ac:dyDescent="0.25">
      <c r="D44" s="448" t="s">
        <v>187</v>
      </c>
      <c r="E44" s="449"/>
      <c r="F44" s="450"/>
      <c r="G44" s="310">
        <v>0.46</v>
      </c>
      <c r="H44" s="324">
        <v>0.45999999999999996</v>
      </c>
      <c r="I44" s="324">
        <v>0.46</v>
      </c>
      <c r="J44" s="324">
        <v>0.46</v>
      </c>
      <c r="K44" s="324">
        <v>0.46000000000000008</v>
      </c>
      <c r="L44" s="324">
        <v>0.45999999999999996</v>
      </c>
      <c r="M44" s="324">
        <v>0.45999999999999996</v>
      </c>
      <c r="N44" s="325">
        <v>0.45999999999999996</v>
      </c>
      <c r="U44" s="400"/>
      <c r="V44" s="401">
        <v>0.84</v>
      </c>
    </row>
    <row r="45" spans="4:22" x14ac:dyDescent="0.25">
      <c r="V45" s="399">
        <v>0.86</v>
      </c>
    </row>
    <row r="46" spans="4:22" x14ac:dyDescent="0.25">
      <c r="V46" s="399">
        <v>0.88</v>
      </c>
    </row>
    <row r="47" spans="4:22" x14ac:dyDescent="0.25">
      <c r="V47" s="399">
        <v>0.9</v>
      </c>
    </row>
    <row r="48" spans="4:22" x14ac:dyDescent="0.25">
      <c r="V48" s="399">
        <v>0.92</v>
      </c>
    </row>
    <row r="49" spans="22:22" x14ac:dyDescent="0.25">
      <c r="V49" s="399">
        <v>0.94</v>
      </c>
    </row>
    <row r="50" spans="22:22" x14ac:dyDescent="0.25">
      <c r="V50" s="399">
        <v>0.96</v>
      </c>
    </row>
    <row r="51" spans="22:22" x14ac:dyDescent="0.25">
      <c r="V51" s="399">
        <v>0.98</v>
      </c>
    </row>
    <row r="52" spans="22:22" x14ac:dyDescent="0.25">
      <c r="V52" s="399">
        <v>1</v>
      </c>
    </row>
    <row r="53" spans="22:22" x14ac:dyDescent="0.25">
      <c r="V53" s="399">
        <v>1.02</v>
      </c>
    </row>
    <row r="54" spans="22:22" x14ac:dyDescent="0.25">
      <c r="V54" s="399">
        <v>1.04</v>
      </c>
    </row>
    <row r="55" spans="22:22" x14ac:dyDescent="0.25">
      <c r="V55" s="399">
        <v>1.06</v>
      </c>
    </row>
    <row r="56" spans="22:22" x14ac:dyDescent="0.25">
      <c r="V56" s="399">
        <v>1.08</v>
      </c>
    </row>
    <row r="57" spans="22:22" x14ac:dyDescent="0.25">
      <c r="V57" s="399">
        <v>1.1000000000000001</v>
      </c>
    </row>
    <row r="58" spans="22:22" x14ac:dyDescent="0.25">
      <c r="V58" s="399">
        <v>1.1200000000000001</v>
      </c>
    </row>
    <row r="59" spans="22:22" x14ac:dyDescent="0.25">
      <c r="V59" s="399">
        <v>1.1399999999999999</v>
      </c>
    </row>
    <row r="60" spans="22:22" x14ac:dyDescent="0.25">
      <c r="V60" s="399">
        <v>1.1599999999999999</v>
      </c>
    </row>
    <row r="61" spans="22:22" x14ac:dyDescent="0.25">
      <c r="V61" s="399">
        <v>1.18</v>
      </c>
    </row>
    <row r="62" spans="22:22" x14ac:dyDescent="0.25">
      <c r="V62" s="399">
        <v>1.2</v>
      </c>
    </row>
    <row r="63" spans="22:22" x14ac:dyDescent="0.25">
      <c r="V63" s="399">
        <v>1.22</v>
      </c>
    </row>
    <row r="64" spans="22:22" x14ac:dyDescent="0.25">
      <c r="V64" s="399">
        <v>1.24</v>
      </c>
    </row>
    <row r="65" spans="22:22" x14ac:dyDescent="0.25">
      <c r="V65" s="399">
        <v>1.26</v>
      </c>
    </row>
    <row r="66" spans="22:22" x14ac:dyDescent="0.25">
      <c r="V66" s="399">
        <v>1.28</v>
      </c>
    </row>
    <row r="67" spans="22:22" x14ac:dyDescent="0.25">
      <c r="V67" s="399">
        <v>1.3</v>
      </c>
    </row>
    <row r="68" spans="22:22" x14ac:dyDescent="0.25">
      <c r="V68" s="399">
        <v>1.32</v>
      </c>
    </row>
    <row r="69" spans="22:22" x14ac:dyDescent="0.25">
      <c r="V69" s="399">
        <v>1.34</v>
      </c>
    </row>
    <row r="70" spans="22:22" x14ac:dyDescent="0.25">
      <c r="V70" s="399">
        <v>1.36</v>
      </c>
    </row>
    <row r="71" spans="22:22" x14ac:dyDescent="0.25">
      <c r="V71" s="399">
        <v>1.38</v>
      </c>
    </row>
    <row r="72" spans="22:22" x14ac:dyDescent="0.25">
      <c r="V72" s="399">
        <v>1.4</v>
      </c>
    </row>
    <row r="73" spans="22:22" x14ac:dyDescent="0.25">
      <c r="V73" s="399">
        <v>1.42</v>
      </c>
    </row>
    <row r="74" spans="22:22" x14ac:dyDescent="0.25">
      <c r="V74" s="399">
        <v>1.44</v>
      </c>
    </row>
    <row r="75" spans="22:22" x14ac:dyDescent="0.25">
      <c r="V75" s="399">
        <v>1.46</v>
      </c>
    </row>
    <row r="76" spans="22:22" x14ac:dyDescent="0.25">
      <c r="V76" s="399">
        <v>1.48</v>
      </c>
    </row>
    <row r="77" spans="22:22" x14ac:dyDescent="0.25">
      <c r="V77" s="399">
        <v>1.5</v>
      </c>
    </row>
    <row r="78" spans="22:22" x14ac:dyDescent="0.25">
      <c r="V78" s="399">
        <v>1.52</v>
      </c>
    </row>
    <row r="79" spans="22:22" x14ac:dyDescent="0.25">
      <c r="V79" s="399">
        <v>1.54</v>
      </c>
    </row>
    <row r="80" spans="22:22" x14ac:dyDescent="0.25">
      <c r="V80" s="399">
        <v>1.56</v>
      </c>
    </row>
    <row r="81" spans="22:22" x14ac:dyDescent="0.25">
      <c r="V81" s="399">
        <v>1.58</v>
      </c>
    </row>
    <row r="82" spans="22:22" x14ac:dyDescent="0.25">
      <c r="V82" s="399">
        <v>1.6</v>
      </c>
    </row>
  </sheetData>
  <mergeCells count="29">
    <mergeCell ref="D20:F20"/>
    <mergeCell ref="D26:F26"/>
    <mergeCell ref="D27:F27"/>
    <mergeCell ref="D28:J28"/>
    <mergeCell ref="O12:O15"/>
    <mergeCell ref="L12:L15"/>
    <mergeCell ref="M12:M15"/>
    <mergeCell ref="D16:J16"/>
    <mergeCell ref="G17:J17"/>
    <mergeCell ref="D19:F19"/>
    <mergeCell ref="D41:F41"/>
    <mergeCell ref="D44:F44"/>
    <mergeCell ref="D35:H35"/>
    <mergeCell ref="H37:N37"/>
    <mergeCell ref="D24:F24"/>
    <mergeCell ref="G30:H30"/>
    <mergeCell ref="D39:F39"/>
    <mergeCell ref="D42:F42"/>
    <mergeCell ref="D3:F3"/>
    <mergeCell ref="Q12:Q15"/>
    <mergeCell ref="P10:Q10"/>
    <mergeCell ref="L16:Q16"/>
    <mergeCell ref="L10:M10"/>
    <mergeCell ref="N10:O10"/>
    <mergeCell ref="N12:N15"/>
    <mergeCell ref="P12:P15"/>
    <mergeCell ref="G9:J10"/>
    <mergeCell ref="L9:Q9"/>
    <mergeCell ref="H3:I6"/>
  </mergeCells>
  <conditionalFormatting sqref="L18:N20 N21:N23">
    <cfRule type="expression" dxfId="43" priority="13">
      <formula>$F$5=4</formula>
    </cfRule>
  </conditionalFormatting>
  <conditionalFormatting sqref="K18:N23">
    <cfRule type="expression" dxfId="42" priority="12">
      <formula>$F$5=4</formula>
    </cfRule>
  </conditionalFormatting>
  <conditionalFormatting sqref="K18:K23">
    <cfRule type="expression" dxfId="41" priority="14">
      <formula>$F$5=4</formula>
    </cfRule>
  </conditionalFormatting>
  <conditionalFormatting sqref="L23:N23">
    <cfRule type="expression" dxfId="40" priority="4">
      <formula>$F$5=4</formula>
    </cfRule>
  </conditionalFormatting>
  <conditionalFormatting sqref="H3:I6">
    <cfRule type="expression" dxfId="39" priority="1">
      <formula>OR(AND($G$12="ok",$G$13="ok",$G$14="ok",$G$15="ok",$H$12="ok",$I$12="ok",$L$12&lt;&gt;"Not met"), AND($I$12="ok",$J$12="ok",$J$13="ok",$J$14="ok",$J$15="ok",$L$12&lt;&gt;"Not met"))</formula>
    </cfRule>
  </conditionalFormatting>
  <dataValidations count="2">
    <dataValidation type="list" allowBlank="1" showInputMessage="1" showErrorMessage="1" sqref="F6" xr:uid="{F61BD574-77F9-4796-8E1C-77E13D9FBD50}">
      <formula1>$V$2:$V$82</formula1>
    </dataValidation>
    <dataValidation type="list" allowBlank="1" showInputMessage="1" showErrorMessage="1" sqref="F5" xr:uid="{89E6F224-BD3A-4406-827A-7100F025F32D}">
      <formula1>$U$2:$U$3</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election activeCell="F18" sqref="F18"/>
    </sheetView>
  </sheetViews>
  <sheetFormatPr defaultColWidth="8.88671875" defaultRowHeight="13.2" x14ac:dyDescent="0.25"/>
  <cols>
    <col min="1" max="1" width="8.6640625" style="136" customWidth="1"/>
    <col min="2" max="2" width="58.44140625" style="136" customWidth="1"/>
    <col min="3" max="6" width="8.6640625" style="136" customWidth="1"/>
    <col min="7" max="16384" width="8.88671875" style="136"/>
  </cols>
  <sheetData>
    <row r="1" spans="1:54" s="60" customFormat="1" ht="24.75" customHeight="1" x14ac:dyDescent="0.2">
      <c r="B1" s="129"/>
    </row>
    <row r="2" spans="1:54" s="60" customFormat="1" ht="11.25" customHeight="1" x14ac:dyDescent="0.2">
      <c r="B2" s="130"/>
    </row>
    <row r="3" spans="1:54" s="60" customFormat="1" ht="11.25" customHeight="1" x14ac:dyDescent="0.2">
      <c r="B3" s="131" t="s">
        <v>15</v>
      </c>
      <c r="C3" s="132" t="s">
        <v>160</v>
      </c>
    </row>
    <row r="4" spans="1:54" s="60" customFormat="1" ht="11.25" customHeight="1" x14ac:dyDescent="0.2">
      <c r="B4" s="133"/>
      <c r="C4" s="23"/>
    </row>
    <row r="5" spans="1:54" s="60" customFormat="1" ht="11.25" customHeight="1" x14ac:dyDescent="0.2">
      <c r="B5" s="134" t="s">
        <v>168</v>
      </c>
      <c r="C5" s="23">
        <v>2024</v>
      </c>
    </row>
    <row r="6" spans="1:54" x14ac:dyDescent="0.25">
      <c r="A6" s="60"/>
      <c r="B6" s="135" t="s">
        <v>44</v>
      </c>
      <c r="C6" s="285">
        <f>C5+'Criteria results'!$F$5</f>
        <v>2028</v>
      </c>
    </row>
    <row r="8" spans="1:54" s="137" customFormat="1" ht="12" customHeight="1" x14ac:dyDescent="0.25">
      <c r="B8" s="138" t="s">
        <v>45</v>
      </c>
      <c r="C8" s="139"/>
      <c r="D8" s="139"/>
      <c r="E8" s="139"/>
      <c r="F8" s="139"/>
      <c r="G8" s="139"/>
      <c r="H8" s="139"/>
      <c r="I8" s="139"/>
      <c r="J8" s="139"/>
      <c r="K8" s="139"/>
      <c r="L8" s="139"/>
      <c r="M8" s="139"/>
      <c r="N8" s="139"/>
      <c r="O8" s="139"/>
    </row>
    <row r="9" spans="1:54" x14ac:dyDescent="0.25">
      <c r="B9" s="60"/>
      <c r="C9" s="140">
        <v>2021</v>
      </c>
      <c r="D9" s="140">
        <v>2022</v>
      </c>
      <c r="E9" s="140">
        <v>2023</v>
      </c>
      <c r="F9" s="140">
        <v>2024</v>
      </c>
      <c r="G9" s="140">
        <v>2025</v>
      </c>
      <c r="H9" s="140">
        <v>2026</v>
      </c>
      <c r="I9" s="140">
        <v>2027</v>
      </c>
      <c r="J9" s="140">
        <v>2028</v>
      </c>
      <c r="K9" s="140">
        <v>2029</v>
      </c>
      <c r="L9" s="140">
        <v>2030</v>
      </c>
      <c r="M9" s="140">
        <v>2031</v>
      </c>
      <c r="N9" s="140">
        <v>2032</v>
      </c>
      <c r="O9" s="140">
        <v>2033</v>
      </c>
      <c r="P9" s="140">
        <v>2034</v>
      </c>
      <c r="Q9" s="140">
        <v>2035</v>
      </c>
      <c r="R9" s="140">
        <v>2036</v>
      </c>
      <c r="S9" s="140">
        <v>2037</v>
      </c>
      <c r="T9" s="140">
        <v>2038</v>
      </c>
      <c r="U9" s="140">
        <v>2039</v>
      </c>
      <c r="V9" s="140">
        <v>2040</v>
      </c>
      <c r="W9" s="140">
        <v>2041</v>
      </c>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row>
    <row r="10" spans="1:54" s="141" customFormat="1" x14ac:dyDescent="0.25">
      <c r="B10" s="142" t="s">
        <v>46</v>
      </c>
      <c r="C10" s="143"/>
      <c r="D10" s="143"/>
      <c r="E10" s="143"/>
      <c r="F10" s="143"/>
      <c r="G10" s="143"/>
      <c r="H10" s="143"/>
      <c r="I10" s="143"/>
      <c r="J10" s="143"/>
      <c r="K10" s="143"/>
      <c r="L10" s="143"/>
      <c r="M10" s="143"/>
      <c r="N10" s="143"/>
      <c r="O10" s="143"/>
    </row>
    <row r="11" spans="1:54" x14ac:dyDescent="0.25">
      <c r="B11" s="144" t="s">
        <v>288</v>
      </c>
      <c r="C11" s="145"/>
      <c r="D11" s="145"/>
      <c r="E11" s="145"/>
      <c r="F11" s="145"/>
      <c r="G11" s="145"/>
      <c r="H11" s="145"/>
      <c r="I11" s="145"/>
      <c r="J11" s="145"/>
      <c r="K11" s="145"/>
      <c r="L11" s="145"/>
      <c r="M11" s="145"/>
      <c r="N11" s="145"/>
      <c r="O11" s="145"/>
    </row>
    <row r="12" spans="1:54" x14ac:dyDescent="0.25">
      <c r="A12" s="60"/>
      <c r="B12" s="60" t="s">
        <v>43</v>
      </c>
      <c r="C12" s="59">
        <v>82.394589999999994</v>
      </c>
      <c r="D12" s="146">
        <v>78.375630000000001</v>
      </c>
      <c r="E12" s="146">
        <v>78.551919999999996</v>
      </c>
      <c r="F12" s="146">
        <v>79.538070000000005</v>
      </c>
      <c r="G12" s="59" t="s">
        <v>47</v>
      </c>
      <c r="H12" s="59" t="s">
        <v>47</v>
      </c>
      <c r="I12" s="59" t="s">
        <v>47</v>
      </c>
      <c r="J12" s="59" t="s">
        <v>47</v>
      </c>
      <c r="K12" s="59" t="s">
        <v>47</v>
      </c>
      <c r="L12" s="59" t="s">
        <v>47</v>
      </c>
      <c r="M12" s="59" t="s">
        <v>47</v>
      </c>
      <c r="N12" s="59" t="s">
        <v>47</v>
      </c>
      <c r="O12" s="59" t="s">
        <v>47</v>
      </c>
    </row>
    <row r="13" spans="1:54" x14ac:dyDescent="0.25">
      <c r="A13" s="60"/>
      <c r="B13" s="60" t="s">
        <v>48</v>
      </c>
      <c r="C13" s="59">
        <v>-3.4934150000000002</v>
      </c>
      <c r="D13" s="146">
        <v>-3.493954</v>
      </c>
      <c r="E13" s="146">
        <v>-1.399295</v>
      </c>
      <c r="F13" s="146">
        <v>-1.3351299999999999</v>
      </c>
      <c r="G13" s="391"/>
      <c r="H13" s="391"/>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row>
    <row r="14" spans="1:54" x14ac:dyDescent="0.25">
      <c r="A14" s="60"/>
      <c r="B14" s="60" t="s">
        <v>49</v>
      </c>
      <c r="C14" s="59">
        <v>2.1047099999999999E-2</v>
      </c>
      <c r="D14" s="146">
        <v>0</v>
      </c>
      <c r="E14" s="146">
        <v>0</v>
      </c>
      <c r="F14" s="146">
        <v>0</v>
      </c>
      <c r="G14" s="146">
        <v>0</v>
      </c>
      <c r="H14" s="146">
        <v>0</v>
      </c>
      <c r="I14" s="146">
        <v>0</v>
      </c>
      <c r="J14" s="146">
        <v>0</v>
      </c>
      <c r="K14" s="146">
        <v>0</v>
      </c>
      <c r="L14" s="146">
        <v>0</v>
      </c>
      <c r="M14" s="146">
        <v>0</v>
      </c>
      <c r="N14" s="146">
        <v>0</v>
      </c>
      <c r="O14" s="146">
        <v>0</v>
      </c>
      <c r="P14" s="146">
        <v>0</v>
      </c>
      <c r="Q14" s="146">
        <v>0</v>
      </c>
      <c r="R14" s="146">
        <v>0</v>
      </c>
      <c r="S14" s="146">
        <v>0</v>
      </c>
      <c r="T14" s="146">
        <v>0</v>
      </c>
      <c r="U14" s="146">
        <v>0</v>
      </c>
      <c r="V14" s="146">
        <v>0</v>
      </c>
      <c r="W14" s="146">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row>
    <row r="15" spans="1:54" x14ac:dyDescent="0.25">
      <c r="A15" s="60"/>
      <c r="B15" s="60" t="s">
        <v>50</v>
      </c>
      <c r="C15" s="59">
        <v>-1.168344</v>
      </c>
      <c r="D15" s="146">
        <v>0.33345029999999998</v>
      </c>
      <c r="E15" s="146">
        <v>1.738494</v>
      </c>
      <c r="F15" s="146">
        <v>0.1010605</v>
      </c>
      <c r="G15" s="146">
        <v>9.9622799999999997E-2</v>
      </c>
      <c r="H15" s="146">
        <v>0.1</v>
      </c>
      <c r="I15" s="146">
        <v>0</v>
      </c>
      <c r="J15" s="146">
        <v>0</v>
      </c>
      <c r="K15" s="146">
        <v>0</v>
      </c>
      <c r="L15" s="146">
        <v>0</v>
      </c>
      <c r="M15" s="146">
        <v>0</v>
      </c>
      <c r="N15" s="146">
        <v>0</v>
      </c>
      <c r="O15" s="146">
        <v>0</v>
      </c>
      <c r="P15" s="146">
        <v>0</v>
      </c>
      <c r="Q15" s="146">
        <v>0</v>
      </c>
      <c r="R15" s="146">
        <v>0</v>
      </c>
      <c r="S15" s="146">
        <v>0</v>
      </c>
      <c r="T15" s="146">
        <v>0</v>
      </c>
      <c r="U15" s="146">
        <v>0</v>
      </c>
      <c r="V15" s="146">
        <v>0</v>
      </c>
      <c r="W15" s="146">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row>
    <row r="16" spans="1:54" x14ac:dyDescent="0.25">
      <c r="A16" s="60"/>
      <c r="B16" s="60" t="s">
        <v>51</v>
      </c>
      <c r="C16" s="59">
        <v>-1.175405</v>
      </c>
      <c r="D16" s="146">
        <v>0.35710310000000001</v>
      </c>
      <c r="E16" s="146">
        <v>1.7333069999999999</v>
      </c>
      <c r="F16" s="146">
        <v>0.1000248</v>
      </c>
      <c r="G16" s="146">
        <v>0.1</v>
      </c>
      <c r="H16" s="146">
        <v>0.1000076</v>
      </c>
      <c r="I16" s="146">
        <v>0</v>
      </c>
      <c r="J16" s="146">
        <v>0</v>
      </c>
      <c r="K16" s="146">
        <v>0</v>
      </c>
      <c r="L16" s="146">
        <v>0</v>
      </c>
      <c r="M16" s="146">
        <v>0</v>
      </c>
      <c r="N16" s="146">
        <v>0</v>
      </c>
      <c r="O16" s="146">
        <v>0</v>
      </c>
      <c r="P16" s="146">
        <v>0</v>
      </c>
      <c r="Q16" s="146">
        <v>0</v>
      </c>
      <c r="R16" s="146">
        <v>0</v>
      </c>
      <c r="S16" s="146">
        <v>0</v>
      </c>
      <c r="T16" s="146">
        <v>0</v>
      </c>
      <c r="U16" s="146">
        <v>0</v>
      </c>
      <c r="V16" s="146">
        <v>0</v>
      </c>
      <c r="W16" s="146">
        <v>0</v>
      </c>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row>
    <row r="17" spans="1:54" x14ac:dyDescent="0.25">
      <c r="A17" s="60"/>
      <c r="B17" s="364" t="s">
        <v>275</v>
      </c>
      <c r="C17" s="59"/>
      <c r="D17" s="366">
        <v>0</v>
      </c>
      <c r="E17" s="366">
        <v>0</v>
      </c>
      <c r="F17" s="366">
        <v>0</v>
      </c>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row>
    <row r="18" spans="1:54" x14ac:dyDescent="0.25">
      <c r="A18" s="60"/>
      <c r="B18" s="60"/>
      <c r="C18" s="59"/>
      <c r="D18" s="59"/>
      <c r="E18" s="59"/>
      <c r="F18" s="59"/>
      <c r="G18" s="59"/>
      <c r="H18" s="59"/>
      <c r="I18" s="59"/>
      <c r="J18" s="59"/>
      <c r="K18" s="59"/>
      <c r="L18" s="59"/>
      <c r="M18" s="59"/>
      <c r="N18" s="59"/>
      <c r="O18" s="59"/>
    </row>
    <row r="19" spans="1:54" x14ac:dyDescent="0.25">
      <c r="A19" s="60"/>
      <c r="B19" s="144" t="s">
        <v>260</v>
      </c>
      <c r="C19" s="59"/>
      <c r="D19" s="59"/>
      <c r="E19" s="59"/>
      <c r="F19" s="59"/>
      <c r="G19" s="59"/>
      <c r="H19" s="59"/>
      <c r="I19" s="59"/>
      <c r="J19" s="59"/>
      <c r="K19" s="59"/>
      <c r="L19" s="59"/>
      <c r="M19" s="59"/>
      <c r="N19" s="59"/>
      <c r="O19" s="59"/>
    </row>
    <row r="20" spans="1:54" x14ac:dyDescent="0.25">
      <c r="A20" s="60"/>
      <c r="B20" s="60" t="s">
        <v>52</v>
      </c>
      <c r="C20" s="59">
        <f t="shared" ref="C20:T20" si="0">(C21+C22+C23+C24-C25)</f>
        <v>0</v>
      </c>
      <c r="D20" s="147">
        <f t="shared" si="0"/>
        <v>25.324309999999997</v>
      </c>
      <c r="E20" s="147">
        <f t="shared" si="0"/>
        <v>25.242449999999998</v>
      </c>
      <c r="F20" s="147">
        <f t="shared" si="0"/>
        <v>25.614070000000002</v>
      </c>
      <c r="G20" s="147">
        <f t="shared" si="0"/>
        <v>25.90615</v>
      </c>
      <c r="H20" s="147">
        <f t="shared" si="0"/>
        <v>26.090959999999999</v>
      </c>
      <c r="I20" s="147">
        <f t="shared" si="0"/>
        <v>26.301199999999998</v>
      </c>
      <c r="J20" s="147">
        <f t="shared" si="0"/>
        <v>26.42249</v>
      </c>
      <c r="K20" s="147">
        <f t="shared" si="0"/>
        <v>26.510670000000001</v>
      </c>
      <c r="L20" s="147">
        <f t="shared" si="0"/>
        <v>26.607600000000001</v>
      </c>
      <c r="M20" s="147">
        <f t="shared" si="0"/>
        <v>26.704270000000001</v>
      </c>
      <c r="N20" s="147">
        <f t="shared" si="0"/>
        <v>26.793779999999998</v>
      </c>
      <c r="O20" s="147">
        <f t="shared" si="0"/>
        <v>26.842309999999998</v>
      </c>
      <c r="P20" s="147">
        <f t="shared" si="0"/>
        <v>26.922160000000002</v>
      </c>
      <c r="Q20" s="147">
        <f t="shared" si="0"/>
        <v>26.971239999999998</v>
      </c>
      <c r="R20" s="147">
        <f t="shared" si="0"/>
        <v>27.00421</v>
      </c>
      <c r="S20" s="147">
        <f t="shared" si="0"/>
        <v>27.027639999999998</v>
      </c>
      <c r="T20" s="147">
        <f t="shared" si="0"/>
        <v>27.036020000000001</v>
      </c>
      <c r="U20" s="147">
        <f t="shared" ref="U20:W20" si="1">(U21+U22+U23+U24-U25)</f>
        <v>27.037079999999996</v>
      </c>
      <c r="V20" s="147">
        <f t="shared" si="1"/>
        <v>27.02562</v>
      </c>
      <c r="W20" s="147">
        <f t="shared" si="1"/>
        <v>27.02122</v>
      </c>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row>
    <row r="21" spans="1:54" x14ac:dyDescent="0.25">
      <c r="A21" s="60"/>
      <c r="B21" s="148" t="s">
        <v>53</v>
      </c>
      <c r="C21" s="59">
        <v>0</v>
      </c>
      <c r="D21" s="147">
        <v>13.688880000000001</v>
      </c>
      <c r="E21" s="147">
        <v>13.681699999999999</v>
      </c>
      <c r="F21" s="147">
        <v>14.198369999999999</v>
      </c>
      <c r="G21" s="147">
        <v>14.484959999999999</v>
      </c>
      <c r="H21" s="147">
        <v>14.6403</v>
      </c>
      <c r="I21" s="147">
        <v>14.814079999999999</v>
      </c>
      <c r="J21" s="147">
        <v>14.910159999999999</v>
      </c>
      <c r="K21" s="147">
        <v>14.958600000000001</v>
      </c>
      <c r="L21" s="147">
        <v>15.014009999999999</v>
      </c>
      <c r="M21" s="147">
        <v>15.062629999999999</v>
      </c>
      <c r="N21" s="147">
        <v>15.085419999999999</v>
      </c>
      <c r="O21" s="147">
        <v>15.05486</v>
      </c>
      <c r="P21" s="147">
        <v>15.05728</v>
      </c>
      <c r="Q21" s="147">
        <v>15.029809999999999</v>
      </c>
      <c r="R21" s="147">
        <v>14.984330000000002</v>
      </c>
      <c r="S21" s="147">
        <v>14.9253</v>
      </c>
      <c r="T21" s="147">
        <v>14.84552</v>
      </c>
      <c r="U21" s="147">
        <v>14.753679999999999</v>
      </c>
      <c r="V21" s="147">
        <v>14.645479999999999</v>
      </c>
      <c r="W21" s="147">
        <v>14.543100000000001</v>
      </c>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row>
    <row r="22" spans="1:54" x14ac:dyDescent="0.25">
      <c r="A22" s="60"/>
      <c r="B22" s="149" t="s">
        <v>54</v>
      </c>
      <c r="C22" s="59">
        <v>0</v>
      </c>
      <c r="D22" s="147">
        <v>7.8311000000000002</v>
      </c>
      <c r="E22" s="147">
        <v>7.7629699999999993</v>
      </c>
      <c r="F22" s="147">
        <v>7.7383999999999995</v>
      </c>
      <c r="G22" s="147">
        <v>7.7818499999999995</v>
      </c>
      <c r="H22" s="147">
        <v>7.8229900000000008</v>
      </c>
      <c r="I22" s="147">
        <v>7.8643000000000001</v>
      </c>
      <c r="J22" s="147">
        <v>7.9075199999999999</v>
      </c>
      <c r="K22" s="147">
        <v>7.9479300000000004</v>
      </c>
      <c r="L22" s="147">
        <v>7.9905199999999992</v>
      </c>
      <c r="M22" s="147">
        <v>8.0337000000000014</v>
      </c>
      <c r="N22" s="147">
        <v>8.077910000000001</v>
      </c>
      <c r="O22" s="147">
        <v>8.1207399999999996</v>
      </c>
      <c r="P22" s="147">
        <v>8.1674100000000003</v>
      </c>
      <c r="Q22" s="147">
        <v>8.2127300000000005</v>
      </c>
      <c r="R22" s="147">
        <v>8.2596699999999998</v>
      </c>
      <c r="S22" s="147">
        <v>8.3071400000000004</v>
      </c>
      <c r="T22" s="147">
        <v>8.3529300000000006</v>
      </c>
      <c r="U22" s="147">
        <v>8.4003300000000003</v>
      </c>
      <c r="V22" s="147">
        <v>8.446299999999999</v>
      </c>
      <c r="W22" s="147">
        <v>8.4907199999999996</v>
      </c>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row>
    <row r="23" spans="1:54" x14ac:dyDescent="0.25">
      <c r="A23" s="60"/>
      <c r="B23" s="149" t="s">
        <v>55</v>
      </c>
      <c r="C23" s="59">
        <v>0</v>
      </c>
      <c r="D23" s="147">
        <v>1.5736199999999998</v>
      </c>
      <c r="E23" s="147">
        <v>1.58124</v>
      </c>
      <c r="F23" s="147">
        <v>1.5959299999999998</v>
      </c>
      <c r="G23" s="147">
        <v>1.64534</v>
      </c>
      <c r="H23" s="147">
        <v>1.6908099999999999</v>
      </c>
      <c r="I23" s="147">
        <v>1.73967</v>
      </c>
      <c r="J23" s="147">
        <v>1.7598699999999998</v>
      </c>
      <c r="K23" s="147">
        <v>1.7831400000000002</v>
      </c>
      <c r="L23" s="147">
        <v>1.7999100000000001</v>
      </c>
      <c r="M23" s="147">
        <v>1.8147300000000002</v>
      </c>
      <c r="N23" s="147">
        <v>1.8422799999999999</v>
      </c>
      <c r="O23" s="147">
        <v>1.8741899999999998</v>
      </c>
      <c r="P23" s="147">
        <v>1.9046899999999998</v>
      </c>
      <c r="Q23" s="147">
        <v>1.9320299999999999</v>
      </c>
      <c r="R23" s="147">
        <v>1.95963</v>
      </c>
      <c r="S23" s="147">
        <v>1.9904499999999998</v>
      </c>
      <c r="T23" s="147">
        <v>2.0263499999999999</v>
      </c>
      <c r="U23" s="147">
        <v>2.0642100000000001</v>
      </c>
      <c r="V23" s="147">
        <v>2.10555</v>
      </c>
      <c r="W23" s="147">
        <v>2.15103</v>
      </c>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row>
    <row r="24" spans="1:54" x14ac:dyDescent="0.25">
      <c r="A24" s="60"/>
      <c r="B24" s="149" t="s">
        <v>56</v>
      </c>
      <c r="C24" s="59">
        <v>0</v>
      </c>
      <c r="D24" s="147">
        <v>4.5853199999999994</v>
      </c>
      <c r="E24" s="147">
        <v>4.5408400000000002</v>
      </c>
      <c r="F24" s="147">
        <v>4.4792100000000001</v>
      </c>
      <c r="G24" s="147">
        <v>4.4282000000000004</v>
      </c>
      <c r="H24" s="147">
        <v>4.3870100000000001</v>
      </c>
      <c r="I24" s="147">
        <v>4.3524599999999998</v>
      </c>
      <c r="J24" s="147">
        <v>4.3201499999999999</v>
      </c>
      <c r="K24" s="147">
        <v>4.2942</v>
      </c>
      <c r="L24" s="147">
        <v>4.2754799999999999</v>
      </c>
      <c r="M24" s="147">
        <v>4.2637900000000002</v>
      </c>
      <c r="N24" s="147">
        <v>4.2528299999999994</v>
      </c>
      <c r="O24" s="147">
        <v>4.2430900000000005</v>
      </c>
      <c r="P24" s="147">
        <v>4.2341600000000001</v>
      </c>
      <c r="Q24" s="147">
        <v>4.2243000000000004</v>
      </c>
      <c r="R24" s="147">
        <v>4.2118200000000003</v>
      </c>
      <c r="S24" s="147">
        <v>4.1977399999999996</v>
      </c>
      <c r="T24" s="147">
        <v>4.1829999999999998</v>
      </c>
      <c r="U24" s="147">
        <v>4.1678300000000004</v>
      </c>
      <c r="V24" s="147">
        <v>4.1522399999999999</v>
      </c>
      <c r="W24" s="147">
        <v>4.1366199999999997</v>
      </c>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row>
    <row r="25" spans="1:54" x14ac:dyDescent="0.25">
      <c r="A25" s="60"/>
      <c r="B25" s="149" t="s">
        <v>57</v>
      </c>
      <c r="C25" s="59">
        <v>0</v>
      </c>
      <c r="D25" s="147">
        <v>2.3546100000000001</v>
      </c>
      <c r="E25" s="147">
        <v>2.3243</v>
      </c>
      <c r="F25" s="147">
        <v>2.39784</v>
      </c>
      <c r="G25" s="147">
        <v>2.4341999999999997</v>
      </c>
      <c r="H25" s="147">
        <v>2.4501499999999998</v>
      </c>
      <c r="I25" s="147">
        <v>2.4693100000000001</v>
      </c>
      <c r="J25" s="147">
        <v>2.4752099999999997</v>
      </c>
      <c r="K25" s="147">
        <v>2.4731999999999998</v>
      </c>
      <c r="L25" s="147">
        <v>2.4723199999999999</v>
      </c>
      <c r="M25" s="147">
        <v>2.47058</v>
      </c>
      <c r="N25" s="147">
        <v>2.4646600000000003</v>
      </c>
      <c r="O25" s="147">
        <v>2.4505699999999999</v>
      </c>
      <c r="P25" s="147">
        <v>2.4413800000000001</v>
      </c>
      <c r="Q25" s="147">
        <v>2.4276300000000002</v>
      </c>
      <c r="R25" s="147">
        <v>2.4112399999999998</v>
      </c>
      <c r="S25" s="147">
        <v>2.3929900000000002</v>
      </c>
      <c r="T25" s="147">
        <v>2.3717800000000002</v>
      </c>
      <c r="U25" s="147">
        <v>2.34897</v>
      </c>
      <c r="V25" s="147">
        <v>2.32395</v>
      </c>
      <c r="W25" s="147">
        <v>2.3002499999999997</v>
      </c>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row>
    <row r="26" spans="1:54" x14ac:dyDescent="0.25">
      <c r="A26" s="60"/>
      <c r="B26" s="148" t="s">
        <v>58</v>
      </c>
      <c r="C26" s="59">
        <v>0.69878779999999996</v>
      </c>
      <c r="D26" s="147">
        <v>0.67838160000000003</v>
      </c>
      <c r="E26" s="147">
        <v>0.90806710000000002</v>
      </c>
      <c r="F26" s="147">
        <v>0.90100539999999996</v>
      </c>
      <c r="G26" s="147">
        <v>0.89394379999999996</v>
      </c>
      <c r="H26" s="147">
        <v>0.88688210000000001</v>
      </c>
      <c r="I26" s="147">
        <v>0.87982050000000001</v>
      </c>
      <c r="J26" s="147">
        <v>0.8727589</v>
      </c>
      <c r="K26" s="147">
        <v>0.8656973</v>
      </c>
      <c r="L26" s="147">
        <v>0.85863560000000005</v>
      </c>
      <c r="M26" s="147">
        <v>0.85157389999999999</v>
      </c>
      <c r="N26" s="147">
        <v>0.84451229999999999</v>
      </c>
      <c r="O26" s="147">
        <v>0.83745069999999999</v>
      </c>
      <c r="P26" s="147">
        <v>0.83038909999999999</v>
      </c>
      <c r="Q26" s="147">
        <v>0.82332740000000004</v>
      </c>
      <c r="R26" s="147">
        <v>0.81626580000000004</v>
      </c>
      <c r="S26" s="147">
        <v>0.80920420000000004</v>
      </c>
      <c r="T26" s="147">
        <v>0.80214260000000004</v>
      </c>
      <c r="U26" s="147">
        <v>0.79508089999999998</v>
      </c>
      <c r="V26" s="147">
        <v>0.78801929999999998</v>
      </c>
      <c r="W26" s="147">
        <v>0.78095769999999998</v>
      </c>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row>
    <row r="27" spans="1:54" x14ac:dyDescent="0.25">
      <c r="A27" s="60"/>
      <c r="B27" s="60"/>
      <c r="C27" s="60"/>
      <c r="D27" s="60"/>
      <c r="E27" s="60"/>
      <c r="F27" s="60"/>
      <c r="G27" s="60"/>
      <c r="H27" s="60"/>
      <c r="I27" s="60"/>
      <c r="J27" s="60"/>
      <c r="K27" s="60"/>
      <c r="L27" s="60"/>
      <c r="M27" s="60"/>
      <c r="N27" s="60"/>
      <c r="O27" s="60"/>
    </row>
    <row r="28" spans="1:54" s="141" customFormat="1" x14ac:dyDescent="0.25">
      <c r="A28" s="150"/>
      <c r="B28" s="142" t="s">
        <v>289</v>
      </c>
      <c r="C28" s="150"/>
      <c r="D28" s="150"/>
      <c r="E28" s="150"/>
      <c r="F28" s="150"/>
      <c r="G28" s="150"/>
      <c r="H28" s="150"/>
      <c r="I28" s="150"/>
      <c r="J28" s="150"/>
      <c r="K28" s="150"/>
      <c r="L28" s="150"/>
      <c r="M28" s="150"/>
      <c r="N28" s="150"/>
      <c r="O28" s="150"/>
    </row>
    <row r="29" spans="1:54" x14ac:dyDescent="0.25">
      <c r="A29" s="60"/>
      <c r="B29" s="144" t="s">
        <v>59</v>
      </c>
      <c r="C29" s="60"/>
      <c r="D29" s="60"/>
      <c r="E29" s="60"/>
      <c r="F29" s="60"/>
      <c r="G29" s="392"/>
      <c r="H29" s="392"/>
      <c r="I29" s="392"/>
      <c r="J29" s="392"/>
      <c r="K29" s="392"/>
      <c r="L29" s="392"/>
      <c r="M29" s="392"/>
      <c r="N29" s="392"/>
      <c r="O29" s="392"/>
      <c r="P29" s="392"/>
      <c r="Q29" s="392"/>
      <c r="R29" s="392"/>
      <c r="S29" s="392"/>
      <c r="T29" s="392"/>
      <c r="U29" s="392"/>
      <c r="V29" s="392"/>
      <c r="W29" s="392"/>
    </row>
    <row r="30" spans="1:54" x14ac:dyDescent="0.25">
      <c r="A30" s="60"/>
      <c r="B30" s="60" t="s">
        <v>60</v>
      </c>
      <c r="C30" s="151">
        <v>4.7953340000000004</v>
      </c>
      <c r="D30" s="152">
        <v>5.2778939999999999</v>
      </c>
      <c r="E30" s="152">
        <v>-0.95496389999999998</v>
      </c>
      <c r="F30" s="152">
        <v>-0.62164790000000003</v>
      </c>
      <c r="G30" s="152">
        <v>0.80057880000000003</v>
      </c>
      <c r="H30" s="152">
        <v>1.3807739999999999</v>
      </c>
      <c r="I30" s="152">
        <v>1.3152919999999999</v>
      </c>
      <c r="J30" s="152">
        <v>1.2407090000000001</v>
      </c>
      <c r="K30" s="152">
        <v>1.2727729999999999</v>
      </c>
      <c r="L30" s="152">
        <v>1.114511</v>
      </c>
      <c r="M30" s="152">
        <v>1.125075</v>
      </c>
      <c r="N30" s="152">
        <v>1.118458</v>
      </c>
      <c r="O30" s="152">
        <v>1.1171819999999999</v>
      </c>
      <c r="P30" s="152">
        <v>1.1618470000000001</v>
      </c>
      <c r="Q30" s="153">
        <v>1.242713</v>
      </c>
      <c r="R30" s="153">
        <v>1.3235840000000001</v>
      </c>
      <c r="S30" s="153">
        <v>1.4044559999999999</v>
      </c>
      <c r="T30" s="153">
        <v>1.4681709999999999</v>
      </c>
      <c r="U30" s="153">
        <v>1.5339339999999999</v>
      </c>
      <c r="V30" s="153">
        <v>1.5987119999999999</v>
      </c>
      <c r="W30" s="153">
        <v>1.5829789999999999</v>
      </c>
      <c r="X30" s="151"/>
      <c r="Y30" s="151"/>
      <c r="Z30" s="151"/>
      <c r="AA30" s="151"/>
      <c r="AB30" s="151"/>
      <c r="AC30" s="151"/>
      <c r="AD30" s="151"/>
      <c r="AE30" s="151"/>
      <c r="AF30" s="151"/>
      <c r="AG30" s="151"/>
      <c r="AH30" s="151"/>
      <c r="AI30" s="151"/>
      <c r="AJ30" s="151"/>
      <c r="AK30" s="151"/>
      <c r="AL30" s="151"/>
      <c r="AM30" s="151"/>
      <c r="AN30" s="151"/>
      <c r="AO30" s="151"/>
      <c r="AP30" s="151"/>
      <c r="AQ30" s="151"/>
      <c r="AR30" s="151"/>
      <c r="AS30" s="151"/>
      <c r="AT30" s="151"/>
      <c r="AU30" s="151"/>
      <c r="AV30" s="151"/>
      <c r="AW30" s="151"/>
      <c r="AX30" s="151"/>
      <c r="AY30" s="151"/>
      <c r="AZ30" s="151"/>
      <c r="BA30" s="151"/>
      <c r="BB30" s="151"/>
    </row>
    <row r="31" spans="1:54" x14ac:dyDescent="0.25">
      <c r="A31" s="60"/>
      <c r="B31" s="299" t="s">
        <v>196</v>
      </c>
      <c r="C31" s="151">
        <v>331.5462</v>
      </c>
      <c r="D31" s="392"/>
      <c r="E31" s="392"/>
      <c r="F31" s="392"/>
      <c r="G31" s="392"/>
      <c r="H31" s="392"/>
      <c r="I31" s="392"/>
      <c r="J31" s="392"/>
      <c r="K31" s="392"/>
      <c r="L31" s="392"/>
      <c r="M31" s="392"/>
      <c r="N31" s="392"/>
      <c r="O31" s="392"/>
      <c r="P31" s="392"/>
      <c r="Q31" s="392"/>
      <c r="R31" s="392"/>
      <c r="S31" s="392"/>
      <c r="T31" s="392"/>
      <c r="U31" s="392"/>
      <c r="V31" s="392"/>
      <c r="W31" s="392"/>
    </row>
    <row r="32" spans="1:54" x14ac:dyDescent="0.25">
      <c r="A32" s="60"/>
      <c r="B32" s="144" t="s">
        <v>62</v>
      </c>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row>
    <row r="33" spans="1:54" x14ac:dyDescent="0.25">
      <c r="A33" s="60"/>
      <c r="B33" s="60" t="s">
        <v>60</v>
      </c>
      <c r="C33" s="151">
        <v>1.1924520000000001</v>
      </c>
      <c r="D33" s="152">
        <v>1.203748</v>
      </c>
      <c r="E33" s="152">
        <v>1.0494509999999999</v>
      </c>
      <c r="F33" s="152">
        <v>0.73931519999999995</v>
      </c>
      <c r="G33" s="152">
        <v>0.70466269999999998</v>
      </c>
      <c r="H33" s="152">
        <v>0.817133</v>
      </c>
      <c r="I33" s="152">
        <v>1.065739</v>
      </c>
      <c r="J33" s="152">
        <v>0.99193410000000004</v>
      </c>
      <c r="K33" s="152">
        <v>1.024537</v>
      </c>
      <c r="L33" s="152">
        <v>1.1145080000000001</v>
      </c>
      <c r="M33" s="152">
        <v>1.1250709999999999</v>
      </c>
      <c r="N33" s="152">
        <v>1.11846</v>
      </c>
      <c r="O33" s="152">
        <v>1.117184</v>
      </c>
      <c r="P33" s="152">
        <v>1.161845</v>
      </c>
      <c r="Q33" s="153">
        <v>1.2427159999999999</v>
      </c>
      <c r="R33" s="153">
        <v>1.3235870000000001</v>
      </c>
      <c r="S33" s="153">
        <v>1.4044589999999999</v>
      </c>
      <c r="T33" s="153">
        <v>1.468167</v>
      </c>
      <c r="U33" s="153">
        <v>1.533935</v>
      </c>
      <c r="V33" s="153">
        <v>1.5987089999999999</v>
      </c>
      <c r="W33" s="153">
        <v>1.5829759999999999</v>
      </c>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row>
    <row r="34" spans="1:54" x14ac:dyDescent="0.25">
      <c r="A34" s="60"/>
      <c r="B34" s="299" t="s">
        <v>196</v>
      </c>
      <c r="C34" s="151">
        <v>338.15530000000001</v>
      </c>
      <c r="D34" s="392"/>
      <c r="E34" s="392"/>
      <c r="F34" s="392"/>
      <c r="G34" s="392"/>
      <c r="H34" s="392"/>
      <c r="I34" s="392"/>
      <c r="J34" s="392"/>
      <c r="K34" s="392"/>
      <c r="L34" s="392"/>
      <c r="M34" s="392"/>
      <c r="N34" s="392"/>
      <c r="O34" s="392"/>
      <c r="P34" s="392"/>
      <c r="Q34" s="392"/>
      <c r="R34" s="392"/>
      <c r="S34" s="392"/>
      <c r="T34" s="392"/>
      <c r="U34" s="392"/>
      <c r="V34" s="392"/>
      <c r="W34" s="392"/>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row>
    <row r="35" spans="1:54" x14ac:dyDescent="0.25">
      <c r="A35" s="60"/>
      <c r="B35" s="299"/>
      <c r="C35" s="392"/>
      <c r="D35" s="392"/>
      <c r="E35" s="392"/>
      <c r="F35" s="392"/>
      <c r="G35" s="392"/>
      <c r="H35" s="392"/>
      <c r="I35" s="392"/>
      <c r="J35" s="392"/>
      <c r="K35" s="392"/>
      <c r="L35" s="392"/>
      <c r="M35" s="392"/>
      <c r="N35" s="392"/>
      <c r="O35" s="392"/>
      <c r="P35" s="392"/>
      <c r="Q35" s="392"/>
      <c r="R35" s="392"/>
      <c r="S35" s="392"/>
      <c r="T35" s="392"/>
      <c r="U35" s="392"/>
      <c r="V35" s="392"/>
      <c r="W35" s="392"/>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row>
    <row r="36" spans="1:54" s="141" customFormat="1" x14ac:dyDescent="0.25">
      <c r="A36" s="150"/>
      <c r="B36" s="142" t="s">
        <v>290</v>
      </c>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50"/>
      <c r="AB36" s="150"/>
      <c r="AC36" s="150"/>
      <c r="AD36" s="150"/>
      <c r="AE36" s="150"/>
      <c r="AF36" s="150"/>
      <c r="AG36" s="150"/>
      <c r="AH36" s="150"/>
      <c r="AI36" s="150"/>
      <c r="AJ36" s="150"/>
      <c r="AK36" s="150"/>
      <c r="AL36" s="150"/>
      <c r="AM36" s="150"/>
      <c r="AN36" s="150"/>
      <c r="AO36" s="150"/>
      <c r="AP36" s="150"/>
      <c r="AQ36" s="150"/>
      <c r="AR36" s="150"/>
      <c r="AS36" s="150"/>
      <c r="AT36" s="150"/>
      <c r="AU36" s="150"/>
      <c r="AV36" s="150"/>
      <c r="AW36" s="150"/>
      <c r="AX36" s="150"/>
      <c r="AY36" s="150"/>
      <c r="AZ36" s="150"/>
      <c r="BA36" s="150"/>
      <c r="BB36" s="150"/>
    </row>
    <row r="37" spans="1:54" x14ac:dyDescent="0.25">
      <c r="A37" s="60"/>
      <c r="B37" s="60" t="s">
        <v>63</v>
      </c>
      <c r="C37" s="59">
        <v>1.419065</v>
      </c>
      <c r="D37" s="146">
        <v>1.2721899999999999</v>
      </c>
      <c r="E37" s="146">
        <v>1.6214710000000001</v>
      </c>
      <c r="F37" s="146">
        <v>1.9528080000000001</v>
      </c>
      <c r="G37" s="146">
        <v>1.9344650000000001</v>
      </c>
      <c r="H37" s="146">
        <v>1.880984</v>
      </c>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row>
    <row r="38" spans="1:54" x14ac:dyDescent="0.25">
      <c r="A38" s="60"/>
      <c r="B38" s="148" t="s">
        <v>64</v>
      </c>
      <c r="D38" s="146">
        <v>0.35</v>
      </c>
      <c r="E38" s="146">
        <v>3.43</v>
      </c>
      <c r="F38" s="287">
        <v>3.5292500000000002</v>
      </c>
      <c r="G38" s="387">
        <v>2.0662500000000001</v>
      </c>
      <c r="H38" s="288">
        <v>1.9957499999999999</v>
      </c>
    </row>
    <row r="39" spans="1:54" x14ac:dyDescent="0.25">
      <c r="A39" s="60"/>
      <c r="B39" s="148" t="s">
        <v>65</v>
      </c>
      <c r="D39" s="146">
        <v>1.71</v>
      </c>
      <c r="E39" s="146">
        <v>3.08</v>
      </c>
      <c r="F39" s="289">
        <v>2.8521350000000001</v>
      </c>
      <c r="G39" s="388">
        <v>2.809685</v>
      </c>
      <c r="H39" s="290">
        <v>2.9436909999999998</v>
      </c>
    </row>
    <row r="40" spans="1:54" x14ac:dyDescent="0.25">
      <c r="A40" s="60"/>
      <c r="B40" s="149"/>
      <c r="C40" s="59"/>
      <c r="D40" s="59"/>
      <c r="E40" s="154"/>
      <c r="F40" s="286" t="s">
        <v>71</v>
      </c>
      <c r="G40" s="154"/>
      <c r="H40" s="154"/>
      <c r="I40" s="154"/>
      <c r="J40" s="154"/>
      <c r="K40" s="154"/>
      <c r="L40" s="154"/>
      <c r="M40" s="154"/>
      <c r="N40" s="154"/>
      <c r="O40" s="154"/>
      <c r="P40" s="154"/>
      <c r="Q40" s="154"/>
      <c r="R40" s="154"/>
      <c r="S40" s="154"/>
      <c r="T40" s="154"/>
      <c r="U40" s="154"/>
      <c r="V40" s="154"/>
      <c r="W40" s="154"/>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row>
    <row r="41" spans="1:54" s="141" customFormat="1" x14ac:dyDescent="0.25">
      <c r="A41" s="150"/>
      <c r="B41" s="155" t="s">
        <v>291</v>
      </c>
      <c r="C41" s="156"/>
      <c r="D41" s="156"/>
      <c r="E41" s="156"/>
      <c r="F41" s="156"/>
      <c r="G41" s="157"/>
      <c r="H41" s="157"/>
      <c r="I41" s="157"/>
      <c r="J41" s="157"/>
      <c r="K41" s="157"/>
      <c r="L41" s="157"/>
      <c r="M41" s="157"/>
      <c r="N41" s="157"/>
      <c r="O41" s="157"/>
      <c r="P41" s="157"/>
      <c r="Q41" s="157"/>
      <c r="R41" s="157"/>
      <c r="S41" s="157"/>
      <c r="T41" s="157"/>
      <c r="U41" s="157"/>
      <c r="V41" s="157"/>
      <c r="W41" s="157"/>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row>
    <row r="42" spans="1:54" x14ac:dyDescent="0.25">
      <c r="A42" s="60"/>
      <c r="B42" s="60" t="s">
        <v>66</v>
      </c>
      <c r="C42" s="59">
        <v>1.926131</v>
      </c>
      <c r="D42" s="146">
        <v>4.7547790000000001</v>
      </c>
      <c r="E42" s="146">
        <v>6.6476540000000002</v>
      </c>
      <c r="F42" s="146">
        <v>4.2327859999999999</v>
      </c>
      <c r="G42" s="146">
        <v>2.2870180000000002</v>
      </c>
      <c r="H42" s="146">
        <v>1.878755</v>
      </c>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row>
    <row r="43" spans="1:54" x14ac:dyDescent="0.25">
      <c r="A43" s="60"/>
    </row>
    <row r="44" spans="1:54" s="141" customFormat="1" x14ac:dyDescent="0.25">
      <c r="A44" s="150"/>
      <c r="B44" s="155" t="s">
        <v>292</v>
      </c>
      <c r="C44" s="156"/>
      <c r="D44" s="156"/>
      <c r="E44" s="156"/>
      <c r="F44" s="156"/>
      <c r="G44" s="157"/>
      <c r="H44" s="157"/>
      <c r="I44" s="157"/>
      <c r="J44" s="157"/>
      <c r="K44" s="157"/>
      <c r="L44" s="157"/>
      <c r="M44" s="157"/>
      <c r="N44" s="157"/>
      <c r="O44" s="157"/>
      <c r="P44" s="157"/>
      <c r="Q44" s="157"/>
      <c r="R44" s="157"/>
      <c r="S44" s="157"/>
      <c r="T44" s="157"/>
      <c r="U44" s="157"/>
      <c r="V44" s="157"/>
      <c r="W44" s="157"/>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row>
    <row r="45" spans="1:54" x14ac:dyDescent="0.25">
      <c r="A45" s="60"/>
      <c r="B45" s="60" t="s">
        <v>30</v>
      </c>
      <c r="C45" s="59">
        <v>0</v>
      </c>
      <c r="D45" s="146">
        <v>13.450314009208972</v>
      </c>
      <c r="E45" s="146">
        <v>7.2602828363552012</v>
      </c>
      <c r="F45" s="146">
        <v>6.7125514564843431</v>
      </c>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row>
    <row r="46" spans="1:54" x14ac:dyDescent="0.25">
      <c r="A46" s="60"/>
    </row>
    <row r="47" spans="1:54" s="137" customFormat="1" x14ac:dyDescent="0.25">
      <c r="A47" s="139"/>
      <c r="B47" s="138" t="s">
        <v>67</v>
      </c>
      <c r="C47" s="158"/>
      <c r="D47" s="158"/>
    </row>
    <row r="48" spans="1:54" x14ac:dyDescent="0.25">
      <c r="A48" s="60"/>
      <c r="B48" s="159"/>
      <c r="C48" s="59"/>
      <c r="D48" s="59"/>
      <c r="E48" s="300" t="s">
        <v>171</v>
      </c>
    </row>
    <row r="49" spans="1:5" x14ac:dyDescent="0.25">
      <c r="A49" s="60"/>
      <c r="B49" s="60" t="s">
        <v>68</v>
      </c>
      <c r="C49" s="63">
        <v>0.75</v>
      </c>
      <c r="D49" s="59"/>
      <c r="E49" s="60" t="s">
        <v>69</v>
      </c>
    </row>
    <row r="50" spans="1:5" x14ac:dyDescent="0.25">
      <c r="A50" s="60"/>
      <c r="B50" s="60" t="s">
        <v>247</v>
      </c>
      <c r="C50" s="63">
        <v>0.57099999999999995</v>
      </c>
      <c r="D50" s="59"/>
      <c r="E50" s="60" t="s">
        <v>70</v>
      </c>
    </row>
    <row r="51" spans="1:5" x14ac:dyDescent="0.25">
      <c r="A51" s="60"/>
      <c r="B51" s="60"/>
      <c r="C51" s="59"/>
      <c r="D51" s="59"/>
    </row>
    <row r="52" spans="1:5" x14ac:dyDescent="0.25">
      <c r="A52" s="60"/>
      <c r="B52" s="148" t="s">
        <v>240</v>
      </c>
      <c r="C52" s="160">
        <v>3.4425300000000001</v>
      </c>
      <c r="D52" s="59"/>
      <c r="E52" s="60" t="s">
        <v>71</v>
      </c>
    </row>
    <row r="53" spans="1:5" x14ac:dyDescent="0.25">
      <c r="A53" s="60"/>
      <c r="B53" s="148" t="s">
        <v>241</v>
      </c>
      <c r="C53" s="160">
        <v>2.6640299999999999</v>
      </c>
      <c r="D53" s="59"/>
      <c r="E53" s="60" t="s">
        <v>71</v>
      </c>
    </row>
    <row r="54" spans="1:5" x14ac:dyDescent="0.25">
      <c r="A54" s="60"/>
      <c r="B54" s="148" t="s">
        <v>242</v>
      </c>
      <c r="C54" s="146">
        <v>4</v>
      </c>
      <c r="D54" s="59"/>
      <c r="E54" s="60" t="s">
        <v>72</v>
      </c>
    </row>
    <row r="55" spans="1:5" x14ac:dyDescent="0.25">
      <c r="A55" s="60"/>
      <c r="B55" s="148" t="s">
        <v>243</v>
      </c>
      <c r="C55" s="146">
        <v>2</v>
      </c>
      <c r="D55" s="59"/>
      <c r="E55" s="60" t="s">
        <v>72</v>
      </c>
    </row>
    <row r="56" spans="1:5" x14ac:dyDescent="0.25">
      <c r="A56" s="60"/>
      <c r="B56" s="148"/>
      <c r="C56" s="59"/>
      <c r="D56" s="59"/>
    </row>
    <row r="57" spans="1:5" x14ac:dyDescent="0.25">
      <c r="A57" s="60"/>
      <c r="B57" s="60" t="s">
        <v>73</v>
      </c>
      <c r="C57" s="58">
        <v>6.9709199999999999E-2</v>
      </c>
      <c r="D57" s="196"/>
      <c r="E57" s="299" t="s">
        <v>172</v>
      </c>
    </row>
    <row r="58" spans="1:5" x14ac:dyDescent="0.25">
      <c r="A58" s="60"/>
      <c r="B58" s="60" t="s">
        <v>74</v>
      </c>
      <c r="C58" s="36">
        <f>1-C57</f>
        <v>0.93029079999999997</v>
      </c>
      <c r="E58" s="299" t="s">
        <v>172</v>
      </c>
    </row>
    <row r="59" spans="1:5" x14ac:dyDescent="0.25">
      <c r="A59" s="60"/>
      <c r="B59" s="60" t="s">
        <v>244</v>
      </c>
      <c r="C59" s="58">
        <v>0.10393416</v>
      </c>
      <c r="E59" s="299" t="s">
        <v>173</v>
      </c>
    </row>
    <row r="60" spans="1:5" x14ac:dyDescent="0.25">
      <c r="A60" s="60"/>
      <c r="B60" s="60"/>
      <c r="C60" s="151"/>
    </row>
    <row r="61" spans="1:5" x14ac:dyDescent="0.25">
      <c r="A61" s="60"/>
      <c r="B61" s="60" t="s">
        <v>245</v>
      </c>
      <c r="C61" s="161">
        <v>2.35</v>
      </c>
      <c r="E61" s="60" t="s">
        <v>75</v>
      </c>
    </row>
    <row r="62" spans="1:5" x14ac:dyDescent="0.25">
      <c r="A62" s="60"/>
      <c r="B62" s="60" t="s">
        <v>246</v>
      </c>
      <c r="C62" s="151">
        <v>2</v>
      </c>
      <c r="E62" s="60" t="s">
        <v>76</v>
      </c>
    </row>
    <row r="63" spans="1:5" x14ac:dyDescent="0.25">
      <c r="A63" s="60"/>
      <c r="B63" s="60"/>
      <c r="C63" s="151"/>
      <c r="E63" s="60"/>
    </row>
    <row r="64" spans="1:5" x14ac:dyDescent="0.25">
      <c r="A64" s="60"/>
      <c r="B64" s="60" t="s">
        <v>239</v>
      </c>
      <c r="C64" s="146">
        <v>52.855626782189901</v>
      </c>
      <c r="E64" s="60" t="s">
        <v>280</v>
      </c>
    </row>
    <row r="65" spans="1:7" x14ac:dyDescent="0.25">
      <c r="A65" s="60"/>
      <c r="B65" s="60"/>
      <c r="C65" s="151"/>
      <c r="E65" s="60"/>
    </row>
    <row r="66" spans="1:7" x14ac:dyDescent="0.25">
      <c r="A66" s="60"/>
      <c r="B66" s="60" t="s">
        <v>281</v>
      </c>
      <c r="C66" s="386">
        <v>0.77051802171099071</v>
      </c>
      <c r="D66" s="1"/>
      <c r="E66" s="60" t="s">
        <v>77</v>
      </c>
    </row>
    <row r="67" spans="1:7" x14ac:dyDescent="0.25">
      <c r="A67" s="60"/>
      <c r="B67" s="298" t="s">
        <v>282</v>
      </c>
      <c r="C67" s="386">
        <v>0.10653365315577265</v>
      </c>
      <c r="D67" s="1"/>
      <c r="E67" s="60" t="s">
        <v>77</v>
      </c>
    </row>
    <row r="68" spans="1:7" x14ac:dyDescent="0.25">
      <c r="A68" s="60"/>
      <c r="B68" s="298" t="s">
        <v>283</v>
      </c>
      <c r="C68" s="386">
        <v>6.7465518347610096E-2</v>
      </c>
      <c r="D68" s="1"/>
      <c r="E68" s="60" t="s">
        <v>77</v>
      </c>
    </row>
    <row r="69" spans="1:7" x14ac:dyDescent="0.25">
      <c r="A69" s="60"/>
      <c r="B69" s="148" t="s">
        <v>284</v>
      </c>
      <c r="C69" s="386">
        <v>5.1519720969264667E-2</v>
      </c>
      <c r="D69" s="1"/>
      <c r="E69" s="60" t="s">
        <v>77</v>
      </c>
    </row>
    <row r="70" spans="1:7" x14ac:dyDescent="0.25">
      <c r="A70" s="60"/>
      <c r="B70" s="148" t="s">
        <v>285</v>
      </c>
      <c r="C70" s="386">
        <v>3.9630552633213804E-3</v>
      </c>
      <c r="D70" s="1"/>
      <c r="E70" s="60" t="s">
        <v>77</v>
      </c>
    </row>
    <row r="71" spans="1:7" x14ac:dyDescent="0.25">
      <c r="A71" s="60"/>
      <c r="B71" s="148"/>
      <c r="C71" s="59"/>
      <c r="E71" s="60"/>
    </row>
    <row r="72" spans="1:7" s="137" customFormat="1" x14ac:dyDescent="0.25">
      <c r="B72" s="138" t="s">
        <v>78</v>
      </c>
      <c r="C72" s="158"/>
      <c r="D72" s="158"/>
    </row>
    <row r="73" spans="1:7" x14ac:dyDescent="0.25">
      <c r="B73" s="162"/>
      <c r="C73" s="163" t="s">
        <v>79</v>
      </c>
      <c r="D73" s="163" t="s">
        <v>80</v>
      </c>
      <c r="E73" s="164" t="s">
        <v>81</v>
      </c>
      <c r="F73" s="164" t="s">
        <v>82</v>
      </c>
      <c r="G73" s="164" t="s">
        <v>83</v>
      </c>
    </row>
    <row r="74" spans="1:7" x14ac:dyDescent="0.25">
      <c r="A74" s="60"/>
      <c r="B74" s="299" t="s">
        <v>174</v>
      </c>
      <c r="C74" s="34">
        <v>-6.5340576171875</v>
      </c>
      <c r="D74" s="34">
        <v>-9.2167739868164063</v>
      </c>
      <c r="E74" s="34">
        <v>-11.075614929199219</v>
      </c>
      <c r="F74" s="34">
        <v>-12.624496459960938</v>
      </c>
      <c r="G74" s="34">
        <v>-14.171295166015625</v>
      </c>
    </row>
    <row r="75" spans="1:7" x14ac:dyDescent="0.25">
      <c r="A75" s="60"/>
      <c r="B75" s="299" t="s">
        <v>175</v>
      </c>
      <c r="C75" s="34">
        <v>-2.5906524658203125</v>
      </c>
      <c r="D75" s="34">
        <v>-3.8641738891601563</v>
      </c>
      <c r="E75" s="34">
        <v>-4.6380233764648438</v>
      </c>
      <c r="F75" s="34">
        <v>-5.1610183715820313</v>
      </c>
      <c r="G75" s="34">
        <v>-5.7987060546875</v>
      </c>
    </row>
    <row r="76" spans="1:7" x14ac:dyDescent="0.25">
      <c r="A76" s="60"/>
      <c r="B76" s="299" t="s">
        <v>176</v>
      </c>
      <c r="C76" s="34">
        <v>2.65289306640625</v>
      </c>
      <c r="D76" s="34">
        <v>3.75189208984375</v>
      </c>
      <c r="E76" s="34">
        <v>4.4892959594726563</v>
      </c>
      <c r="F76" s="34">
        <v>5.1950912475585938</v>
      </c>
      <c r="G76" s="34">
        <v>6.1019744873046875</v>
      </c>
    </row>
    <row r="77" spans="1:7" x14ac:dyDescent="0.25">
      <c r="A77" s="60"/>
      <c r="B77" s="299" t="s">
        <v>177</v>
      </c>
      <c r="C77" s="34">
        <v>6.62725830078125</v>
      </c>
      <c r="D77" s="34">
        <v>9.2814865112304688</v>
      </c>
      <c r="E77" s="34">
        <v>11.254585266113281</v>
      </c>
      <c r="F77" s="34">
        <v>12.964546203613281</v>
      </c>
      <c r="G77" s="34">
        <v>14.472396850585938</v>
      </c>
    </row>
  </sheetData>
  <phoneticPr fontId="15" type="noConversion"/>
  <pageMargins left="0.7" right="0.7" top="0.75" bottom="0.75" header="0.3" footer="0.3"/>
  <pageSetup paperSize="9" orientation="portrait" r:id="rId1"/>
  <ignoredErrors>
    <ignoredError sqref="X58:Y58 C4:C6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33203125" defaultRowHeight="10.199999999999999" outlineLevelRow="1" x14ac:dyDescent="0.2"/>
  <cols>
    <col min="1" max="1" width="9.33203125" style="26" customWidth="1"/>
    <col min="2" max="2" width="57.44140625" style="26" customWidth="1"/>
    <col min="3" max="38" width="9.33203125" style="26" customWidth="1"/>
    <col min="39" max="48" width="11.44140625" style="26" bestFit="1" customWidth="1"/>
    <col min="49" max="16384" width="9.33203125" style="26"/>
  </cols>
  <sheetData>
    <row r="1" spans="1:51" ht="24.75" customHeight="1" x14ac:dyDescent="0.2">
      <c r="B1" s="39"/>
    </row>
    <row r="2" spans="1:51" ht="11.25" customHeight="1" x14ac:dyDescent="0.2">
      <c r="B2" s="27"/>
    </row>
    <row r="3" spans="1:51" ht="11.25" customHeight="1" x14ac:dyDescent="0.2">
      <c r="B3" s="19" t="s">
        <v>15</v>
      </c>
      <c r="C3" s="20" t="str">
        <f>'Input data'!C3</f>
        <v>AT</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c r="C7" s="66"/>
      <c r="E7" s="43"/>
      <c r="F7" s="29"/>
    </row>
    <row r="8" spans="1:51" x14ac:dyDescent="0.2">
      <c r="A8" s="29"/>
      <c r="C8" s="29"/>
      <c r="E8" s="43"/>
      <c r="F8" s="29"/>
    </row>
    <row r="9" spans="1:51" s="71" customFormat="1" ht="13.2" x14ac:dyDescent="0.25">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-3.4934150000000002</v>
      </c>
      <c r="D12" s="1">
        <f>'Input data'!D13</f>
        <v>-3.493954</v>
      </c>
      <c r="E12" s="2">
        <f>'Input data'!E13</f>
        <v>-1.399295</v>
      </c>
      <c r="F12" s="2">
        <f>'Input data'!F13</f>
        <v>-1.3351299999999999</v>
      </c>
      <c r="G12" s="1">
        <f>F12</f>
        <v>-1.3351299999999999</v>
      </c>
      <c r="H12" s="1">
        <f t="shared" ref="H12:W12" si="0">G12</f>
        <v>-1.3351299999999999</v>
      </c>
      <c r="I12" s="1">
        <f t="shared" si="0"/>
        <v>-1.3351299999999999</v>
      </c>
      <c r="J12" s="1">
        <f t="shared" si="0"/>
        <v>-1.3351299999999999</v>
      </c>
      <c r="K12" s="1">
        <f t="shared" si="0"/>
        <v>-1.3351299999999999</v>
      </c>
      <c r="L12" s="1">
        <f t="shared" si="0"/>
        <v>-1.3351299999999999</v>
      </c>
      <c r="M12" s="1">
        <f t="shared" si="0"/>
        <v>-1.3351299999999999</v>
      </c>
      <c r="N12" s="1">
        <f t="shared" si="0"/>
        <v>-1.3351299999999999</v>
      </c>
      <c r="O12" s="1">
        <f t="shared" si="0"/>
        <v>-1.3351299999999999</v>
      </c>
      <c r="P12" s="1">
        <f t="shared" si="0"/>
        <v>-1.3351299999999999</v>
      </c>
      <c r="Q12" s="1">
        <f t="shared" si="0"/>
        <v>-1.3351299999999999</v>
      </c>
      <c r="R12" s="1">
        <f t="shared" si="0"/>
        <v>-1.3351299999999999</v>
      </c>
      <c r="S12" s="1">
        <f t="shared" si="0"/>
        <v>-1.3351299999999999</v>
      </c>
      <c r="T12" s="1">
        <f t="shared" si="0"/>
        <v>-1.3351299999999999</v>
      </c>
      <c r="U12" s="1">
        <f t="shared" si="0"/>
        <v>-1.3351299999999999</v>
      </c>
      <c r="V12" s="1">
        <f t="shared" si="0"/>
        <v>-1.3351299999999999</v>
      </c>
      <c r="W12" s="1">
        <f t="shared" si="0"/>
        <v>-1.3351299999999999</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2.1047099999999999E-2</v>
      </c>
      <c r="D13" s="1">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-1.168344</v>
      </c>
      <c r="D14" s="1">
        <f>'Input data'!D15</f>
        <v>0.33345029999999998</v>
      </c>
      <c r="E14" s="2">
        <f>'Input data'!E15</f>
        <v>1.738494</v>
      </c>
      <c r="F14" s="2">
        <f>'Input data'!F15</f>
        <v>0.1010605</v>
      </c>
      <c r="G14" s="2">
        <f>'Input data'!G15</f>
        <v>9.9622799999999997E-2</v>
      </c>
      <c r="H14" s="2">
        <f>'Input data'!H15</f>
        <v>0.1</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7"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
        <f>'Input data'!D20</f>
        <v>25.324309999999997</v>
      </c>
      <c r="E17" s="100">
        <f>'Input data'!E20</f>
        <v>25.242449999999998</v>
      </c>
      <c r="F17" s="100">
        <f>'Input data'!F20</f>
        <v>25.614070000000002</v>
      </c>
      <c r="G17" s="100">
        <f>'Input data'!G20</f>
        <v>25.90615</v>
      </c>
      <c r="H17" s="100">
        <f>'Input data'!H20</f>
        <v>26.090959999999999</v>
      </c>
      <c r="I17" s="100">
        <f>'Input data'!I20</f>
        <v>26.301199999999998</v>
      </c>
      <c r="J17" s="100">
        <f>'Input data'!J20</f>
        <v>26.42249</v>
      </c>
      <c r="K17" s="100">
        <f>'Input data'!K20</f>
        <v>26.510670000000001</v>
      </c>
      <c r="L17" s="100">
        <f>'Input data'!L20</f>
        <v>26.607600000000001</v>
      </c>
      <c r="M17" s="100">
        <f>'Input data'!M20</f>
        <v>26.704270000000001</v>
      </c>
      <c r="N17" s="100">
        <f>'Input data'!N20</f>
        <v>26.793779999999998</v>
      </c>
      <c r="O17" s="100">
        <f>'Input data'!O20</f>
        <v>26.842309999999998</v>
      </c>
      <c r="P17" s="100">
        <f>'Input data'!P20</f>
        <v>26.922160000000002</v>
      </c>
      <c r="Q17" s="100">
        <f>'Input data'!Q20</f>
        <v>26.971239999999998</v>
      </c>
      <c r="R17" s="100">
        <f>'Input data'!R20</f>
        <v>27.00421</v>
      </c>
      <c r="S17" s="100">
        <f>'Input data'!S20</f>
        <v>27.027639999999998</v>
      </c>
      <c r="T17" s="100">
        <f>'Input data'!T20</f>
        <v>27.036020000000001</v>
      </c>
      <c r="U17" s="100">
        <f>'Input data'!U20</f>
        <v>27.037079999999996</v>
      </c>
      <c r="V17" s="100">
        <f>'Input data'!V20</f>
        <v>27.02562</v>
      </c>
      <c r="W17" s="100">
        <f>'Input data'!W20</f>
        <v>27.02122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tr">
        <f>'Input data'!B26</f>
        <v>Property income</v>
      </c>
      <c r="C18" s="1">
        <f>'Input data'!C26</f>
        <v>0.69878779999999996</v>
      </c>
      <c r="D18" s="1">
        <f>'Input data'!D26</f>
        <v>0.67838160000000003</v>
      </c>
      <c r="E18" s="100">
        <f>'Input data'!E26</f>
        <v>0.90806710000000002</v>
      </c>
      <c r="F18" s="100">
        <f>'Input data'!F26</f>
        <v>0.90100539999999996</v>
      </c>
      <c r="G18" s="100">
        <f>'Input data'!G26</f>
        <v>0.89394379999999996</v>
      </c>
      <c r="H18" s="100">
        <f>'Input data'!H26</f>
        <v>0.88688210000000001</v>
      </c>
      <c r="I18" s="100">
        <f>'Input data'!I26</f>
        <v>0.87982050000000001</v>
      </c>
      <c r="J18" s="100">
        <f>'Input data'!J26</f>
        <v>0.8727589</v>
      </c>
      <c r="K18" s="100">
        <f>'Input data'!K26</f>
        <v>0.8656973</v>
      </c>
      <c r="L18" s="100">
        <f>'Input data'!L26</f>
        <v>0.85863560000000005</v>
      </c>
      <c r="M18" s="100">
        <f>'Input data'!M26</f>
        <v>0.85157389999999999</v>
      </c>
      <c r="N18" s="100">
        <f>'Input data'!N26</f>
        <v>0.84451229999999999</v>
      </c>
      <c r="O18" s="100">
        <f>'Input data'!O26</f>
        <v>0.83745069999999999</v>
      </c>
      <c r="P18" s="100">
        <f>'Input data'!P26</f>
        <v>0.83038909999999999</v>
      </c>
      <c r="Q18" s="100">
        <f>'Input data'!Q26</f>
        <v>0.82332740000000004</v>
      </c>
      <c r="R18" s="100">
        <f>'Input data'!R26</f>
        <v>0.81626580000000004</v>
      </c>
      <c r="S18" s="100">
        <f>'Input data'!S26</f>
        <v>0.80920420000000004</v>
      </c>
      <c r="T18" s="100">
        <f>'Input data'!T26</f>
        <v>0.80214260000000004</v>
      </c>
      <c r="U18" s="100">
        <f>'Input data'!U26</f>
        <v>0.79508089999999998</v>
      </c>
      <c r="V18" s="100">
        <f>'Input data'!V26</f>
        <v>0.78801929999999998</v>
      </c>
      <c r="W18" s="100">
        <f>'Input data'!W26</f>
        <v>0.78095769999999998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85</v>
      </c>
    </row>
    <row r="21" spans="1:50" ht="10.5" customHeight="1" x14ac:dyDescent="0.2">
      <c r="B21" s="30" t="s">
        <v>86</v>
      </c>
    </row>
    <row r="22" spans="1:50" x14ac:dyDescent="0.2">
      <c r="B22" s="26" t="s">
        <v>61</v>
      </c>
      <c r="C22" s="34">
        <f>'Input data'!C31</f>
        <v>331.5462</v>
      </c>
      <c r="D22" s="34">
        <f>C22*(D23/100+1)</f>
        <v>349.04485699702803</v>
      </c>
      <c r="E22" s="99">
        <f t="shared" ref="E22:F22" si="1">D22*(E23/100+1)</f>
        <v>345.71160461789975</v>
      </c>
      <c r="F22" s="99">
        <f t="shared" si="1"/>
        <v>343.56249568773626</v>
      </c>
      <c r="G22" s="99">
        <f>F22*(G23/100+1)</f>
        <v>346.3129841929632</v>
      </c>
      <c r="H22" s="99">
        <f>G22*(H23/100+1)</f>
        <v>351.09478383732375</v>
      </c>
      <c r="I22" s="34">
        <f t="shared" ref="I22:W22" si="2">H22*(I23/100+1)</f>
        <v>355.71270544155334</v>
      </c>
      <c r="J22" s="34">
        <f t="shared" si="2"/>
        <v>360.12606499211017</v>
      </c>
      <c r="K22" s="34">
        <f t="shared" si="2"/>
        <v>364.70965231329217</v>
      </c>
      <c r="L22" s="34">
        <f t="shared" si="2"/>
        <v>368.77438150638557</v>
      </c>
      <c r="M22" s="34">
        <f t="shared" si="2"/>
        <v>372.92336987911858</v>
      </c>
      <c r="N22" s="34">
        <f t="shared" si="2"/>
        <v>377.09436114340122</v>
      </c>
      <c r="O22" s="34">
        <f t="shared" si="2"/>
        <v>381.30719146911025</v>
      </c>
      <c r="P22" s="34">
        <f t="shared" si="2"/>
        <v>385.73739763397833</v>
      </c>
      <c r="Q22" s="34">
        <f t="shared" si="2"/>
        <v>390.53100642023747</v>
      </c>
      <c r="R22" s="34">
        <f t="shared" si="2"/>
        <v>395.70001233625476</v>
      </c>
      <c r="S22" s="34">
        <f t="shared" si="2"/>
        <v>401.25744490151209</v>
      </c>
      <c r="T22" s="34">
        <f t="shared" si="2"/>
        <v>407.14859034289708</v>
      </c>
      <c r="U22" s="34">
        <f t="shared" si="2"/>
        <v>413.39398100068746</v>
      </c>
      <c r="V22" s="34">
        <f t="shared" si="2"/>
        <v>420.00296018222315</v>
      </c>
      <c r="W22" s="34">
        <f t="shared" si="2"/>
        <v>426.65151884128608</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4.7953340000000004</v>
      </c>
      <c r="D23" s="34">
        <f>+'Input data'!D30</f>
        <v>5.2778939999999999</v>
      </c>
      <c r="E23" s="99">
        <f>+'Input data'!E30</f>
        <v>-0.95496389999999998</v>
      </c>
      <c r="F23" s="99">
        <f>+'Input data'!F30</f>
        <v>-0.62164790000000003</v>
      </c>
      <c r="G23" s="99">
        <f>+'Input data'!G30</f>
        <v>0.80057880000000003</v>
      </c>
      <c r="H23" s="99">
        <f>+'Input data'!H30</f>
        <v>1.3807739999999999</v>
      </c>
      <c r="I23" s="34">
        <f>+'Input data'!I30</f>
        <v>1.3152919999999999</v>
      </c>
      <c r="J23" s="34">
        <f>+'Input data'!J30</f>
        <v>1.2407090000000001</v>
      </c>
      <c r="K23" s="34">
        <f>+'Input data'!K30</f>
        <v>1.2727729999999999</v>
      </c>
      <c r="L23" s="34">
        <f>+'Input data'!L30</f>
        <v>1.114511</v>
      </c>
      <c r="M23" s="34">
        <f>+'Input data'!M30</f>
        <v>1.125075</v>
      </c>
      <c r="N23" s="34">
        <f>+'Input data'!N30</f>
        <v>1.118458</v>
      </c>
      <c r="O23" s="34">
        <f>+'Input data'!O30</f>
        <v>1.1171819999999999</v>
      </c>
      <c r="P23" s="34">
        <f>+'Input data'!P30</f>
        <v>1.1618470000000001</v>
      </c>
      <c r="Q23" s="34">
        <f>+'Input data'!Q30</f>
        <v>1.242713</v>
      </c>
      <c r="R23" s="34">
        <f>+'Input data'!R30</f>
        <v>1.3235840000000001</v>
      </c>
      <c r="S23" s="34">
        <f>+'Input data'!S30</f>
        <v>1.4044559999999999</v>
      </c>
      <c r="T23" s="34">
        <f>+'Input data'!T30</f>
        <v>1.4681709999999999</v>
      </c>
      <c r="U23" s="34">
        <f>+'Input data'!U30</f>
        <v>1.5339339999999999</v>
      </c>
      <c r="V23" s="34">
        <f>+'Input data'!V30</f>
        <v>1.5987119999999999</v>
      </c>
      <c r="W23" s="34">
        <f>+'Input data'!W30</f>
        <v>1.5829789999999999</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4.4" x14ac:dyDescent="0.2">
      <c r="A25" s="223"/>
      <c r="B25" s="30" t="s">
        <v>87</v>
      </c>
      <c r="C25" s="222"/>
      <c r="D25" s="222"/>
      <c r="E25" s="222"/>
      <c r="F25" s="222"/>
      <c r="H25" s="258"/>
      <c r="I25" s="258"/>
      <c r="J25" s="258"/>
      <c r="K25" s="258"/>
      <c r="L25" s="258"/>
      <c r="M25" s="258"/>
      <c r="N25" s="258"/>
      <c r="O25" s="258"/>
      <c r="P25" s="258"/>
      <c r="Q25" s="258"/>
      <c r="R25" s="258"/>
      <c r="S25" s="258"/>
      <c r="T25" s="258"/>
    </row>
    <row r="26" spans="1:50" x14ac:dyDescent="0.2">
      <c r="B26" s="26" t="s">
        <v>61</v>
      </c>
      <c r="C26" s="34">
        <f>'Input data'!C34</f>
        <v>338.15530000000001</v>
      </c>
      <c r="D26" s="34">
        <f>+C26*(1+'Input data'!D33/100)</f>
        <v>342.225837660644</v>
      </c>
      <c r="E26" s="99">
        <f>+D26*(1+'Input data'!E33/100)</f>
        <v>345.81733013623199</v>
      </c>
      <c r="F26" s="99">
        <f>+E26*(1+'Input data'!F33/100)</f>
        <v>348.37401022216329</v>
      </c>
      <c r="G26" s="99">
        <f>+F26*(1+'Input data'!G33/100)</f>
        <v>350.82887192869305</v>
      </c>
      <c r="H26" s="99">
        <f>+G26*(1+'Input data'!H33/100)</f>
        <v>353.69561041475009</v>
      </c>
      <c r="I26" s="34">
        <f>+H26*(1+'Input data'!I33/100)</f>
        <v>357.46508247622813</v>
      </c>
      <c r="J26" s="34">
        <f>+I26*(1+'Input data'!J33/100)</f>
        <v>361.01090052490298</v>
      </c>
      <c r="K26" s="34">
        <f>+J26*(1+'Input data'!K33/100)</f>
        <v>364.70959077481382</v>
      </c>
      <c r="L26" s="34">
        <f>+K26*(1+'Input data'!L33/100)</f>
        <v>368.77430834076637</v>
      </c>
      <c r="M26" s="34">
        <f>+L26*(1+'Input data'!M33/100)</f>
        <v>372.92328113935895</v>
      </c>
      <c r="N26" s="34">
        <f>+M26*(1+'Input data'!N33/100)</f>
        <v>377.0942788695902</v>
      </c>
      <c r="O26" s="34">
        <f>+N26*(1+'Input data'!O33/100)</f>
        <v>381.30711581803666</v>
      </c>
      <c r="P26" s="34">
        <f>+O26*(1+'Input data'!P33/100)</f>
        <v>385.73731347781273</v>
      </c>
      <c r="Q26" s="34">
        <f>+P26*(1+'Input data'!Q33/100)</f>
        <v>390.53093279037171</v>
      </c>
      <c r="R26" s="34">
        <f>+Q26*(1+'Input data'!R33/100)</f>
        <v>395.6999494477638</v>
      </c>
      <c r="S26" s="34">
        <f>+R26*(1+'Input data'!S33/100)</f>
        <v>401.25739300077834</v>
      </c>
      <c r="T26" s="34">
        <f>+S26*(1+'Input data'!T33/100)</f>
        <v>407.14852162987609</v>
      </c>
      <c r="U26" s="34">
        <f>+T26*(1+'Input data'!U33/100)</f>
        <v>413.39391530513939</v>
      </c>
      <c r="V26" s="34">
        <f>+U26*(1+'Input data'!V33/100)</f>
        <v>420.00288103457507</v>
      </c>
      <c r="W26" s="34">
        <f>+V26*(1+'Input data'!W33/100)</f>
        <v>426.65142584066092</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88</v>
      </c>
      <c r="C29" s="34">
        <f t="shared" ref="C29:T29" si="3">100*(C22/C26-1)</f>
        <v>-1.9544570201916134</v>
      </c>
      <c r="D29" s="34">
        <f t="shared" si="3"/>
        <v>1.9925495348325661</v>
      </c>
      <c r="E29" s="99">
        <f t="shared" si="3"/>
        <v>-3.0572648944626746E-2</v>
      </c>
      <c r="F29" s="99">
        <f t="shared" si="3"/>
        <v>-1.3811347555343301</v>
      </c>
      <c r="G29" s="99">
        <f t="shared" si="3"/>
        <v>-1.2872052721612182</v>
      </c>
      <c r="H29" s="99">
        <f t="shared" si="3"/>
        <v>-0.73532905154705119</v>
      </c>
      <c r="I29" s="34">
        <f t="shared" si="3"/>
        <v>-0.49022327510584995</v>
      </c>
      <c r="J29" s="34">
        <f t="shared" si="3"/>
        <v>-0.24509939492305399</v>
      </c>
      <c r="K29" s="34">
        <f t="shared" si="3"/>
        <v>1.6873282171481208E-5</v>
      </c>
      <c r="L29" s="34">
        <f t="shared" si="3"/>
        <v>1.9840215959021634E-5</v>
      </c>
      <c r="M29" s="34">
        <f t="shared" si="3"/>
        <v>2.3795714598762174E-5</v>
      </c>
      <c r="N29" s="34">
        <f t="shared" si="3"/>
        <v>2.1817835915705075E-5</v>
      </c>
      <c r="O29" s="34">
        <f t="shared" si="3"/>
        <v>1.9839932297038843E-5</v>
      </c>
      <c r="P29" s="34">
        <f t="shared" si="3"/>
        <v>2.1816962636478365E-5</v>
      </c>
      <c r="Q29" s="34">
        <f t="shared" si="3"/>
        <v>1.8853785865857731E-5</v>
      </c>
      <c r="R29" s="34">
        <f t="shared" si="3"/>
        <v>1.5892974225550915E-5</v>
      </c>
      <c r="S29" s="34">
        <f t="shared" si="3"/>
        <v>1.2934523985208557E-5</v>
      </c>
      <c r="T29" s="34">
        <f t="shared" si="3"/>
        <v>1.6876647546126833E-5</v>
      </c>
      <c r="U29" s="34">
        <f t="shared" ref="U29:W29" si="4">100*(U22/U26-1)</f>
        <v>1.5891754978625272E-5</v>
      </c>
      <c r="V29" s="34">
        <f t="shared" si="4"/>
        <v>1.884454885470177E-5</v>
      </c>
      <c r="W29" s="34">
        <f t="shared" si="4"/>
        <v>2.1797800142664414E-5</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5">100*((1+C23/100)*(1+C41/100)-1)</f>
        <v>6.8138294147275458</v>
      </c>
      <c r="D32" s="1">
        <f t="shared" si="5"/>
        <v>10.283625195554279</v>
      </c>
      <c r="E32" s="2">
        <f t="shared" si="5"/>
        <v>5.6292074041030871</v>
      </c>
      <c r="F32" s="2">
        <f t="shared" si="5"/>
        <v>3.584825074719511</v>
      </c>
      <c r="G32" s="2">
        <f>100*((1+G23/100)*(1+G41/100)-1)</f>
        <v>3.1059061812601652</v>
      </c>
      <c r="H32" s="2">
        <f>100*((1+H23/100)*(1+H41/100)-1)</f>
        <v>3.2854703605637248</v>
      </c>
      <c r="I32" s="1">
        <f t="shared" si="5"/>
        <v>3.2784385201877875</v>
      </c>
      <c r="J32" s="1">
        <f t="shared" si="5"/>
        <v>3.2620468271546965</v>
      </c>
      <c r="K32" s="1">
        <f t="shared" si="5"/>
        <v>3.3544063660475798</v>
      </c>
      <c r="L32" s="1">
        <f t="shared" si="5"/>
        <v>3.2524534698190388</v>
      </c>
      <c r="M32" s="1">
        <f t="shared" si="5"/>
        <v>3.322809190118603</v>
      </c>
      <c r="N32" s="1">
        <f t="shared" si="5"/>
        <v>3.3756128436494892</v>
      </c>
      <c r="O32" s="1">
        <f t="shared" si="5"/>
        <v>3.4338720689605085</v>
      </c>
      <c r="P32" s="1">
        <f t="shared" si="5"/>
        <v>3.5391504044999911</v>
      </c>
      <c r="Q32" s="1">
        <f t="shared" si="5"/>
        <v>3.6041992807250178</v>
      </c>
      <c r="R32" s="1">
        <f t="shared" si="5"/>
        <v>3.6692249696000045</v>
      </c>
      <c r="S32" s="1">
        <f t="shared" si="5"/>
        <v>3.7342233766000099</v>
      </c>
      <c r="T32" s="1">
        <f t="shared" si="5"/>
        <v>3.7816452988000071</v>
      </c>
      <c r="U32" s="1">
        <f t="shared" si="5"/>
        <v>3.8311392567499825</v>
      </c>
      <c r="V32" s="1">
        <f t="shared" si="5"/>
        <v>3.8796030844000073</v>
      </c>
      <c r="W32" s="1">
        <f t="shared" si="5"/>
        <v>3.8457398572250057</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90</v>
      </c>
    </row>
    <row r="35" spans="2:51" x14ac:dyDescent="0.2">
      <c r="B35" s="26" t="s">
        <v>63</v>
      </c>
      <c r="C35" s="1">
        <f>'Input data'!C37</f>
        <v>1.419065</v>
      </c>
      <c r="D35" s="1">
        <f>'Input data'!D37</f>
        <v>1.2721899999999999</v>
      </c>
      <c r="E35" s="2">
        <f>'Input data'!E37</f>
        <v>1.6214710000000001</v>
      </c>
      <c r="F35" s="2">
        <f>'Input data'!F37</f>
        <v>1.9528080000000001</v>
      </c>
      <c r="G35" s="2">
        <f>'Input data'!G37</f>
        <v>1.9344650000000001</v>
      </c>
      <c r="H35" s="2">
        <f>'Input data'!H37</f>
        <v>1.880984</v>
      </c>
      <c r="I35" s="1">
        <f t="shared" ref="I35:W35" si="6">I96</f>
        <v>2.0436215505486772</v>
      </c>
      <c r="J35" s="1">
        <f t="shared" si="6"/>
        <v>2.1918780734581893</v>
      </c>
      <c r="K35" s="1">
        <f t="shared" si="6"/>
        <v>2.3278223926239727</v>
      </c>
      <c r="L35" s="1">
        <f t="shared" si="6"/>
        <v>2.4529142511503652</v>
      </c>
      <c r="M35" s="1">
        <f t="shared" si="6"/>
        <v>2.5697747247589096</v>
      </c>
      <c r="N35" s="1">
        <f t="shared" si="6"/>
        <v>2.6794124479547623</v>
      </c>
      <c r="O35" s="1">
        <f t="shared" si="6"/>
        <v>2.7826944506499007</v>
      </c>
      <c r="P35" s="1">
        <f t="shared" si="6"/>
        <v>2.8802285786450557</v>
      </c>
      <c r="Q35" s="1">
        <f t="shared" si="6"/>
        <v>2.9598101556222511</v>
      </c>
      <c r="R35" s="1">
        <f t="shared" si="6"/>
        <v>3.0310877570412829</v>
      </c>
      <c r="S35" s="1">
        <f t="shared" si="6"/>
        <v>3.0951868137743381</v>
      </c>
      <c r="T35" s="1">
        <f>T96</f>
        <v>3.1531296665221005</v>
      </c>
      <c r="U35" s="1">
        <f t="shared" si="6"/>
        <v>3.2057911818874039</v>
      </c>
      <c r="V35" s="1">
        <f t="shared" si="6"/>
        <v>3.2539558721315713</v>
      </c>
      <c r="W35" s="1">
        <f t="shared" si="6"/>
        <v>3.2982856238888045</v>
      </c>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60"/>
    </row>
    <row r="36" spans="2:51" x14ac:dyDescent="0.2">
      <c r="B36" s="32" t="s">
        <v>91</v>
      </c>
      <c r="C36" s="1"/>
      <c r="D36" s="1"/>
      <c r="E36" s="2">
        <f>'Input data'!E39</f>
        <v>3.08</v>
      </c>
      <c r="F36" s="165">
        <f>'Input data'!F39</f>
        <v>2.8521350000000001</v>
      </c>
      <c r="G36" s="165">
        <f>'Input data'!G39</f>
        <v>2.809685</v>
      </c>
      <c r="H36" s="165">
        <f>'Input data'!H39</f>
        <v>2.9436909999999998</v>
      </c>
      <c r="I36" s="1">
        <f>H36+($P$36-$H$36)/($P$10-$H$10)</f>
        <v>3.0060458749999999</v>
      </c>
      <c r="J36" s="1">
        <f t="shared" ref="J36:O36" si="7">I36+($P$36-$H$36)/($P$10-$H$10)</f>
        <v>3.0684007499999999</v>
      </c>
      <c r="K36" s="1">
        <f t="shared" si="7"/>
        <v>3.1307556249999999</v>
      </c>
      <c r="L36" s="1">
        <f t="shared" si="7"/>
        <v>3.1931105</v>
      </c>
      <c r="M36" s="1">
        <f t="shared" si="7"/>
        <v>3.255465375</v>
      </c>
      <c r="N36" s="1">
        <f t="shared" si="7"/>
        <v>3.31782025</v>
      </c>
      <c r="O36" s="1">
        <f t="shared" si="7"/>
        <v>3.3801751250000001</v>
      </c>
      <c r="P36" s="251">
        <f>'Input data'!$C$52</f>
        <v>3.4425300000000001</v>
      </c>
      <c r="Q36" s="1">
        <f>$P$36+('Input data'!$C$54-'Input data'!$C$52)/20*(Q$10-$P$10)</f>
        <v>3.4704035000000002</v>
      </c>
      <c r="R36" s="1">
        <f>$P$36+('Input data'!$C$54-'Input data'!$C$52)/20*(R$10-$P$10)</f>
        <v>3.4982769999999999</v>
      </c>
      <c r="S36" s="1">
        <f>$P$36+('Input data'!$C$54-'Input data'!$C$52)/20*(S$10-$P$10)</f>
        <v>3.5261505</v>
      </c>
      <c r="T36" s="1">
        <f>$P$36+('Input data'!$C$54-'Input data'!$C$52)/20*(T$10-$P$10)</f>
        <v>3.5540240000000001</v>
      </c>
      <c r="U36" s="1">
        <f>$P$36+('Input data'!$C$54-'Input data'!$C$52)/20*(U$10-$P$10)</f>
        <v>3.5818975000000002</v>
      </c>
      <c r="V36" s="1">
        <f>$P$36+('Input data'!$C$54-'Input data'!$C$52)/20*(V$10-$P$10)</f>
        <v>3.6097710000000003</v>
      </c>
      <c r="W36" s="1">
        <f>$P$36+('Input data'!$C$54-'Input data'!$C$52)/20*(W$10-$P$10)</f>
        <v>3.6376444999999999</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92</v>
      </c>
      <c r="C37" s="1"/>
      <c r="D37" s="1"/>
      <c r="E37" s="2">
        <f>'Input data'!E$38</f>
        <v>3.43</v>
      </c>
      <c r="F37" s="165">
        <f>'Input data'!F$38</f>
        <v>3.5292500000000002</v>
      </c>
      <c r="G37" s="165">
        <f>'Input data'!G$38</f>
        <v>2.0662500000000001</v>
      </c>
      <c r="H37" s="165">
        <f>'Input data'!H$38</f>
        <v>1.9957499999999999</v>
      </c>
      <c r="I37" s="1">
        <f>H37+($P$37-$H$37)/($P$10-$H$10)</f>
        <v>2.079285</v>
      </c>
      <c r="J37" s="1">
        <f t="shared" ref="J37:O37" si="8">I37+($P$37-$H$37)/($P$10-$H$10)</f>
        <v>2.16282</v>
      </c>
      <c r="K37" s="1">
        <f t="shared" si="8"/>
        <v>2.2463549999999999</v>
      </c>
      <c r="L37" s="1">
        <f t="shared" si="8"/>
        <v>2.3298899999999998</v>
      </c>
      <c r="M37" s="1">
        <f t="shared" si="8"/>
        <v>2.4134249999999997</v>
      </c>
      <c r="N37" s="1">
        <f t="shared" si="8"/>
        <v>2.4969599999999996</v>
      </c>
      <c r="O37" s="1">
        <f t="shared" si="8"/>
        <v>2.5804949999999995</v>
      </c>
      <c r="P37" s="251">
        <f>'Input data'!$C$53</f>
        <v>2.6640299999999999</v>
      </c>
      <c r="Q37" s="1">
        <f>$P$37+('Input data'!$C$55-'Input data'!$C$53)/20*(Q$10-$P$10)</f>
        <v>2.6308284999999998</v>
      </c>
      <c r="R37" s="1">
        <f>$P$37+('Input data'!$C$55-'Input data'!$C$53)/20*(R$10-$P$10)</f>
        <v>2.5976270000000001</v>
      </c>
      <c r="S37" s="1">
        <f>$P$37+('Input data'!$C$55-'Input data'!$C$53)/20*(S$10-$P$10)</f>
        <v>2.5644255</v>
      </c>
      <c r="T37" s="1">
        <f>$P$37+('Input data'!$C$55-'Input data'!$C$53)/20*(T$10-$P$10)</f>
        <v>2.5312239999999999</v>
      </c>
      <c r="U37" s="1">
        <f>$P$37+('Input data'!$C$55-'Input data'!$C$53)/20*(U$10-$P$10)</f>
        <v>2.4980224999999998</v>
      </c>
      <c r="V37" s="1">
        <f>$P$37+('Input data'!$C$55-'Input data'!$C$53)/20*(V$10-$P$10)</f>
        <v>2.4648209999999997</v>
      </c>
      <c r="W37" s="1">
        <f>$P$37+('Input data'!$C$55-'Input data'!$C$53)/20*(W$10-$P$10)</f>
        <v>2.4316195</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26" t="s">
        <v>93</v>
      </c>
      <c r="C38" s="1">
        <v>7.7717170000000002E-2</v>
      </c>
      <c r="D38" s="1">
        <v>0.11443643000000001</v>
      </c>
      <c r="E38" s="1">
        <v>0.12146793</v>
      </c>
      <c r="F38" s="1">
        <v>0.10811680999999999</v>
      </c>
      <c r="G38" s="1">
        <f>IF(OR($C$3="EL",$C$3="CY",$C$3="IE",$C$3="PT"),VLOOKUP($C$3,$B$110:$T$114,MATCH(G$10,$B$110:$T$110,0),0),$F$38+('Input data'!$C$59-$F$38)/($P$10-$F$10)*(G10-$F$10))</f>
        <v>0.10769854499999999</v>
      </c>
      <c r="H38" s="1">
        <f>IF(OR($C$3="EL",$C$3="CY",$C$3="IE",$C$3="PT"),VLOOKUP($C$3,$B$110:$T$114,MATCH(H$10,$B$110:$T$110,0),0),$F$38+('Input data'!$C$59-$F$38)/($P$10-$F$10)*(H10-$F$10))</f>
        <v>0.10728027999999999</v>
      </c>
      <c r="I38" s="1">
        <f>IF(OR($C$3="EL",$C$3="CY",$C$3="IE",$C$3="PT"),VLOOKUP($C$3,$B$110:$T$114,MATCH(I$10,$B$110:$T$110,0),0),$F$38+('Input data'!$C$59-$F$38)/($P$10-$F$10)*(I10-$F$10))</f>
        <v>0.10686201499999999</v>
      </c>
      <c r="J38" s="1">
        <f>IF(OR($C$3="EL",$C$3="CY",$C$3="IE",$C$3="PT"),VLOOKUP($C$3,$B$110:$T$114,MATCH(J$10,$B$110:$T$110,0),0),$F$38+('Input data'!$C$59-$F$38)/($P$10-$F$10)*(J10-$F$10))</f>
        <v>0.10644374999999999</v>
      </c>
      <c r="K38" s="1">
        <f>IF(OR($C$3="EL",$C$3="CY",$C$3="IE",$C$3="PT"),VLOOKUP($C$3,$B$110:$T$114,MATCH(K$10,$B$110:$T$110,0),0),$F$38+('Input data'!$C$59-$F$38)/($P$10-$F$10)*(K10-$F$10))</f>
        <v>0.106025485</v>
      </c>
      <c r="L38" s="1">
        <f>IF(OR($C$3="EL",$C$3="CY",$C$3="IE",$C$3="PT"),VLOOKUP($C$3,$B$110:$T$114,MATCH(L$10,$B$110:$T$110,0),0),$F$38+('Input data'!$C$59-$F$38)/($P$10-$F$10)*(L10-$F$10))</f>
        <v>0.10560722</v>
      </c>
      <c r="M38" s="1">
        <f>IF(OR($C$3="EL",$C$3="CY",$C$3="IE",$C$3="PT"),VLOOKUP($C$3,$B$110:$T$114,MATCH(M$10,$B$110:$T$110,0),0),$F$38+('Input data'!$C$59-$F$38)/($P$10-$F$10)*(M10-$F$10))</f>
        <v>0.105188955</v>
      </c>
      <c r="N38" s="1">
        <f>IF(OR($C$3="EL",$C$3="CY",$C$3="IE",$C$3="PT"),VLOOKUP($C$3,$B$110:$T$114,MATCH(N$10,$B$110:$T$110,0),0),$F$38+('Input data'!$C$59-$F$38)/($P$10-$F$10)*(N10-$F$10))</f>
        <v>0.10477069</v>
      </c>
      <c r="O38" s="1">
        <f>IF(OR($C$3="EL",$C$3="CY",$C$3="IE",$C$3="PT"),VLOOKUP($C$3,$B$110:$T$114,MATCH(O$10,$B$110:$T$110,0),0),$F$38+('Input data'!$C$59-$F$38)/($P$10-$F$10)*(O10-$F$10))</f>
        <v>0.104352425</v>
      </c>
      <c r="P38" s="251">
        <f>IF(OR($C$3="EL",$C$3="CY",$C$3="IE",$C$3="PT"),VLOOKUP($C$3,$B$110:$T$114,MATCH(P$10,$B$110:$T$110,0),0),'Input data'!$C$59)</f>
        <v>0.10393416</v>
      </c>
      <c r="Q38" s="1">
        <f>IF(OR($C$3="EL",$C$3="CY",$C$3="IE",$C$3="PT"),VLOOKUP($C$3,$B$110:$T$114,MATCH(Q$10,$B$110:$T$110,0),0),'Input data'!$C$59)</f>
        <v>0.10393416</v>
      </c>
      <c r="R38" s="1">
        <f>IF(OR($C$3="EL",$C$3="CY",$C$3="IE",$C$3="PT"),VLOOKUP($C$3,$B$110:$T$114,MATCH(R$10,$B$110:$T$110,0),0),'Input data'!$C$59)</f>
        <v>0.10393416</v>
      </c>
      <c r="S38" s="1">
        <f>IF(OR($C$3="EL",$C$3="CY",$C$3="IE",$C$3="PT"),VLOOKUP($C$3,$B$110:$T$114,MATCH(S$10,$B$110:$T$110,0),0),'Input data'!$C$59)</f>
        <v>0.10393416</v>
      </c>
      <c r="T38" s="1">
        <f>IF(OR($C$3="EL",$C$3="CY",$C$3="IE",$C$3="PT"),VLOOKUP($C$3,$B$110:$T$114,MATCH(T$10,$B$110:$T$110,0),0),'Input data'!$C$59)</f>
        <v>0.10393416</v>
      </c>
      <c r="U38" s="1">
        <f>IF(OR($C$3="EL",$C$3="CY",$C$3="IE",$C$3="PT"),VLOOKUP($C$3,$B$110:$W$114,MATCH(U$10,$B$110:$W$110,0),0),'Input data'!$C$59)</f>
        <v>0.10393416</v>
      </c>
      <c r="V38" s="1">
        <f>IF(OR($C$3="EL",$C$3="CY",$C$3="IE",$C$3="PT"),VLOOKUP($C$3,$B$110:$W$114,MATCH(V$10,$B$110:$W$110,0),0),'Input data'!$C$59)</f>
        <v>0.10393416</v>
      </c>
      <c r="W38" s="1">
        <f>IF(OR($C$3="EL",$C$3="CY",$C$3="IE",$C$3="PT"),VLOOKUP($C$3,$B$110:$W$114,MATCH(W$10,$B$110:$W$110,0),0),'Input data'!$C$59)</f>
        <v>0.10393416</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94</v>
      </c>
      <c r="C40" s="1"/>
      <c r="D40" s="1"/>
      <c r="E40" s="1"/>
      <c r="F40" s="1"/>
      <c r="G40" s="102"/>
      <c r="H40" s="102"/>
      <c r="I40" s="102"/>
      <c r="J40" s="102"/>
      <c r="K40" s="102"/>
      <c r="L40" s="102"/>
      <c r="M40" s="102"/>
      <c r="N40" s="1"/>
      <c r="O40" s="102"/>
      <c r="P40" s="102"/>
      <c r="Q40" s="102"/>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66</v>
      </c>
      <c r="C41" s="1">
        <f>'Input data'!C42</f>
        <v>1.926131</v>
      </c>
      <c r="D41" s="1">
        <f>'Input data'!D42</f>
        <v>4.7547790000000001</v>
      </c>
      <c r="E41" s="2">
        <f>'Input data'!E42</f>
        <v>6.6476540000000002</v>
      </c>
      <c r="F41" s="2">
        <f>'Input data'!F42</f>
        <v>4.2327859999999999</v>
      </c>
      <c r="G41" s="2">
        <f>'Input data'!G42</f>
        <v>2.2870180000000002</v>
      </c>
      <c r="H41" s="2">
        <f>'Input data'!H42</f>
        <v>1.878755</v>
      </c>
      <c r="I41" s="1">
        <f>$H$41+($P$41-$H$41)/($P$10-$H$10)*(I10-$H$10)</f>
        <v>1.9376606249999999</v>
      </c>
      <c r="J41" s="1">
        <f t="shared" ref="J41:O41" si="9">$H$41+($P$41-$H$41)/($P$10-$H$10)*(J10-$H$10)</f>
        <v>1.9965662499999999</v>
      </c>
      <c r="K41" s="1">
        <f t="shared" si="9"/>
        <v>2.0554718749999998</v>
      </c>
      <c r="L41" s="1">
        <f t="shared" si="9"/>
        <v>2.1143774999999998</v>
      </c>
      <c r="M41" s="1">
        <f t="shared" si="9"/>
        <v>2.1732831250000002</v>
      </c>
      <c r="N41" s="1">
        <f t="shared" si="9"/>
        <v>2.2321887500000002</v>
      </c>
      <c r="O41" s="1">
        <f t="shared" si="9"/>
        <v>2.2910943750000001</v>
      </c>
      <c r="P41" s="251">
        <f>'Input data'!$C$61</f>
        <v>2.35</v>
      </c>
      <c r="Q41" s="1">
        <f>$P$41+('Input data'!$C$62-'Input data'!$C$61)/20*(Q$10-$P$10)</f>
        <v>2.3325</v>
      </c>
      <c r="R41" s="1">
        <f>$P$41+('Input data'!$C$62-'Input data'!$C$61)/20*(R$10-$P$10)</f>
        <v>2.3149999999999999</v>
      </c>
      <c r="S41" s="1">
        <f>$P$41+('Input data'!$C$62-'Input data'!$C$61)/20*(S$10-$P$10)</f>
        <v>2.2974999999999999</v>
      </c>
      <c r="T41" s="1">
        <f>$P$41+('Input data'!$C$62-'Input data'!$C$61)/20*(T$10-$P$10)</f>
        <v>2.2800000000000002</v>
      </c>
      <c r="U41" s="1">
        <f>$P$41+('Input data'!$C$62-'Input data'!$C$61)/20*(U$10-$P$10)</f>
        <v>2.2625000000000002</v>
      </c>
      <c r="V41" s="1">
        <f>$P$41+('Input data'!$C$62-'Input data'!$C$61)/20*(V$10-$P$10)</f>
        <v>2.2450000000000001</v>
      </c>
      <c r="W41" s="1">
        <f>$P$41+('Input data'!$C$62-'Input data'!$C$61)/20*(W$10-$P$10)</f>
        <v>2.2275</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95</v>
      </c>
      <c r="C42" s="1">
        <v>0.9999093</v>
      </c>
      <c r="D42" s="1">
        <v>1.0003169999999999</v>
      </c>
      <c r="E42" s="1">
        <v>0.99993010000000004</v>
      </c>
      <c r="F42" s="1">
        <v>0.99998640000000005</v>
      </c>
      <c r="G42" s="1">
        <v>1.000005</v>
      </c>
      <c r="H42" s="1">
        <v>1</v>
      </c>
      <c r="I42" s="1">
        <v>1</v>
      </c>
      <c r="J42" s="1">
        <v>1</v>
      </c>
      <c r="K42" s="1">
        <v>1</v>
      </c>
      <c r="L42" s="1">
        <v>1</v>
      </c>
      <c r="M42" s="1">
        <v>1</v>
      </c>
      <c r="N42" s="1">
        <v>1</v>
      </c>
      <c r="O42" s="1">
        <v>1</v>
      </c>
      <c r="P42" s="1">
        <v>1</v>
      </c>
      <c r="Q42" s="1">
        <v>1</v>
      </c>
      <c r="R42" s="1">
        <v>1</v>
      </c>
      <c r="S42" s="1">
        <v>1</v>
      </c>
      <c r="T42" s="1">
        <v>1</v>
      </c>
      <c r="U42" s="1">
        <v>1</v>
      </c>
      <c r="V42" s="1">
        <v>1</v>
      </c>
      <c r="W42" s="1">
        <v>1</v>
      </c>
      <c r="X42" s="1"/>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71" customFormat="1" ht="13.2" x14ac:dyDescent="0.25">
      <c r="B44" s="75" t="s">
        <v>96</v>
      </c>
      <c r="C44" s="389"/>
    </row>
    <row r="45" spans="2:51" x14ac:dyDescent="0.2">
      <c r="C45" s="36"/>
    </row>
    <row r="46" spans="2:51" x14ac:dyDescent="0.2">
      <c r="B46" s="54" t="s">
        <v>68</v>
      </c>
      <c r="C46" s="55">
        <f>'Input data'!C49</f>
        <v>0.75</v>
      </c>
    </row>
    <row r="47" spans="2:51" x14ac:dyDescent="0.2">
      <c r="B47" s="56" t="s">
        <v>247</v>
      </c>
      <c r="C47" s="57">
        <f>'Input data'!C50</f>
        <v>0.57099999999999995</v>
      </c>
    </row>
    <row r="48" spans="2:51" x14ac:dyDescent="0.2">
      <c r="C48" s="58"/>
    </row>
    <row r="49" spans="2:48" outlineLevel="1" x14ac:dyDescent="0.2">
      <c r="B49" s="26" t="s">
        <v>97</v>
      </c>
      <c r="C49" s="34"/>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IF(AND(ABS(G12-F12)&gt;0.0001,G$10&gt;$C$5),4,IF(F49=4,3,IF(F49=3,2,IF(F49=2,1,0))))</f>
        <v>0</v>
      </c>
      <c r="H49" s="34">
        <f t="shared" ref="H49:W49" si="10">IF(AND(ABS(H12-G12)&gt;0.0001,H$10&gt;$C$5),4,IF(G49=4,3,IF(G49=3,2,IF(G49=2,1,0))))</f>
        <v>0</v>
      </c>
      <c r="I49" s="34">
        <f t="shared" si="10"/>
        <v>0</v>
      </c>
      <c r="J49" s="34">
        <f t="shared" si="10"/>
        <v>0</v>
      </c>
      <c r="K49" s="34">
        <f t="shared" si="10"/>
        <v>0</v>
      </c>
      <c r="L49" s="34">
        <f t="shared" si="10"/>
        <v>0</v>
      </c>
      <c r="M49" s="34">
        <f t="shared" si="10"/>
        <v>0</v>
      </c>
      <c r="N49" s="34">
        <f t="shared" si="10"/>
        <v>0</v>
      </c>
      <c r="O49" s="34">
        <f t="shared" si="10"/>
        <v>0</v>
      </c>
      <c r="P49" s="34">
        <f t="shared" si="10"/>
        <v>0</v>
      </c>
      <c r="Q49" s="34">
        <f t="shared" si="10"/>
        <v>0</v>
      </c>
      <c r="R49" s="34">
        <f t="shared" si="10"/>
        <v>0</v>
      </c>
      <c r="S49" s="34">
        <f t="shared" si="10"/>
        <v>0</v>
      </c>
      <c r="T49" s="34">
        <f t="shared" si="10"/>
        <v>0</v>
      </c>
      <c r="U49" s="34">
        <f t="shared" si="10"/>
        <v>0</v>
      </c>
      <c r="V49" s="34">
        <f t="shared" si="10"/>
        <v>0</v>
      </c>
      <c r="W49" s="34">
        <f t="shared" si="10"/>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98</v>
      </c>
      <c r="C50" s="34"/>
      <c r="D50" s="34">
        <f t="shared" ref="D50:W50" si="11">IF(C49=4,2/3*C29,IF(C49=3,1/3*B29,0))</f>
        <v>0</v>
      </c>
      <c r="E50" s="34">
        <f t="shared" si="11"/>
        <v>0</v>
      </c>
      <c r="F50" s="34">
        <f t="shared" si="11"/>
        <v>0</v>
      </c>
      <c r="G50" s="34">
        <f t="shared" si="11"/>
        <v>0</v>
      </c>
      <c r="H50" s="34">
        <f t="shared" si="11"/>
        <v>0</v>
      </c>
      <c r="I50" s="34">
        <f t="shared" si="11"/>
        <v>0</v>
      </c>
      <c r="J50" s="34">
        <f t="shared" si="11"/>
        <v>0</v>
      </c>
      <c r="K50" s="34">
        <f t="shared" si="11"/>
        <v>0</v>
      </c>
      <c r="L50" s="34">
        <f t="shared" si="11"/>
        <v>0</v>
      </c>
      <c r="M50" s="34">
        <f t="shared" si="11"/>
        <v>0</v>
      </c>
      <c r="N50" s="34">
        <f t="shared" si="11"/>
        <v>0</v>
      </c>
      <c r="O50" s="34">
        <f t="shared" si="11"/>
        <v>0</v>
      </c>
      <c r="P50" s="34">
        <f t="shared" si="11"/>
        <v>0</v>
      </c>
      <c r="Q50" s="34">
        <f t="shared" si="11"/>
        <v>0</v>
      </c>
      <c r="R50" s="34">
        <f t="shared" si="11"/>
        <v>0</v>
      </c>
      <c r="S50" s="34">
        <f t="shared" si="11"/>
        <v>0</v>
      </c>
      <c r="T50" s="34">
        <f t="shared" si="11"/>
        <v>0</v>
      </c>
      <c r="U50" s="34">
        <f t="shared" si="11"/>
        <v>0</v>
      </c>
      <c r="V50" s="34">
        <f t="shared" si="11"/>
        <v>0</v>
      </c>
      <c r="W50" s="34">
        <f t="shared" si="11"/>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99</v>
      </c>
      <c r="C51" s="34"/>
      <c r="D51" s="34">
        <f>'Input data'!D30-$C$46*((D12-C12)-('Input data'!D13-'Input data'!C13))</f>
        <v>5.2778939999999999</v>
      </c>
      <c r="E51" s="34">
        <f>'Input data'!E30-$C$46*((E12-D12)-('Input data'!E13-'Input data'!D13))</f>
        <v>-0.95496389999999998</v>
      </c>
      <c r="F51" s="34">
        <f>'Input data'!F30-$C$46*((F12-E12)-('Input data'!F13-'Input data'!E13))</f>
        <v>-0.62164790000000003</v>
      </c>
      <c r="G51" s="34">
        <f>'Input data'!G30-$C$46*((G12-F12)-('Input data'!G13-'Input data'!F13))</f>
        <v>1.8019263000000001</v>
      </c>
      <c r="H51" s="34">
        <f>'Input data'!H30-$C$46*((H12-G12))</f>
        <v>1.3807739999999999</v>
      </c>
      <c r="I51" s="34">
        <f>'Input data'!I30-$C$46*((I12-H12))</f>
        <v>1.3152919999999999</v>
      </c>
      <c r="J51" s="34">
        <f>'Input data'!J30-$C$46*((J12-I12))</f>
        <v>1.2407090000000001</v>
      </c>
      <c r="K51" s="34">
        <f>'Input data'!K30-$C$46*((K12-J12))</f>
        <v>1.2727729999999999</v>
      </c>
      <c r="L51" s="34">
        <f>'Input data'!L30-$C$46*((L12-K12))</f>
        <v>1.114511</v>
      </c>
      <c r="M51" s="34">
        <f>'Input data'!M30-$C$46*((M12-L12))</f>
        <v>1.125075</v>
      </c>
      <c r="N51" s="34">
        <f>'Input data'!N30-$C$46*((N12-M12))</f>
        <v>1.118458</v>
      </c>
      <c r="O51" s="34">
        <f>'Input data'!O30-$C$46*((O12-N12))</f>
        <v>1.1171819999999999</v>
      </c>
      <c r="P51" s="34">
        <f>'Input data'!P30-$C$46*((P12-O12))</f>
        <v>1.1618470000000001</v>
      </c>
      <c r="Q51" s="34">
        <f>'Input data'!Q30-$C$46*((Q12-P12))</f>
        <v>1.242713</v>
      </c>
      <c r="R51" s="34">
        <f>'Input data'!R30-$C$46*((R12-Q12))</f>
        <v>1.3235840000000001</v>
      </c>
      <c r="S51" s="34">
        <f>'Input data'!S30-$C$46*((S12-R12))</f>
        <v>1.4044559999999999</v>
      </c>
      <c r="T51" s="34">
        <f>'Input data'!T30-$C$46*((T12-S12))</f>
        <v>1.4681709999999999</v>
      </c>
      <c r="U51" s="34">
        <f>'Input data'!U30-$C$46*((U12-T12))</f>
        <v>1.5339339999999999</v>
      </c>
      <c r="V51" s="34">
        <f>'Input data'!V30-$C$46*((V12-U12))</f>
        <v>1.5987119999999999</v>
      </c>
      <c r="W51" s="34">
        <f>'Input data'!W30-$C$46*((W12-V12))</f>
        <v>1.5829789999999999</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71" customFormat="1" ht="13.2" outlineLevel="1" x14ac:dyDescent="0.25">
      <c r="B53" s="72" t="s">
        <v>100</v>
      </c>
      <c r="C53" s="73"/>
      <c r="E53" s="74"/>
      <c r="F53" s="73"/>
    </row>
    <row r="54" spans="2:48" outlineLevel="1" x14ac:dyDescent="0.2">
      <c r="B54" s="43"/>
      <c r="C54" s="29"/>
      <c r="E54" s="44"/>
      <c r="F54" s="29"/>
    </row>
    <row r="55" spans="2:48" outlineLevel="1" x14ac:dyDescent="0.2">
      <c r="B55" s="84"/>
      <c r="C55" s="85">
        <v>2021</v>
      </c>
      <c r="D55" s="85">
        <v>2022</v>
      </c>
      <c r="E55" s="85">
        <v>2023</v>
      </c>
      <c r="F55" s="85">
        <v>2024</v>
      </c>
      <c r="G55" s="85">
        <v>2025</v>
      </c>
      <c r="H55" s="85">
        <v>2026</v>
      </c>
      <c r="I55" s="85">
        <v>2027</v>
      </c>
      <c r="J55" s="85">
        <v>2028</v>
      </c>
      <c r="K55" s="85">
        <v>2029</v>
      </c>
      <c r="L55" s="85">
        <v>2030</v>
      </c>
      <c r="M55" s="85">
        <v>2031</v>
      </c>
      <c r="N55" s="85">
        <v>2032</v>
      </c>
      <c r="O55" s="85">
        <v>2033</v>
      </c>
      <c r="P55" s="85">
        <v>2034</v>
      </c>
      <c r="Q55" s="85">
        <v>2035</v>
      </c>
      <c r="R55" s="85">
        <v>2036</v>
      </c>
      <c r="S55" s="85">
        <v>2037</v>
      </c>
      <c r="T55" s="85">
        <v>2038</v>
      </c>
      <c r="U55" s="85">
        <v>2039</v>
      </c>
      <c r="V55" s="85">
        <v>2040</v>
      </c>
      <c r="W55" s="85">
        <v>2041</v>
      </c>
    </row>
    <row r="56" spans="2:48" ht="10.5" customHeight="1" outlineLevel="1" x14ac:dyDescent="0.2">
      <c r="B56" s="86" t="s">
        <v>101</v>
      </c>
      <c r="C56" s="45">
        <f>+'Input data'!C12</f>
        <v>82.394589999999994</v>
      </c>
      <c r="D56" s="45">
        <f>+C56+D57</f>
        <v>78.375620315610604</v>
      </c>
      <c r="E56" s="45">
        <f t="shared" ref="E56:T56" si="12">+D56+E57</f>
        <v>78.551901298157986</v>
      </c>
      <c r="F56" s="45">
        <f>+E56+F57</f>
        <v>79.538050043568091</v>
      </c>
      <c r="G56" s="45">
        <f>+F56+G57</f>
        <v>81.103648753972152</v>
      </c>
      <c r="H56" s="45">
        <f t="shared" si="12"/>
        <v>82.346816854482967</v>
      </c>
      <c r="I56" s="45">
        <f t="shared" si="12"/>
        <v>83.685624788627408</v>
      </c>
      <c r="J56" s="45">
        <f t="shared" si="12"/>
        <v>85.13008691493205</v>
      </c>
      <c r="K56" s="45">
        <f t="shared" si="12"/>
        <v>86.551547339642326</v>
      </c>
      <c r="L56" s="45">
        <f t="shared" si="12"/>
        <v>88.252350680787899</v>
      </c>
      <c r="M56" s="45">
        <f t="shared" si="12"/>
        <v>90.083900230628458</v>
      </c>
      <c r="N56" s="45">
        <f t="shared" si="12"/>
        <v>92.048535743907422</v>
      </c>
      <c r="O56" s="45">
        <f t="shared" si="12"/>
        <v>94.095948946978879</v>
      </c>
      <c r="P56" s="45">
        <f t="shared" si="12"/>
        <v>96.21094737665689</v>
      </c>
      <c r="Q56" s="45">
        <f t="shared" si="12"/>
        <v>98.382509443827914</v>
      </c>
      <c r="R56" s="45">
        <f>+Q56+R57</f>
        <v>100.58691520000578</v>
      </c>
      <c r="S56" s="45">
        <f t="shared" si="12"/>
        <v>102.80776089381729</v>
      </c>
      <c r="T56" s="45">
        <f t="shared" si="12"/>
        <v>105.04107640019653</v>
      </c>
      <c r="U56" s="45">
        <f t="shared" ref="U56" si="13">+T56+U57</f>
        <v>107.2724966129213</v>
      </c>
      <c r="V56" s="45">
        <f t="shared" ref="V56" si="14">+U56+V57</f>
        <v>109.48606998407627</v>
      </c>
      <c r="W56" s="45">
        <f t="shared" ref="W56" si="15">+V56+W57</f>
        <v>111.7711962976054</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7" t="s">
        <v>102</v>
      </c>
      <c r="C57" s="47"/>
      <c r="D57" s="47">
        <f>-D58+D66+D71</f>
        <v>-4.0189696843893961</v>
      </c>
      <c r="E57" s="47">
        <f t="shared" ref="E57:T57" si="16">-E58+E66+E71</f>
        <v>0.17628098254738189</v>
      </c>
      <c r="F57" s="47">
        <f>-F58+F66+F71</f>
        <v>0.98614874541010267</v>
      </c>
      <c r="G57" s="47">
        <f>-G58+G66+G71</f>
        <v>1.5655987104040543</v>
      </c>
      <c r="H57" s="47">
        <f t="shared" si="16"/>
        <v>1.2431681005108197</v>
      </c>
      <c r="I57" s="47">
        <f t="shared" si="16"/>
        <v>1.338807934144447</v>
      </c>
      <c r="J57" s="47">
        <f t="shared" si="16"/>
        <v>1.4444621263046435</v>
      </c>
      <c r="K57" s="47">
        <f t="shared" si="16"/>
        <v>1.4214604247102685</v>
      </c>
      <c r="L57" s="47">
        <f t="shared" si="16"/>
        <v>1.7008033411455759</v>
      </c>
      <c r="M57" s="47">
        <f t="shared" si="16"/>
        <v>1.8315495498405614</v>
      </c>
      <c r="N57" s="47">
        <f t="shared" si="16"/>
        <v>1.9646355132789706</v>
      </c>
      <c r="O57" s="47">
        <f t="shared" si="16"/>
        <v>2.0474132030714518</v>
      </c>
      <c r="P57" s="47">
        <f t="shared" si="16"/>
        <v>2.1149984296780104</v>
      </c>
      <c r="Q57" s="47">
        <f t="shared" si="16"/>
        <v>2.1715620671710294</v>
      </c>
      <c r="R57" s="47">
        <f>-R58+R66+R71</f>
        <v>2.2044057561778678</v>
      </c>
      <c r="S57" s="47">
        <f t="shared" si="16"/>
        <v>2.2208456938115058</v>
      </c>
      <c r="T57" s="47">
        <f t="shared" si="16"/>
        <v>2.2333155063792418</v>
      </c>
      <c r="U57" s="47">
        <f t="shared" ref="U57:W57" si="17">-U58+U66+U71</f>
        <v>2.2314202127247755</v>
      </c>
      <c r="V57" s="47">
        <f t="shared" si="17"/>
        <v>2.2135733711549692</v>
      </c>
      <c r="W57" s="47">
        <f t="shared" si="17"/>
        <v>2.285126313529128</v>
      </c>
    </row>
    <row r="58" spans="2:48" outlineLevel="1" x14ac:dyDescent="0.2">
      <c r="B58" s="83" t="s">
        <v>103</v>
      </c>
      <c r="C58" s="48"/>
      <c r="D58" s="48">
        <f>D59+D60-D61-D62-D63-D64-D65</f>
        <v>-2.3562082156106046</v>
      </c>
      <c r="E58" s="48">
        <f>E59+E60-E61-E62-E63-E64-E65</f>
        <v>-1.4167519825473818</v>
      </c>
      <c r="F58" s="48">
        <f>F59+F60-F61-F62-F63-F64-F65</f>
        <v>-2.1237579454101025</v>
      </c>
      <c r="G58" s="48">
        <f t="shared" ref="G58:T58" si="18">G59+G60-G61-G62-G63-G64-G65</f>
        <v>-2.369265810404054</v>
      </c>
      <c r="H58" s="48">
        <f t="shared" si="18"/>
        <v>-2.2460161884333636</v>
      </c>
      <c r="I58" s="48">
        <f t="shared" si="18"/>
        <v>-2.3233623900854363</v>
      </c>
      <c r="J58" s="48">
        <f t="shared" si="18"/>
        <v>-2.3117482545010617</v>
      </c>
      <c r="K58" s="48">
        <f t="shared" si="18"/>
        <v>-2.2670284653558794</v>
      </c>
      <c r="L58" s="48">
        <f t="shared" si="18"/>
        <v>-2.3710184712366869</v>
      </c>
      <c r="M58" s="48">
        <f t="shared" si="18"/>
        <v>-2.4747479126469631</v>
      </c>
      <c r="N58" s="48">
        <f t="shared" si="18"/>
        <v>-2.5713206420156887</v>
      </c>
      <c r="O58" s="48">
        <f t="shared" si="18"/>
        <v>-2.6269133713986541</v>
      </c>
      <c r="P58" s="48">
        <f t="shared" si="18"/>
        <v>-2.7138238425143344</v>
      </c>
      <c r="Q58" s="48">
        <f t="shared" si="18"/>
        <v>-2.7699672344882664</v>
      </c>
      <c r="R58" s="48">
        <f t="shared" si="18"/>
        <v>-2.8100005251117155</v>
      </c>
      <c r="S58" s="48">
        <f t="shared" si="18"/>
        <v>-2.840493814386801</v>
      </c>
      <c r="T58" s="48">
        <f t="shared" si="18"/>
        <v>-2.85593316343425</v>
      </c>
      <c r="U58" s="48">
        <f t="shared" ref="U58:W58" si="19">U59+U60-U61-U62-U63-U64-U65</f>
        <v>-2.8640554258079014</v>
      </c>
      <c r="V58" s="48">
        <f t="shared" si="19"/>
        <v>-2.8596553397626026</v>
      </c>
      <c r="W58" s="48">
        <f t="shared" si="19"/>
        <v>-2.8623152534561163</v>
      </c>
    </row>
    <row r="59" spans="2:48" outlineLevel="1" x14ac:dyDescent="0.2">
      <c r="B59" s="78" t="s">
        <v>104</v>
      </c>
      <c r="C59" s="1"/>
      <c r="D59" s="1">
        <f>D12</f>
        <v>-3.493954</v>
      </c>
      <c r="E59" s="1">
        <f>E12</f>
        <v>-1.399295</v>
      </c>
      <c r="F59" s="1">
        <f>F12</f>
        <v>-1.3351299999999999</v>
      </c>
      <c r="G59" s="1">
        <f t="shared" ref="G59:W59" si="20">IF(G12="",F59,G12)</f>
        <v>-1.3351299999999999</v>
      </c>
      <c r="H59" s="1">
        <f>IF(H12="",G59,H12)</f>
        <v>-1.3351299999999999</v>
      </c>
      <c r="I59" s="1">
        <f t="shared" si="20"/>
        <v>-1.3351299999999999</v>
      </c>
      <c r="J59" s="1">
        <f t="shared" si="20"/>
        <v>-1.3351299999999999</v>
      </c>
      <c r="K59" s="1">
        <f t="shared" si="20"/>
        <v>-1.3351299999999999</v>
      </c>
      <c r="L59" s="1">
        <f t="shared" si="20"/>
        <v>-1.3351299999999999</v>
      </c>
      <c r="M59" s="1">
        <f t="shared" si="20"/>
        <v>-1.3351299999999999</v>
      </c>
      <c r="N59" s="1">
        <f t="shared" si="20"/>
        <v>-1.3351299999999999</v>
      </c>
      <c r="O59" s="1">
        <f t="shared" si="20"/>
        <v>-1.3351299999999999</v>
      </c>
      <c r="P59" s="1">
        <f t="shared" si="20"/>
        <v>-1.3351299999999999</v>
      </c>
      <c r="Q59" s="1">
        <f t="shared" si="20"/>
        <v>-1.3351299999999999</v>
      </c>
      <c r="R59" s="1">
        <f t="shared" si="20"/>
        <v>-1.3351299999999999</v>
      </c>
      <c r="S59" s="1">
        <f t="shared" si="20"/>
        <v>-1.3351299999999999</v>
      </c>
      <c r="T59" s="1">
        <f t="shared" si="20"/>
        <v>-1.3351299999999999</v>
      </c>
      <c r="U59" s="1">
        <f t="shared" si="20"/>
        <v>-1.3351299999999999</v>
      </c>
      <c r="V59" s="1">
        <f t="shared" si="20"/>
        <v>-1.3351299999999999</v>
      </c>
      <c r="W59" s="1">
        <f t="shared" si="20"/>
        <v>-1.3351299999999999</v>
      </c>
    </row>
    <row r="60" spans="2:48" outlineLevel="1" x14ac:dyDescent="0.2">
      <c r="B60" s="78"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8" t="s">
        <v>106</v>
      </c>
      <c r="C61" s="1"/>
      <c r="D61" s="1">
        <f t="shared" ref="D61:W61" si="21">-$C$47*D29</f>
        <v>-1.1377457843893952</v>
      </c>
      <c r="E61" s="1">
        <f t="shared" si="21"/>
        <v>1.7456982547381872E-2</v>
      </c>
      <c r="F61" s="1">
        <f t="shared" si="21"/>
        <v>0.78862794541010239</v>
      </c>
      <c r="G61" s="1">
        <f t="shared" si="21"/>
        <v>0.73499421040405555</v>
      </c>
      <c r="H61" s="1">
        <f>-$C$47*H29</f>
        <v>0.41987288843336618</v>
      </c>
      <c r="I61" s="1">
        <f t="shared" si="21"/>
        <v>0.27991749008544031</v>
      </c>
      <c r="J61" s="1">
        <f>-$C$47*J29</f>
        <v>0.13995175450106381</v>
      </c>
      <c r="K61" s="1">
        <f t="shared" si="21"/>
        <v>-9.6346441199157685E-6</v>
      </c>
      <c r="L61" s="1">
        <f t="shared" si="21"/>
        <v>-1.1328763312601352E-5</v>
      </c>
      <c r="M61" s="1">
        <f t="shared" si="21"/>
        <v>-1.35873530358932E-5</v>
      </c>
      <c r="N61" s="1">
        <f t="shared" si="21"/>
        <v>-1.2457984307867597E-5</v>
      </c>
      <c r="O61" s="1">
        <f t="shared" si="21"/>
        <v>-1.1328601341609178E-5</v>
      </c>
      <c r="P61" s="1">
        <f t="shared" si="21"/>
        <v>-1.2457485665429146E-5</v>
      </c>
      <c r="Q61" s="1">
        <f t="shared" si="21"/>
        <v>-1.0765511729404763E-5</v>
      </c>
      <c r="R61" s="1">
        <f t="shared" si="21"/>
        <v>-9.0748882827895717E-6</v>
      </c>
      <c r="S61" s="1">
        <f t="shared" si="21"/>
        <v>-7.3856131955540855E-6</v>
      </c>
      <c r="T61" s="1">
        <f t="shared" si="21"/>
        <v>-9.6365657488384212E-6</v>
      </c>
      <c r="U61" s="1">
        <f t="shared" si="21"/>
        <v>-9.0741920927950293E-6</v>
      </c>
      <c r="V61" s="1">
        <f t="shared" si="21"/>
        <v>-1.076023739603471E-5</v>
      </c>
      <c r="W61" s="1">
        <f t="shared" si="21"/>
        <v>-1.244654388146138E-5</v>
      </c>
    </row>
    <row r="62" spans="2:48" outlineLevel="1" x14ac:dyDescent="0.2">
      <c r="B62" s="78" t="s">
        <v>107</v>
      </c>
      <c r="C62" s="1"/>
      <c r="D62" s="1">
        <f t="shared" ref="D62:W62" si="22">-D13</f>
        <v>0</v>
      </c>
      <c r="E62" s="1">
        <f t="shared" si="22"/>
        <v>0</v>
      </c>
      <c r="F62" s="1">
        <f t="shared" si="22"/>
        <v>0</v>
      </c>
      <c r="G62" s="1">
        <f t="shared" si="22"/>
        <v>0</v>
      </c>
      <c r="H62" s="1">
        <f>-H13</f>
        <v>0</v>
      </c>
      <c r="I62" s="1">
        <f t="shared" si="22"/>
        <v>0</v>
      </c>
      <c r="J62" s="1">
        <f t="shared" si="22"/>
        <v>0</v>
      </c>
      <c r="K62" s="1">
        <f t="shared" si="22"/>
        <v>0</v>
      </c>
      <c r="L62" s="1">
        <f t="shared" si="22"/>
        <v>0</v>
      </c>
      <c r="M62" s="1">
        <f t="shared" si="22"/>
        <v>0</v>
      </c>
      <c r="N62" s="1">
        <f t="shared" si="22"/>
        <v>0</v>
      </c>
      <c r="O62" s="1">
        <f t="shared" si="22"/>
        <v>0</v>
      </c>
      <c r="P62" s="1">
        <f t="shared" si="22"/>
        <v>0</v>
      </c>
      <c r="Q62" s="1">
        <f t="shared" si="22"/>
        <v>0</v>
      </c>
      <c r="R62" s="1">
        <f t="shared" si="22"/>
        <v>0</v>
      </c>
      <c r="S62" s="1">
        <f t="shared" si="22"/>
        <v>0</v>
      </c>
      <c r="T62" s="1">
        <f t="shared" si="22"/>
        <v>0</v>
      </c>
      <c r="U62" s="1">
        <f t="shared" si="22"/>
        <v>0</v>
      </c>
      <c r="V62" s="1">
        <f t="shared" si="22"/>
        <v>0</v>
      </c>
      <c r="W62" s="1">
        <f t="shared" si="22"/>
        <v>0</v>
      </c>
    </row>
    <row r="63" spans="2:48" outlineLevel="1" x14ac:dyDescent="0.2">
      <c r="B63" s="78" t="s">
        <v>108</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0.29207999999999856</v>
      </c>
      <c r="H63" s="1">
        <f>IF(H$55&lt;=$C$5,0,HLOOKUP(H$55,'Input data'!$C$9:$BB$26,12,FALSE)-HLOOKUP($C$5,'Input data'!$C$9:$BB$26,12,FALSE))</f>
        <v>0.47688999999999737</v>
      </c>
      <c r="I63" s="1">
        <f>IF(I$55&lt;=$C$5,0,HLOOKUP(I$55,'Input data'!$C$9:$BB$26,12,FALSE)-HLOOKUP($C$5,'Input data'!$C$9:$BB$26,12,FALSE))</f>
        <v>0.68712999999999624</v>
      </c>
      <c r="J63" s="1">
        <f>IF(J$55&lt;=$C$5,0,HLOOKUP(J$55,'Input data'!$C$9:$BB$26,12,FALSE)-HLOOKUP($C$5,'Input data'!$C$9:$BB$26,12,FALSE))</f>
        <v>0.80841999999999814</v>
      </c>
      <c r="K63" s="1">
        <f>IF(K$55&lt;=$C$5,0,HLOOKUP(K$55,'Input data'!$C$9:$BB$26,12,FALSE)-HLOOKUP($C$5,'Input data'!$C$9:$BB$26,12,FALSE))</f>
        <v>0.8965999999999994</v>
      </c>
      <c r="L63" s="1">
        <f>IF(L$55&lt;=$C$5,0,HLOOKUP(L$55,'Input data'!$C$9:$BB$26,12,FALSE)-HLOOKUP($C$5,'Input data'!$C$9:$BB$26,12,FALSE))</f>
        <v>0.9935299999999998</v>
      </c>
      <c r="M63" s="1">
        <f>IF(M$55&lt;=$C$5,0,HLOOKUP(M$55,'Input data'!$C$9:$BB$26,12,FALSE)-HLOOKUP($C$5,'Input data'!$C$9:$BB$26,12,FALSE))</f>
        <v>1.0901999999999994</v>
      </c>
      <c r="N63" s="1">
        <f>IF(N$55&lt;=$C$5,0,HLOOKUP(N$55,'Input data'!$C$9:$BB$26,12,FALSE)-HLOOKUP($C$5,'Input data'!$C$9:$BB$26,12,FALSE))</f>
        <v>1.1797099999999965</v>
      </c>
      <c r="O63" s="1">
        <f>IF(O$55&lt;=$C$5,0,HLOOKUP(O$55,'Input data'!$C$9:$BB$26,12,FALSE)-HLOOKUP($C$5,'Input data'!$C$9:$BB$26,12,FALSE))</f>
        <v>1.228239999999996</v>
      </c>
      <c r="P63" s="1">
        <f>IF(P$55&lt;=$C$5,0,HLOOKUP(P$55,'Input data'!$C$9:$BB$26,12,FALSE)-HLOOKUP($C$5,'Input data'!$C$9:$BB$26,12,FALSE))</f>
        <v>1.30809</v>
      </c>
      <c r="Q63" s="1">
        <f>IF(Q$55&lt;=$C$5,0,HLOOKUP(Q$55,'Input data'!$C$9:$BB$26,12,FALSE)-HLOOKUP($C$5,'Input data'!$C$9:$BB$26,12,FALSE))</f>
        <v>1.3571699999999964</v>
      </c>
      <c r="R63" s="1">
        <f>IF(R$55&lt;=$C$5,0,HLOOKUP(R$55,'Input data'!$C$9:$BB$26,12,FALSE)-HLOOKUP($C$5,'Input data'!$C$9:$BB$26,12,FALSE))</f>
        <v>1.3901399999999988</v>
      </c>
      <c r="S63" s="1">
        <f>IF(S$55&lt;=$C$5,0,HLOOKUP(S$55,'Input data'!$C$9:$BB$26,12,FALSE)-HLOOKUP($C$5,'Input data'!$C$9:$BB$26,12,FALSE))</f>
        <v>1.4135699999999964</v>
      </c>
      <c r="T63" s="1">
        <f>IF(T$55&lt;=$C$5,0,HLOOKUP(T$55,'Input data'!$C$9:$BB$26,12,FALSE)-HLOOKUP($C$5,'Input data'!$C$9:$BB$26,12,FALSE))</f>
        <v>1.4219499999999989</v>
      </c>
      <c r="U63" s="1">
        <f>IF(U$55&lt;=$C$5,0,HLOOKUP(U$55,'Input data'!$C$9:$BB$26,12,FALSE)-HLOOKUP($C$5,'Input data'!$C$9:$BB$26,12,FALSE))</f>
        <v>1.4230099999999943</v>
      </c>
      <c r="V63" s="1">
        <f>IF(V$55&lt;=$C$5,0,HLOOKUP(V$55,'Input data'!$C$9:$BB$26,12,FALSE)-HLOOKUP($C$5,'Input data'!$C$9:$BB$26,12,FALSE))</f>
        <v>1.4115499999999983</v>
      </c>
      <c r="W63" s="1">
        <f>IF(W$55&lt;=$C$5,0,HLOOKUP(W$55,'Input data'!$C$9:$BB$26,12,FALSE)-HLOOKUP($C$5,'Input data'!$C$9:$BB$26,12,FALSE))</f>
        <v>1.4071499999999979</v>
      </c>
    </row>
    <row r="64" spans="2:48" outlineLevel="1" x14ac:dyDescent="0.2">
      <c r="B64" s="78" t="s">
        <v>109</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7.0616000000000012E-3</v>
      </c>
      <c r="H64" s="1">
        <f>IF(H$55&lt;=$C$5,0,-HLOOKUP(H$55,'Input data'!$C$9:$BB$26,18,FALSE)+HLOOKUP($C$5,'Input data'!$C$9:$BB$26,18,FALSE))</f>
        <v>1.412329999999995E-2</v>
      </c>
      <c r="I64" s="1">
        <f>IF(I$55&lt;=$C$5,0,-HLOOKUP(I$55,'Input data'!$C$9:$BB$26,18,FALSE)+HLOOKUP($C$5,'Input data'!$C$9:$BB$26,18,FALSE))</f>
        <v>2.1184899999999951E-2</v>
      </c>
      <c r="J64" s="1">
        <f>IF(J$55&lt;=$C$5,0,-HLOOKUP(J$55,'Input data'!$C$9:$BB$26,18,FALSE)+HLOOKUP($C$5,'Input data'!$C$9:$BB$26,18,FALSE))</f>
        <v>2.8246499999999952E-2</v>
      </c>
      <c r="K64" s="1">
        <f>IF(K$55&lt;=$C$5,0,-HLOOKUP(K$55,'Input data'!$C$9:$BB$26,18,FALSE)+HLOOKUP($C$5,'Input data'!$C$9:$BB$26,18,FALSE))</f>
        <v>3.5308099999999953E-2</v>
      </c>
      <c r="L64" s="1">
        <f>IF(L$55&lt;=$C$5,0,-HLOOKUP(L$55,'Input data'!$C$9:$BB$26,18,FALSE)+HLOOKUP($C$5,'Input data'!$C$9:$BB$26,18,FALSE))</f>
        <v>4.2369799999999902E-2</v>
      </c>
      <c r="M64" s="1">
        <f>IF(M$55&lt;=$C$5,0,-HLOOKUP(M$55,'Input data'!$C$9:$BB$26,18,FALSE)+HLOOKUP($C$5,'Input data'!$C$9:$BB$26,18,FALSE))</f>
        <v>4.9431499999999962E-2</v>
      </c>
      <c r="N64" s="1">
        <f>IF(N$55&lt;=$C$5,0,-HLOOKUP(N$55,'Input data'!$C$9:$BB$26,18,FALSE)+HLOOKUP($C$5,'Input data'!$C$9:$BB$26,18,FALSE))</f>
        <v>5.6493099999999963E-2</v>
      </c>
      <c r="O64" s="1">
        <f>IF(O$55&lt;=$C$5,0,-HLOOKUP(O$55,'Input data'!$C$9:$BB$26,18,FALSE)+HLOOKUP($C$5,'Input data'!$C$9:$BB$26,18,FALSE))</f>
        <v>6.3554699999999964E-2</v>
      </c>
      <c r="P64" s="1">
        <f>IF(P$55&lt;=$C$5,0,-HLOOKUP(P$55,'Input data'!$C$9:$BB$26,18,FALSE)+HLOOKUP($C$5,'Input data'!$C$9:$BB$26,18,FALSE))</f>
        <v>7.0616299999999965E-2</v>
      </c>
      <c r="Q64" s="1">
        <f>IF(Q$55&lt;=$C$5,0,-HLOOKUP(Q$55,'Input data'!$C$9:$BB$26,18,FALSE)+HLOOKUP($C$5,'Input data'!$C$9:$BB$26,18,FALSE))</f>
        <v>7.7677999999999914E-2</v>
      </c>
      <c r="R64" s="1">
        <f>IF(R$55&lt;=$C$5,0,-HLOOKUP(R$55,'Input data'!$C$9:$BB$26,18,FALSE)+HLOOKUP($C$5,'Input data'!$C$9:$BB$26,18,FALSE))</f>
        <v>8.4739599999999915E-2</v>
      </c>
      <c r="S64" s="1">
        <f>IF(S$55&lt;=$C$5,0,-HLOOKUP(S$55,'Input data'!$C$9:$BB$26,18,FALSE)+HLOOKUP($C$5,'Input data'!$C$9:$BB$26,18,FALSE))</f>
        <v>9.1801199999999916E-2</v>
      </c>
      <c r="T64" s="1">
        <f>IF(T$55&lt;=$C$5,0,-HLOOKUP(T$55,'Input data'!$C$9:$BB$26,18,FALSE)+HLOOKUP($C$5,'Input data'!$C$9:$BB$26,18,FALSE))</f>
        <v>9.8862799999999917E-2</v>
      </c>
      <c r="U64" s="1">
        <f>IF(U$55&lt;=$C$5,0,-HLOOKUP(U$55,'Input data'!$C$9:$BB$26,18,FALSE)+HLOOKUP($C$5,'Input data'!$C$9:$BB$26,18,FALSE))</f>
        <v>0.10592449999999998</v>
      </c>
      <c r="V64" s="1">
        <f>IF(V$55&lt;=$C$5,0,-HLOOKUP(V$55,'Input data'!$C$9:$BB$26,18,FALSE)+HLOOKUP($C$5,'Input data'!$C$9:$BB$26,18,FALSE))</f>
        <v>0.11298609999999998</v>
      </c>
      <c r="W64" s="1">
        <f>IF(W$55&lt;=$C$5,0,-HLOOKUP(W$55,'Input data'!$C$9:$BB$26,18,FALSE)+HLOOKUP($C$5,'Input data'!$C$9:$BB$26,18,FALSE))</f>
        <v>0.12004769999999998</v>
      </c>
    </row>
    <row r="65" spans="2:23" outlineLevel="1" x14ac:dyDescent="0.2">
      <c r="B65" s="78"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3" t="s">
        <v>111</v>
      </c>
      <c r="C66" s="48"/>
      <c r="D66" s="48">
        <f>SUM(D67:D70)</f>
        <v>-6.7322810000000004</v>
      </c>
      <c r="E66" s="48">
        <f t="shared" ref="E66:T66" si="23">SUM(E67:E70)</f>
        <v>-2.9737779999999998</v>
      </c>
      <c r="F66" s="48">
        <f t="shared" si="23"/>
        <v>-1.2376339999999999</v>
      </c>
      <c r="G66" s="48">
        <f>SUM(G67:G70)</f>
        <v>-0.90366709999999995</v>
      </c>
      <c r="H66" s="48">
        <f t="shared" si="23"/>
        <v>-1.102855687922544</v>
      </c>
      <c r="I66" s="48">
        <f t="shared" si="23"/>
        <v>-0.98455445594098934</v>
      </c>
      <c r="J66" s="48">
        <f t="shared" si="23"/>
        <v>-0.86728612819641815</v>
      </c>
      <c r="K66" s="48">
        <f t="shared" si="23"/>
        <v>-0.84556804064561097</v>
      </c>
      <c r="L66" s="48">
        <f t="shared" si="23"/>
        <v>-0.670215130091111</v>
      </c>
      <c r="M66" s="48">
        <f t="shared" si="23"/>
        <v>-0.64319836280640175</v>
      </c>
      <c r="N66" s="48">
        <f t="shared" si="23"/>
        <v>-0.60668512873671809</v>
      </c>
      <c r="O66" s="48">
        <f t="shared" si="23"/>
        <v>-0.5795001683272023</v>
      </c>
      <c r="P66" s="48">
        <f t="shared" si="23"/>
        <v>-0.59882541283632396</v>
      </c>
      <c r="Q66" s="48">
        <f t="shared" si="23"/>
        <v>-0.59840516731723725</v>
      </c>
      <c r="R66" s="48">
        <f t="shared" si="23"/>
        <v>-0.60559476893384767</v>
      </c>
      <c r="S66" s="48">
        <f t="shared" si="23"/>
        <v>-0.61964812057529506</v>
      </c>
      <c r="T66" s="48">
        <f t="shared" si="23"/>
        <v>-0.62261765705500793</v>
      </c>
      <c r="U66" s="48">
        <f t="shared" ref="U66:W66" si="24">SUM(U67:U70)</f>
        <v>-0.63263521308312609</v>
      </c>
      <c r="V66" s="48">
        <f t="shared" si="24"/>
        <v>-0.64608196860763312</v>
      </c>
      <c r="W66" s="48">
        <f t="shared" si="24"/>
        <v>-0.5771889399269885</v>
      </c>
    </row>
    <row r="67" spans="2:23" outlineLevel="1" x14ac:dyDescent="0.2">
      <c r="B67" s="78" t="s">
        <v>112</v>
      </c>
      <c r="C67" s="34"/>
      <c r="D67" s="34">
        <f t="shared" ref="D67:W67" si="25">C56*D35/100*(1/(1+D32/100))</f>
        <v>0.95047268591534773</v>
      </c>
      <c r="E67" s="34">
        <f t="shared" si="25"/>
        <v>1.2031122695315895</v>
      </c>
      <c r="F67" s="34">
        <f t="shared" si="25"/>
        <v>1.4808808255417976</v>
      </c>
      <c r="G67" s="34">
        <f>F56*G35/100*(1/(1+G32/100))</f>
        <v>1.4922867144685079</v>
      </c>
      <c r="H67" s="34">
        <f>G56*H35/100*(1/(1+H32/100))</f>
        <v>1.4770196148139894</v>
      </c>
      <c r="I67" s="34">
        <f t="shared" si="25"/>
        <v>1.6294371986463729</v>
      </c>
      <c r="J67" s="34">
        <f t="shared" si="25"/>
        <v>1.7763417603456368</v>
      </c>
      <c r="K67" s="34">
        <f t="shared" si="25"/>
        <v>1.9173611418632552</v>
      </c>
      <c r="L67" s="34">
        <f t="shared" si="25"/>
        <v>2.0561596048715782</v>
      </c>
      <c r="M67" s="34">
        <f t="shared" si="25"/>
        <v>2.1949525178196341</v>
      </c>
      <c r="N67" s="34">
        <f t="shared" si="25"/>
        <v>2.3349019850873716</v>
      </c>
      <c r="O67" s="34">
        <f t="shared" si="25"/>
        <v>2.4763933175995465</v>
      </c>
      <c r="P67" s="34">
        <f t="shared" si="25"/>
        <v>2.6175397444640014</v>
      </c>
      <c r="Q67" s="34">
        <f t="shared" si="25"/>
        <v>2.7485964961310807</v>
      </c>
      <c r="R67" s="34">
        <f t="shared" si="25"/>
        <v>2.8765144137002201</v>
      </c>
      <c r="S67" s="34">
        <f t="shared" si="25"/>
        <v>3.0012784925859419</v>
      </c>
      <c r="T67" s="34">
        <f t="shared" si="25"/>
        <v>3.1235407753431925</v>
      </c>
      <c r="U67" s="34">
        <f t="shared" si="25"/>
        <v>3.2431480466282174</v>
      </c>
      <c r="V67" s="34">
        <f t="shared" si="25"/>
        <v>3.3602358875806004</v>
      </c>
      <c r="W67" s="34">
        <f t="shared" si="25"/>
        <v>3.4774303803030571</v>
      </c>
    </row>
    <row r="68" spans="2:23" outlineLevel="1" x14ac:dyDescent="0.2">
      <c r="B68" s="78" t="s">
        <v>113</v>
      </c>
      <c r="C68" s="34"/>
      <c r="D68" s="34">
        <f t="shared" ref="D68:W68" si="26">-C56*(D23/100)*(1/(1+D32/100))</f>
        <v>-3.9431956595763977</v>
      </c>
      <c r="E68" s="34">
        <f t="shared" si="26"/>
        <v>0.7085718986338565</v>
      </c>
      <c r="F68" s="34">
        <f t="shared" si="26"/>
        <v>0.47141677796707349</v>
      </c>
      <c r="G68" s="34">
        <f t="shared" si="26"/>
        <v>-0.61758321144354678</v>
      </c>
      <c r="H68" s="34">
        <f t="shared" si="26"/>
        <v>-1.0842358476335638</v>
      </c>
      <c r="I68" s="34">
        <f t="shared" si="26"/>
        <v>-1.0487194712282106</v>
      </c>
      <c r="J68" s="34">
        <f t="shared" si="26"/>
        <v>-1.0054953493190801</v>
      </c>
      <c r="K68" s="34">
        <f t="shared" si="26"/>
        <v>-1.0483469444856948</v>
      </c>
      <c r="L68" s="34">
        <f t="shared" si="26"/>
        <v>-0.93424076944814094</v>
      </c>
      <c r="M68" s="34">
        <f t="shared" si="26"/>
        <v>-0.9609738084016709</v>
      </c>
      <c r="N68" s="34">
        <f t="shared" si="26"/>
        <v>-0.97465017243994767</v>
      </c>
      <c r="O68" s="34">
        <f t="shared" si="26"/>
        <v>-0.99420978063055365</v>
      </c>
      <c r="P68" s="34">
        <f t="shared" si="26"/>
        <v>-1.0558817178728668</v>
      </c>
      <c r="Q68" s="34">
        <f t="shared" si="26"/>
        <v>-1.1540323256909855</v>
      </c>
      <c r="R68" s="34">
        <f t="shared" si="26"/>
        <v>-1.2560865137931199</v>
      </c>
      <c r="S68" s="34">
        <f t="shared" si="26"/>
        <v>-1.3618446446672532</v>
      </c>
      <c r="T68" s="34">
        <f t="shared" si="26"/>
        <v>-1.4543937194738412</v>
      </c>
      <c r="U68" s="34">
        <f t="shared" si="26"/>
        <v>-1.5518088276815705</v>
      </c>
      <c r="V68" s="34">
        <f t="shared" si="26"/>
        <v>-1.6509287917253423</v>
      </c>
      <c r="W68" s="34">
        <f t="shared" si="26"/>
        <v>-1.668957723404046</v>
      </c>
    </row>
    <row r="69" spans="2:23" outlineLevel="1" x14ac:dyDescent="0.2">
      <c r="B69" s="78" t="s">
        <v>114</v>
      </c>
      <c r="C69" s="34"/>
      <c r="D69" s="34">
        <f>-C56*D41/100*(1/(1+D41/100))</f>
        <v>-3.7398586487935788</v>
      </c>
      <c r="E69" s="34">
        <f t="shared" ref="E69:T69" si="27">-D56*E41/100*(1/(1+E41/100))</f>
        <v>-4.8853770931852853</v>
      </c>
      <c r="F69" s="34">
        <f>-E56*F41/100*(1/(1+F41/100))</f>
        <v>-3.1899117432035724</v>
      </c>
      <c r="G69" s="34">
        <f>-F56*G41/100*(1/(1+G41/100))</f>
        <v>-1.7783777031660166</v>
      </c>
      <c r="H69" s="34">
        <f t="shared" si="27"/>
        <v>-1.4956394551029695</v>
      </c>
      <c r="I69" s="34">
        <f t="shared" si="27"/>
        <v>-1.5652721833591516</v>
      </c>
      <c r="J69" s="34">
        <f t="shared" si="27"/>
        <v>-1.6381325392229749</v>
      </c>
      <c r="K69" s="34">
        <f t="shared" si="27"/>
        <v>-1.7145822380231714</v>
      </c>
      <c r="L69" s="34">
        <f t="shared" si="27"/>
        <v>-1.7921339655145483</v>
      </c>
      <c r="M69" s="34">
        <f t="shared" si="27"/>
        <v>-1.8771770722243648</v>
      </c>
      <c r="N69" s="34">
        <f t="shared" si="27"/>
        <v>-1.966936941384142</v>
      </c>
      <c r="O69" s="34">
        <f t="shared" si="27"/>
        <v>-2.0616837052961952</v>
      </c>
      <c r="P69" s="34">
        <f t="shared" si="27"/>
        <v>-2.1604834394274586</v>
      </c>
      <c r="Q69" s="34">
        <f t="shared" si="27"/>
        <v>-2.1929693377573325</v>
      </c>
      <c r="R69" s="34">
        <f t="shared" si="27"/>
        <v>-2.2260226688409479</v>
      </c>
      <c r="S69" s="34">
        <f t="shared" si="27"/>
        <v>-2.2590819684939838</v>
      </c>
      <c r="T69" s="34">
        <f t="shared" si="27"/>
        <v>-2.2917647129243592</v>
      </c>
      <c r="U69" s="34">
        <f t="shared" ref="U69" si="28">-T56*U41/100*(1/(1+U41/100))</f>
        <v>-2.3239744320297731</v>
      </c>
      <c r="V69" s="34">
        <f t="shared" ref="V69" si="29">-U56*V41/100*(1/(1+V41/100))</f>
        <v>-2.3553890644628912</v>
      </c>
      <c r="W69" s="34">
        <f t="shared" ref="W69" si="30">-V56*W41/100*(1/(1+W41/100))</f>
        <v>-2.3856615968259995</v>
      </c>
    </row>
    <row r="70" spans="2:23" outlineLevel="1" x14ac:dyDescent="0.2">
      <c r="B70" s="78" t="s">
        <v>115</v>
      </c>
      <c r="C70" s="49"/>
      <c r="D70" s="49">
        <v>3.0062245462847415E-4</v>
      </c>
      <c r="E70" s="49">
        <v>-8.5074980160637637E-5</v>
      </c>
      <c r="F70" s="49">
        <v>-1.9860305298546876E-5</v>
      </c>
      <c r="G70" s="49">
        <v>7.1001410555382449E-6</v>
      </c>
      <c r="H70" s="49">
        <v>0</v>
      </c>
      <c r="I70" s="49">
        <v>0</v>
      </c>
      <c r="J70" s="49">
        <v>0</v>
      </c>
      <c r="K70" s="49">
        <v>0</v>
      </c>
      <c r="L70" s="49">
        <v>0</v>
      </c>
      <c r="M70" s="49">
        <v>0</v>
      </c>
      <c r="N70" s="49">
        <v>0</v>
      </c>
      <c r="O70" s="49">
        <v>0</v>
      </c>
      <c r="P70" s="49">
        <v>0</v>
      </c>
      <c r="Q70" s="49">
        <v>0</v>
      </c>
      <c r="R70" s="49">
        <v>0</v>
      </c>
      <c r="S70" s="49">
        <v>0</v>
      </c>
      <c r="T70" s="49">
        <v>0</v>
      </c>
      <c r="U70" s="49">
        <v>0</v>
      </c>
      <c r="V70" s="49">
        <v>0</v>
      </c>
      <c r="W70" s="49">
        <v>0</v>
      </c>
    </row>
    <row r="71" spans="2:23" outlineLevel="1" x14ac:dyDescent="0.2">
      <c r="B71" s="83" t="s">
        <v>116</v>
      </c>
      <c r="C71" s="50"/>
      <c r="D71" s="50">
        <f>'Input data'!D16</f>
        <v>0.35710310000000001</v>
      </c>
      <c r="E71" s="50">
        <f>'Input data'!E16</f>
        <v>1.7333069999999999</v>
      </c>
      <c r="F71" s="50">
        <f>'Input data'!F16</f>
        <v>0.1000248</v>
      </c>
      <c r="G71" s="50">
        <f>'Input data'!G16</f>
        <v>0.1</v>
      </c>
      <c r="H71" s="50">
        <f>'Input data'!H16</f>
        <v>0.1000076</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8" t="s">
        <v>117</v>
      </c>
      <c r="C72" s="34"/>
      <c r="D72" s="34">
        <f t="shared" ref="D72:W72" si="31">D14</f>
        <v>0.33345029999999998</v>
      </c>
      <c r="E72" s="34">
        <f t="shared" si="31"/>
        <v>1.738494</v>
      </c>
      <c r="F72" s="34">
        <f t="shared" si="31"/>
        <v>0.1010605</v>
      </c>
      <c r="G72" s="34">
        <f t="shared" si="31"/>
        <v>9.9622799999999997E-2</v>
      </c>
      <c r="H72" s="34">
        <f>H14</f>
        <v>0.1</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c r="V72" s="34">
        <f t="shared" si="31"/>
        <v>0</v>
      </c>
      <c r="W72" s="34">
        <f t="shared" si="31"/>
        <v>0</v>
      </c>
    </row>
    <row r="73" spans="2:23" outlineLevel="1" x14ac:dyDescent="0.2">
      <c r="B73" s="88" t="s">
        <v>118</v>
      </c>
      <c r="C73" s="49"/>
      <c r="D73" s="49">
        <f>+D71-D72</f>
        <v>2.3652800000000029E-2</v>
      </c>
      <c r="E73" s="49">
        <f t="shared" ref="E73:T73" si="32">+E71-E72</f>
        <v>-5.1870000000000527E-3</v>
      </c>
      <c r="F73" s="49">
        <f>+F71-F72</f>
        <v>-1.0357000000000005E-3</v>
      </c>
      <c r="G73" s="49">
        <f t="shared" si="32"/>
        <v>3.7720000000000808E-4</v>
      </c>
      <c r="H73" s="49">
        <f t="shared" si="32"/>
        <v>7.5999999999964984E-6</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4" spans="2:23" outlineLevel="1" x14ac:dyDescent="0.2">
      <c r="B74" s="78"/>
      <c r="C74" s="34"/>
      <c r="D74" s="34"/>
      <c r="E74" s="34"/>
      <c r="F74" s="34"/>
      <c r="G74" s="34"/>
      <c r="H74" s="34"/>
      <c r="I74" s="34"/>
      <c r="J74" s="34"/>
      <c r="K74" s="34"/>
      <c r="L74" s="34"/>
      <c r="M74" s="34"/>
      <c r="N74" s="34"/>
      <c r="O74" s="34"/>
      <c r="P74" s="34"/>
      <c r="Q74" s="34"/>
      <c r="R74" s="34"/>
      <c r="S74" s="34"/>
      <c r="T74" s="34"/>
      <c r="U74" s="34"/>
      <c r="V74" s="34"/>
      <c r="W74" s="34"/>
    </row>
    <row r="75" spans="2:23" ht="10.5" customHeight="1" outlineLevel="1" x14ac:dyDescent="0.2">
      <c r="B75" s="90" t="s">
        <v>119</v>
      </c>
    </row>
    <row r="76" spans="2:23" x14ac:dyDescent="0.2">
      <c r="B76" s="76" t="s">
        <v>41</v>
      </c>
      <c r="C76" s="76"/>
      <c r="D76" s="77">
        <f>D58-D67</f>
        <v>-3.3066809015259522</v>
      </c>
      <c r="E76" s="77">
        <f t="shared" ref="E76:T76" si="34">E58-E67</f>
        <v>-2.6198642520789712</v>
      </c>
      <c r="F76" s="77">
        <f t="shared" si="34"/>
        <v>-3.6046387709519001</v>
      </c>
      <c r="G76" s="77">
        <f t="shared" si="34"/>
        <v>-3.861552524872562</v>
      </c>
      <c r="H76" s="77">
        <f t="shared" si="34"/>
        <v>-3.7230358032473529</v>
      </c>
      <c r="I76" s="77">
        <f t="shared" si="34"/>
        <v>-3.9527995887318093</v>
      </c>
      <c r="J76" s="77">
        <f t="shared" si="34"/>
        <v>-4.0880900148466983</v>
      </c>
      <c r="K76" s="77">
        <f t="shared" si="34"/>
        <v>-4.1843896072191349</v>
      </c>
      <c r="L76" s="77">
        <f t="shared" si="34"/>
        <v>-4.4271780761082651</v>
      </c>
      <c r="M76" s="77">
        <f t="shared" si="34"/>
        <v>-4.6697004304665972</v>
      </c>
      <c r="N76" s="77">
        <f t="shared" si="34"/>
        <v>-4.9062226271030607</v>
      </c>
      <c r="O76" s="77">
        <f t="shared" si="34"/>
        <v>-5.1033066889982006</v>
      </c>
      <c r="P76" s="77">
        <f t="shared" si="34"/>
        <v>-5.3313635869783358</v>
      </c>
      <c r="Q76" s="77">
        <f t="shared" si="34"/>
        <v>-5.5185637306193467</v>
      </c>
      <c r="R76" s="77">
        <f t="shared" si="34"/>
        <v>-5.6865149388119356</v>
      </c>
      <c r="S76" s="77">
        <f t="shared" si="34"/>
        <v>-5.841772306972743</v>
      </c>
      <c r="T76" s="77">
        <f t="shared" si="34"/>
        <v>-5.979473938777442</v>
      </c>
      <c r="U76" s="77">
        <f t="shared" ref="U76:W76" si="35">U58-U67</f>
        <v>-6.1072034724361188</v>
      </c>
      <c r="V76" s="77">
        <f t="shared" si="35"/>
        <v>-6.2198912273432025</v>
      </c>
      <c r="W76" s="77">
        <f t="shared" si="35"/>
        <v>-6.3397456337591738</v>
      </c>
    </row>
    <row r="77" spans="2:23" x14ac:dyDescent="0.2">
      <c r="B77" s="26" t="s">
        <v>42</v>
      </c>
      <c r="D77" s="34">
        <f>D59-D67-D63-D64-D65</f>
        <v>-4.4444266859153476</v>
      </c>
      <c r="E77" s="34">
        <f>E59-E67-E63-E64-E65</f>
        <v>-2.6024072695315894</v>
      </c>
      <c r="F77" s="34">
        <f t="shared" ref="F77:W77" si="36">F59-F67-F63-F64-F65</f>
        <v>-2.8160108255417975</v>
      </c>
      <c r="G77" s="34">
        <f t="shared" si="36"/>
        <v>-3.1265583144685065</v>
      </c>
      <c r="H77" s="34">
        <f t="shared" si="36"/>
        <v>-3.3031629148139867</v>
      </c>
      <c r="I77" s="34">
        <f t="shared" si="36"/>
        <v>-3.6728820986463688</v>
      </c>
      <c r="J77" s="34">
        <f t="shared" si="36"/>
        <v>-3.948138260345635</v>
      </c>
      <c r="K77" s="34">
        <f t="shared" si="36"/>
        <v>-4.1843992418632547</v>
      </c>
      <c r="L77" s="34">
        <f t="shared" si="36"/>
        <v>-4.4271894048715783</v>
      </c>
      <c r="M77" s="34">
        <f t="shared" si="36"/>
        <v>-4.6697140178196337</v>
      </c>
      <c r="N77" s="34">
        <f t="shared" si="36"/>
        <v>-4.9062350850873679</v>
      </c>
      <c r="O77" s="34">
        <f t="shared" si="36"/>
        <v>-5.1033180175995421</v>
      </c>
      <c r="P77" s="34">
        <f t="shared" si="36"/>
        <v>-5.3313760444640019</v>
      </c>
      <c r="Q77" s="34">
        <f t="shared" si="36"/>
        <v>-5.5185744961310768</v>
      </c>
      <c r="R77" s="34">
        <f t="shared" si="36"/>
        <v>-5.6865240137002191</v>
      </c>
      <c r="S77" s="34">
        <f t="shared" si="36"/>
        <v>-5.8417796925859387</v>
      </c>
      <c r="T77" s="34">
        <f t="shared" si="36"/>
        <v>-5.979483575343191</v>
      </c>
      <c r="U77" s="34">
        <f t="shared" si="36"/>
        <v>-6.1072125466282117</v>
      </c>
      <c r="V77" s="34">
        <f t="shared" si="36"/>
        <v>-6.2199019875805979</v>
      </c>
      <c r="W77" s="34">
        <f t="shared" si="36"/>
        <v>-6.3397580803030547</v>
      </c>
    </row>
    <row r="78" spans="2:23" x14ac:dyDescent="0.2">
      <c r="B78" s="35" t="s">
        <v>120</v>
      </c>
      <c r="C78" s="35"/>
      <c r="D78" s="284">
        <f>'Input data'!D45</f>
        <v>13.450314009208972</v>
      </c>
      <c r="E78" s="284">
        <f>'Input data'!E45</f>
        <v>7.2602828363552012</v>
      </c>
      <c r="F78" s="284">
        <f>'Input data'!F45</f>
        <v>6.7125514564843431</v>
      </c>
      <c r="G78" s="49">
        <f>'Input data'!G33+G41-(G$12-F$12)/'Input data'!$C$64*100</f>
        <v>2.9916807000000003</v>
      </c>
      <c r="H78" s="49">
        <f>'Input data'!H33+H41-(H$12-G$12)/'Input data'!$C$64*100</f>
        <v>2.6958880000000001</v>
      </c>
      <c r="I78" s="49">
        <f>'Input data'!I33+I41-(I$12-H$12)/'Input data'!$C$64*100</f>
        <v>3.0033996250000001</v>
      </c>
      <c r="J78" s="49">
        <f>'Input data'!J33+J41-(J$12-I$12)/'Input data'!$C$64*100</f>
        <v>2.9885003499999998</v>
      </c>
      <c r="K78" s="49">
        <f>'Input data'!K33+K41-(K$12-J$12)/'Input data'!$C$64*100</f>
        <v>3.0800088749999999</v>
      </c>
      <c r="L78" s="49">
        <f>'Input data'!L33+L41-(L$12-K$12)/'Input data'!$C$64*100</f>
        <v>3.2288854999999996</v>
      </c>
      <c r="M78" s="49">
        <f>'Input data'!M33+M41-(M$12-L$12)/'Input data'!$C$64*100</f>
        <v>3.2983541250000004</v>
      </c>
      <c r="N78" s="49">
        <f>'Input data'!N33+N41-(N$12-M$12)/'Input data'!$C$64*100</f>
        <v>3.3506487500000004</v>
      </c>
      <c r="O78" s="49">
        <f>'Input data'!O33+O41-(O$12-N$12)/'Input data'!$C$64*100</f>
        <v>3.4082783750000001</v>
      </c>
      <c r="P78" s="49">
        <f>'Input data'!P33+P41-(P$12-O$12)/'Input data'!$C$64*100</f>
        <v>3.5118450000000001</v>
      </c>
      <c r="Q78" s="49">
        <f>'Input data'!Q33+Q41-(Q$12-P$12)/'Input data'!$C$64*100</f>
        <v>3.5752160000000002</v>
      </c>
      <c r="R78" s="49">
        <f>'Input data'!R33+R41-(R$12-Q$12)/'Input data'!$C$64*100</f>
        <v>3.6385870000000002</v>
      </c>
      <c r="S78" s="49">
        <f>'Input data'!S33+S41-(S$12-R$12)/'Input data'!$C$64*100</f>
        <v>3.7019589999999996</v>
      </c>
      <c r="T78" s="49">
        <f>'Input data'!T33+T41-(T$12-S$12)/'Input data'!$C$64*100</f>
        <v>3.7481670000000005</v>
      </c>
      <c r="U78" s="49">
        <f>'Input data'!U33+U41-(U$12-T$12)/'Input data'!$C$64*100</f>
        <v>3.7964350000000002</v>
      </c>
      <c r="V78" s="49">
        <f>'Input data'!V33+V41-(V$12-U$12)/'Input data'!$C$64*100</f>
        <v>3.843709</v>
      </c>
      <c r="W78" s="49">
        <f>'Input data'!W33+W41-(W$12-V$12)/'Input data'!$C$64*100</f>
        <v>3.810476</v>
      </c>
    </row>
    <row r="79" spans="2:23" x14ac:dyDescent="0.2">
      <c r="D79" s="34"/>
      <c r="E79" s="34"/>
      <c r="F79" s="34"/>
      <c r="G79" s="34"/>
      <c r="H79" s="34"/>
      <c r="I79" s="34"/>
      <c r="J79" s="34"/>
      <c r="K79" s="34"/>
      <c r="L79" s="34"/>
      <c r="M79" s="34"/>
      <c r="N79" s="34"/>
      <c r="O79" s="34"/>
      <c r="P79" s="34"/>
      <c r="Q79" s="34"/>
      <c r="R79" s="34"/>
      <c r="S79" s="34"/>
      <c r="T79" s="34"/>
      <c r="U79" s="34"/>
      <c r="V79" s="34"/>
      <c r="W79" s="34"/>
    </row>
    <row r="80" spans="2:23" x14ac:dyDescent="0.2">
      <c r="D80" s="53"/>
    </row>
    <row r="81" spans="2:23" s="92" customFormat="1" ht="13.2" outlineLevel="1" x14ac:dyDescent="0.25">
      <c r="B81" s="93" t="s">
        <v>121</v>
      </c>
      <c r="C81" s="94"/>
      <c r="E81" s="95"/>
      <c r="F81" s="94"/>
    </row>
    <row r="82" spans="2:23" x14ac:dyDescent="0.2">
      <c r="C82" s="34"/>
      <c r="D82" s="34"/>
      <c r="E82" s="34"/>
      <c r="F82" s="34"/>
      <c r="G82" s="34"/>
      <c r="H82" s="34"/>
      <c r="I82" s="34"/>
      <c r="J82" s="34"/>
      <c r="K82" s="34"/>
      <c r="L82" s="34"/>
      <c r="M82" s="34"/>
      <c r="N82" s="34"/>
      <c r="O82" s="34"/>
      <c r="P82" s="34"/>
      <c r="Q82" s="34"/>
      <c r="R82" s="34"/>
      <c r="S82" s="34"/>
      <c r="T82" s="34"/>
      <c r="U82" s="34"/>
      <c r="V82" s="34"/>
      <c r="W82" s="34"/>
    </row>
    <row r="83" spans="2:23" x14ac:dyDescent="0.2">
      <c r="B83" s="26" t="s">
        <v>122</v>
      </c>
      <c r="D83" s="29"/>
      <c r="E83" s="29"/>
      <c r="F83" s="29">
        <f t="shared" ref="F83:W83" si="37">IF((F87-E87*F42/((1+F23/100)*(1+F41/100)))&gt;0,1,0)</f>
        <v>1</v>
      </c>
      <c r="G83" s="29">
        <f t="shared" si="37"/>
        <v>1</v>
      </c>
      <c r="H83" s="29">
        <f t="shared" si="37"/>
        <v>1</v>
      </c>
      <c r="I83" s="29">
        <f t="shared" si="37"/>
        <v>1</v>
      </c>
      <c r="J83" s="29">
        <f t="shared" si="37"/>
        <v>1</v>
      </c>
      <c r="K83" s="29">
        <f t="shared" si="37"/>
        <v>1</v>
      </c>
      <c r="L83" s="29">
        <f t="shared" si="37"/>
        <v>1</v>
      </c>
      <c r="M83" s="29">
        <f t="shared" si="37"/>
        <v>1</v>
      </c>
      <c r="N83" s="29">
        <f t="shared" si="37"/>
        <v>1</v>
      </c>
      <c r="O83" s="29">
        <f t="shared" si="37"/>
        <v>1</v>
      </c>
      <c r="P83" s="29">
        <f t="shared" si="37"/>
        <v>1</v>
      </c>
      <c r="Q83" s="29">
        <f t="shared" si="37"/>
        <v>1</v>
      </c>
      <c r="R83" s="29">
        <f t="shared" si="37"/>
        <v>1</v>
      </c>
      <c r="S83" s="29">
        <f t="shared" si="37"/>
        <v>1</v>
      </c>
      <c r="T83" s="29">
        <f t="shared" si="37"/>
        <v>1</v>
      </c>
      <c r="U83" s="29">
        <f t="shared" si="37"/>
        <v>1</v>
      </c>
      <c r="V83" s="29">
        <f t="shared" si="37"/>
        <v>1</v>
      </c>
      <c r="W83" s="29">
        <f t="shared" si="37"/>
        <v>1</v>
      </c>
    </row>
    <row r="84" spans="2:23" x14ac:dyDescent="0.2">
      <c r="B84" s="26" t="s">
        <v>123</v>
      </c>
      <c r="D84" s="29"/>
      <c r="E84" s="29"/>
      <c r="F84" s="29">
        <f t="shared" ref="F84:W84" si="38">IF(AND(F83=0,ABS(F87-E87*F42/((1+F23/100)*(1+F41/100)))&lt;((E93*E87*F42/((1+F23/100)*(1+F41/100))+(F38*E87*E94*F42/((1+F23/100)*(1+F41/100)))))),1,0)</f>
        <v>0</v>
      </c>
      <c r="G84" s="29">
        <f t="shared" si="38"/>
        <v>0</v>
      </c>
      <c r="H84" s="29">
        <f t="shared" si="38"/>
        <v>0</v>
      </c>
      <c r="I84" s="29">
        <f t="shared" si="38"/>
        <v>0</v>
      </c>
      <c r="J84" s="29">
        <f t="shared" si="38"/>
        <v>0</v>
      </c>
      <c r="K84" s="29">
        <f t="shared" si="38"/>
        <v>0</v>
      </c>
      <c r="L84" s="29">
        <f t="shared" si="38"/>
        <v>0</v>
      </c>
      <c r="M84" s="29">
        <f t="shared" si="38"/>
        <v>0</v>
      </c>
      <c r="N84" s="29">
        <f t="shared" si="38"/>
        <v>0</v>
      </c>
      <c r="O84" s="29">
        <f t="shared" si="38"/>
        <v>0</v>
      </c>
      <c r="P84" s="29">
        <f t="shared" si="38"/>
        <v>0</v>
      </c>
      <c r="Q84" s="29">
        <f t="shared" si="38"/>
        <v>0</v>
      </c>
      <c r="R84" s="29">
        <f t="shared" si="38"/>
        <v>0</v>
      </c>
      <c r="S84" s="29">
        <f t="shared" si="38"/>
        <v>0</v>
      </c>
      <c r="T84" s="29">
        <f t="shared" si="38"/>
        <v>0</v>
      </c>
      <c r="U84" s="29">
        <f t="shared" si="38"/>
        <v>0</v>
      </c>
      <c r="V84" s="29">
        <f t="shared" si="38"/>
        <v>0</v>
      </c>
      <c r="W84" s="29">
        <f t="shared" si="38"/>
        <v>0</v>
      </c>
    </row>
    <row r="86" spans="2:23" x14ac:dyDescent="0.2">
      <c r="B86" s="51"/>
      <c r="C86" s="85">
        <v>2021</v>
      </c>
      <c r="D86" s="85">
        <v>2022</v>
      </c>
      <c r="E86" s="85">
        <v>2023</v>
      </c>
      <c r="F86" s="85">
        <v>2024</v>
      </c>
      <c r="G86" s="85">
        <v>2025</v>
      </c>
      <c r="H86" s="85">
        <v>2026</v>
      </c>
      <c r="I86" s="85">
        <v>2027</v>
      </c>
      <c r="J86" s="85">
        <v>2028</v>
      </c>
      <c r="K86" s="85">
        <v>2029</v>
      </c>
      <c r="L86" s="85">
        <v>2030</v>
      </c>
      <c r="M86" s="85">
        <v>2031</v>
      </c>
      <c r="N86" s="85">
        <v>2032</v>
      </c>
      <c r="O86" s="85">
        <v>2033</v>
      </c>
      <c r="P86" s="85">
        <v>2034</v>
      </c>
      <c r="Q86" s="85">
        <v>2035</v>
      </c>
      <c r="R86" s="85">
        <v>2036</v>
      </c>
      <c r="S86" s="85">
        <v>2037</v>
      </c>
      <c r="T86" s="85">
        <v>2038</v>
      </c>
      <c r="U86" s="85">
        <v>2039</v>
      </c>
      <c r="V86" s="85">
        <v>2040</v>
      </c>
      <c r="W86" s="85">
        <v>2041</v>
      </c>
    </row>
    <row r="87" spans="2:23" x14ac:dyDescent="0.2">
      <c r="B87" s="105" t="s">
        <v>101</v>
      </c>
      <c r="C87" s="109">
        <f>C56</f>
        <v>82.394589999999994</v>
      </c>
      <c r="D87" s="109">
        <f>D56</f>
        <v>78.375620315610604</v>
      </c>
      <c r="E87" s="109">
        <f>E56</f>
        <v>78.551901298157986</v>
      </c>
      <c r="F87" s="109">
        <f>F56</f>
        <v>79.538050043568091</v>
      </c>
      <c r="G87" s="109">
        <f>G56</f>
        <v>81.103648753972152</v>
      </c>
      <c r="H87" s="109">
        <f>G87*(1+H101/100)*H42-H59-H60+H61+H62+H63+H64+H65+H72</f>
        <v>82.346809254482949</v>
      </c>
      <c r="I87" s="109">
        <f t="shared" ref="I87:W87" si="39">H87*(1+I101/100)*I42-I59-I60+I61+I62+I63+I64+I65+I72</f>
        <v>83.685617279494451</v>
      </c>
      <c r="J87" s="109">
        <f t="shared" si="39"/>
        <v>85.130079483620932</v>
      </c>
      <c r="K87" s="109">
        <f t="shared" si="39"/>
        <v>86.551539982143893</v>
      </c>
      <c r="L87" s="109">
        <f t="shared" si="39"/>
        <v>88.252343380262531</v>
      </c>
      <c r="M87" s="109">
        <f t="shared" si="39"/>
        <v>90.083892983310562</v>
      </c>
      <c r="N87" s="109">
        <f t="shared" si="39"/>
        <v>92.048528545397801</v>
      </c>
      <c r="O87" s="109">
        <f t="shared" si="39"/>
        <v>94.095941793788143</v>
      </c>
      <c r="P87" s="109">
        <f t="shared" si="39"/>
        <v>96.210940268988978</v>
      </c>
      <c r="Q87" s="109">
        <f t="shared" si="39"/>
        <v>98.382502380367711</v>
      </c>
      <c r="R87" s="109">
        <f t="shared" si="39"/>
        <v>100.58690818002482</v>
      </c>
      <c r="S87" s="109">
        <f t="shared" si="39"/>
        <v>102.80775391708168</v>
      </c>
      <c r="T87" s="109">
        <f t="shared" si="39"/>
        <v>105.04106946571298</v>
      </c>
      <c r="U87" s="109">
        <f t="shared" si="39"/>
        <v>107.27248972020237</v>
      </c>
      <c r="V87" s="109">
        <f t="shared" si="39"/>
        <v>109.4860631328709</v>
      </c>
      <c r="W87" s="109">
        <f t="shared" si="39"/>
        <v>111.77118948251824</v>
      </c>
    </row>
    <row r="88" spans="2:23" x14ac:dyDescent="0.2">
      <c r="B88" s="26" t="s">
        <v>124</v>
      </c>
      <c r="C88" s="34"/>
      <c r="D88" s="34"/>
      <c r="E88" s="253">
        <f>'Input data'!$C$66*E$87</f>
        <v>60.525655589893695</v>
      </c>
      <c r="F88" s="34">
        <f t="shared" ref="F88:W88" si="40">IF(F87=0,0,IF(F83=1,E87*F42/((1+F23/100)*(1+F41/100))-F89-F90,IF(AND(F83=0,F84=1),(1-E93-F38*E94)*E87*F42/((1+F23/100)*(1+F41/100)),F87)))</f>
        <v>62.802647329605676</v>
      </c>
      <c r="G88" s="34">
        <f t="shared" si="40"/>
        <v>63.923117508513641</v>
      </c>
      <c r="H88" s="34">
        <f t="shared" si="40"/>
        <v>65.1038256173089</v>
      </c>
      <c r="I88" s="34">
        <f t="shared" si="40"/>
        <v>66.142368297026067</v>
      </c>
      <c r="J88" s="34">
        <f t="shared" si="40"/>
        <v>67.264961220784187</v>
      </c>
      <c r="K88" s="34">
        <f t="shared" si="40"/>
        <v>68.40185661032298</v>
      </c>
      <c r="L88" s="34">
        <f t="shared" si="40"/>
        <v>69.650123883375187</v>
      </c>
      <c r="M88" s="34">
        <f t="shared" si="40"/>
        <v>71.008552766322623</v>
      </c>
      <c r="N88" s="34">
        <f t="shared" si="40"/>
        <v>72.484001824677833</v>
      </c>
      <c r="O88" s="34">
        <f t="shared" si="40"/>
        <v>74.062580063522134</v>
      </c>
      <c r="P88" s="34">
        <f t="shared" si="40"/>
        <v>75.673107514730589</v>
      </c>
      <c r="Q88" s="34">
        <f t="shared" si="40"/>
        <v>77.330206908340998</v>
      </c>
      <c r="R88" s="34">
        <f t="shared" si="40"/>
        <v>79.0306780645804</v>
      </c>
      <c r="S88" s="34">
        <f t="shared" si="40"/>
        <v>80.75538071717807</v>
      </c>
      <c r="T88" s="34">
        <f t="shared" si="40"/>
        <v>82.505044363168878</v>
      </c>
      <c r="U88" s="34">
        <f t="shared" si="40"/>
        <v>84.261373894086347</v>
      </c>
      <c r="V88" s="34">
        <f t="shared" si="40"/>
        <v>86.015297434517464</v>
      </c>
      <c r="W88" s="34">
        <f t="shared" si="40"/>
        <v>87.822774383706403</v>
      </c>
    </row>
    <row r="89" spans="2:23" x14ac:dyDescent="0.2">
      <c r="B89" s="104" t="s">
        <v>125</v>
      </c>
      <c r="C89" s="34"/>
      <c r="D89" s="34"/>
      <c r="E89" s="253">
        <f>'Input data'!$C$67*E$87</f>
        <v>8.3684210076244501</v>
      </c>
      <c r="F89" s="34">
        <f t="shared" ref="F89:W89" si="41">IF(F87=0,0,IF(F83=1,F38*E87*E94*F42/((1+F23/100)*(1+F41/100)),IF(AND(F83=0,F84=1),(F38*E87*E94*F42/((1+F23/100)*(1+F41/100)))*(1-ABS(F87-E87*F42/((1+F23/100)*(1+F41/100)))/((F38*E87*E94*F42/((1+F23/100)*(1+F41/100)))+(E93*E87*F42/((1+F23/100)*(1+F41/100))))),0)))</f>
        <v>7.6131291238171945</v>
      </c>
      <c r="G89" s="34">
        <f t="shared" si="41"/>
        <v>7.7153597687800977</v>
      </c>
      <c r="H89" s="34">
        <f t="shared" si="41"/>
        <v>7.8236836095612086</v>
      </c>
      <c r="I89" s="34">
        <f t="shared" si="41"/>
        <v>7.9137903345274507</v>
      </c>
      <c r="J89" s="34">
        <f t="shared" si="41"/>
        <v>8.0128528181016563</v>
      </c>
      <c r="K89" s="34">
        <f t="shared" si="41"/>
        <v>8.1124684208810489</v>
      </c>
      <c r="L89" s="34">
        <f t="shared" si="41"/>
        <v>8.2240779671531534</v>
      </c>
      <c r="M89" s="34">
        <f t="shared" si="41"/>
        <v>8.3473661878545933</v>
      </c>
      <c r="N89" s="34">
        <f t="shared" si="41"/>
        <v>8.4829649792551542</v>
      </c>
      <c r="O89" s="34">
        <f t="shared" si="41"/>
        <v>8.6290747020502891</v>
      </c>
      <c r="P89" s="34">
        <f t="shared" si="41"/>
        <v>8.7772800982271679</v>
      </c>
      <c r="Q89" s="34">
        <f t="shared" si="41"/>
        <v>8.9694861012050389</v>
      </c>
      <c r="R89" s="34">
        <f t="shared" si="41"/>
        <v>9.1667227699167615</v>
      </c>
      <c r="S89" s="34">
        <f t="shared" si="41"/>
        <v>9.3667700359162218</v>
      </c>
      <c r="T89" s="34">
        <f t="shared" si="41"/>
        <v>9.5697125131437772</v>
      </c>
      <c r="U89" s="34">
        <f t="shared" si="41"/>
        <v>9.7734281625196111</v>
      </c>
      <c r="V89" s="34">
        <f t="shared" si="41"/>
        <v>9.9768647424465229</v>
      </c>
      <c r="W89" s="34">
        <f t="shared" si="41"/>
        <v>10.186512951369782</v>
      </c>
    </row>
    <row r="90" spans="2:23" x14ac:dyDescent="0.2">
      <c r="B90" s="104" t="s">
        <v>126</v>
      </c>
      <c r="C90" s="34"/>
      <c r="D90" s="34"/>
      <c r="E90" s="253">
        <f>'Input data'!$C$68*$E$87</f>
        <v>5.2995447382705345</v>
      </c>
      <c r="F90" s="34">
        <f t="shared" ref="F90:W90" si="42">IF(F87=0,0,IF(F83=1,(1-E94)*E87*F42/((1+F23/100)*(1+F41/100)),IF(AND(F83=0,F84=1),(E93*E87*F42/((1+F23/100)*(1+F41/100)))*(1-ABS(F87-E87*F42/((1+F23/100)*(1+F41/100)))/((F38*E87*E94*F42/((1+F23/100)*(1+F41/100)))+(E93*E87*F42/((1+F23/100)*(1+F41/100))))),0)))</f>
        <v>5.4165985451724916</v>
      </c>
      <c r="G90" s="34">
        <f t="shared" si="42"/>
        <v>5.5039975621104409</v>
      </c>
      <c r="H90" s="34">
        <f t="shared" si="42"/>
        <v>5.5962642243654885</v>
      </c>
      <c r="I90" s="34">
        <f t="shared" si="42"/>
        <v>5.6766592095940975</v>
      </c>
      <c r="J90" s="34">
        <f t="shared" si="42"/>
        <v>5.7641755892799678</v>
      </c>
      <c r="K90" s="34">
        <f t="shared" si="42"/>
        <v>5.8528255110940632</v>
      </c>
      <c r="L90" s="34">
        <f t="shared" si="42"/>
        <v>5.9509636284141489</v>
      </c>
      <c r="M90" s="34">
        <f t="shared" si="42"/>
        <v>6.0582737802404694</v>
      </c>
      <c r="N90" s="34">
        <f t="shared" si="42"/>
        <v>6.1753393022063809</v>
      </c>
      <c r="O90" s="34">
        <f t="shared" si="42"/>
        <v>6.3009805328799295</v>
      </c>
      <c r="P90" s="34">
        <f t="shared" si="42"/>
        <v>6.4291892680387299</v>
      </c>
      <c r="Q90" s="34">
        <f t="shared" si="42"/>
        <v>6.5642458432572761</v>
      </c>
      <c r="R90" s="34">
        <f t="shared" si="42"/>
        <v>6.7029926132376234</v>
      </c>
      <c r="S90" s="34">
        <f t="shared" si="42"/>
        <v>6.8438310664744764</v>
      </c>
      <c r="T90" s="34">
        <f t="shared" si="42"/>
        <v>6.9868388625924682</v>
      </c>
      <c r="U90" s="34">
        <f t="shared" si="42"/>
        <v>7.1304844052627958</v>
      </c>
      <c r="V90" s="34">
        <f t="shared" si="42"/>
        <v>7.2740099444732831</v>
      </c>
      <c r="W90" s="34">
        <f t="shared" si="42"/>
        <v>7.4221567312867061</v>
      </c>
    </row>
    <row r="91" spans="2:23" x14ac:dyDescent="0.2">
      <c r="B91" s="104" t="s">
        <v>127</v>
      </c>
      <c r="C91" s="34"/>
      <c r="D91" s="34"/>
      <c r="E91" s="253">
        <f>'Input data'!$C$69*E$87</f>
        <v>4.0469720364863182</v>
      </c>
      <c r="F91" s="34">
        <f>IF(F87=0,0,IF(F83=1,'Input data'!$C$58*(F87-E87*F42/((1+F23/100)*(1+F41/100))),0))</f>
        <v>3.4473554021277226</v>
      </c>
      <c r="G91" s="34">
        <f>IF(G87=0,0,IF(G83=1,'Input data'!$C$58*(G87-F87*G42/((1+G23/100)*(1+G41/100))),0))</f>
        <v>3.6850436499225636</v>
      </c>
      <c r="H91" s="34">
        <f>IF(H87=0,0,IF(H83=1,'Input data'!$C$58*(H87-G87*H42/((1+H23/100)*(1+H41/100))),0))</f>
        <v>3.5565350358316201</v>
      </c>
      <c r="I91" s="34">
        <f>IF(I87=0,0,IF(I83=1,'Input data'!$C$58*(I87-H87*I42/((1+I23/100)*(1+I41/100))),0))</f>
        <v>3.6772529517392361</v>
      </c>
      <c r="J91" s="34">
        <f>IF(J87=0,0,IF(J83=1,'Input data'!$C$58*(J87-I87*J42/((1+J23/100)*(1+J41/100))),0))</f>
        <v>3.803112382103218</v>
      </c>
      <c r="K91" s="34">
        <f>IF(K87=0,0,IF(K83=1,'Input data'!$C$58*(K87-J87*K42/((1+K23/100)*(1+K41/100))),0))</f>
        <v>3.8926989995057029</v>
      </c>
      <c r="L91" s="34">
        <f>IF(L87=0,0,IF(L83=1,'Input data'!$C$58*(L87-K87*L42/((1+L23/100)*(1+L41/100))),0))</f>
        <v>4.11856287156135</v>
      </c>
      <c r="M91" s="34">
        <f>IF(M87=0,0,IF(M83=1,'Input data'!$C$58*(M87-L87*M42/((1+M23/100)*(1+M41/100))),0))</f>
        <v>4.3441791803027563</v>
      </c>
      <c r="N91" s="34">
        <f>IF(N87=0,0,IF(N83=1,'Input data'!$C$58*(N87-M87*N42/((1+N23/100)*(1+N41/100))),0))</f>
        <v>4.5642135979956748</v>
      </c>
      <c r="O91" s="34">
        <f>IF(O87=0,0,IF(O83=1,'Input data'!$C$58*(O87-N87*O42/((1+O23/100)*(1+O41/100))),0))</f>
        <v>4.7475590821911249</v>
      </c>
      <c r="P91" s="34">
        <f>IF(P87=0,0,IF(P83=1,'Input data'!$C$58*(P87-O87*P42/((1+P23/100)*(1+P41/100))),0))</f>
        <v>4.9597183113062497</v>
      </c>
      <c r="Q91" s="34">
        <f>IF(Q87=0,0,IF(Q83=1,'Input data'!$C$58*(Q87-P87*Q42/((1+Q23/100)*(1+Q41/100))),0))</f>
        <v>5.1338688789087037</v>
      </c>
      <c r="R91" s="34">
        <f>IF(R87=0,0,IF(R83=1,'Input data'!$C$58*(R87-Q87*R42/((1+R23/100)*(1+R41/100))),0))</f>
        <v>5.2901123395138825</v>
      </c>
      <c r="S91" s="34">
        <f>IF(S87=0,0,IF(S83=1,'Input data'!$C$58*(S87-R87*S42/((1+S23/100)*(1+S41/100))),0))</f>
        <v>5.4345468380129685</v>
      </c>
      <c r="T91" s="34">
        <f>IF(T87=0,0,IF(T83=1,'Input data'!$C$58*(T87-S87*T42/((1+T23/100)*(1+T41/100))),0))</f>
        <v>5.5626493968910724</v>
      </c>
      <c r="U91" s="34">
        <f>IF(U87=0,0,IF(U83=1,'Input data'!$C$58*(U87-T87*U42/((1+U23/100)*(1+U41/100))),0))</f>
        <v>5.6814750049577958</v>
      </c>
      <c r="V91" s="34">
        <f>IF(V87=0,0,IF(V83=1,'Input data'!$C$58*(V87-U87*V42/((1+V23/100)*(1+V41/100))),0))</f>
        <v>5.786307384939402</v>
      </c>
      <c r="W91" s="34">
        <f>IF(W87=0,0,IF(W83=1,'Input data'!$C$58*(W87-V87*W42/((1+W23/100)*(1+W41/100))),0))</f>
        <v>5.8978068349914956</v>
      </c>
    </row>
    <row r="92" spans="2:23" x14ac:dyDescent="0.2">
      <c r="B92" s="106" t="s">
        <v>128</v>
      </c>
      <c r="C92" s="49"/>
      <c r="D92" s="49"/>
      <c r="E92" s="254">
        <f>'Input data'!$C$70*E$87</f>
        <v>0.31130552588356658</v>
      </c>
      <c r="F92" s="49">
        <f>IF(F87=0,0,IF(F83=1,'Input data'!$C$57*(F87-E87*F42/((1+F23/100)*(1+F41/100))),0))</f>
        <v>0.25831964284501346</v>
      </c>
      <c r="G92" s="49">
        <f>IF(G87=0,0,IF(G83=1,'Input data'!$C$57*(G87-F87*G42/((1+G23/100)*(1+G41/100))),0))</f>
        <v>0.27613026464540119</v>
      </c>
      <c r="H92" s="49">
        <f>IF(H87=0,0,IF(H83=1,'Input data'!$C$57*(H87-G87*H42/((1+H23/100)*(1+H41/100))),0))</f>
        <v>0.2665007674157302</v>
      </c>
      <c r="I92" s="49">
        <f>IF(I87=0,0,IF(I83=1,'Input data'!$C$57*(I87-H87*I42/((1+I23/100)*(1+I41/100))),0))</f>
        <v>0.27554648660760783</v>
      </c>
      <c r="J92" s="49">
        <f>IF(J87=0,0,IF(J83=1,'Input data'!$C$57*(J87-I87*J42/((1+J23/100)*(1+J41/100))),0))</f>
        <v>0.28497747335189133</v>
      </c>
      <c r="K92" s="49">
        <f>IF(K87=0,0,IF(K83=1,'Input data'!$C$57*(K87-J87*K42/((1+K23/100)*(1+K41/100))),0))</f>
        <v>0.29169044034009894</v>
      </c>
      <c r="L92" s="49">
        <f>IF(L87=0,0,IF(L83=1,'Input data'!$C$57*(L87-K87*L42/((1+L23/100)*(1+L41/100))),0))</f>
        <v>0.30861502975869964</v>
      </c>
      <c r="M92" s="49">
        <f>IF(M87=0,0,IF(M83=1,'Input data'!$C$57*(M87-L87*M42/((1+M23/100)*(1+M41/100))),0))</f>
        <v>0.32552106859012359</v>
      </c>
      <c r="N92" s="49">
        <f>IF(N87=0,0,IF(N83=1,'Input data'!$C$57*(N87-M87*N42/((1+N23/100)*(1+N41/100))),0))</f>
        <v>0.3420088412627536</v>
      </c>
      <c r="O92" s="49">
        <f>IF(O87=0,0,IF(O83=1,'Input data'!$C$57*(O87-N87*O42/((1+O23/100)*(1+O41/100))),0))</f>
        <v>0.35574741314466141</v>
      </c>
      <c r="P92" s="49">
        <f>IF(P87=0,0,IF(P83=1,'Input data'!$C$57*(P87-O87*P42/((1+P23/100)*(1+P41/100))),0))</f>
        <v>0.37164507668624652</v>
      </c>
      <c r="Q92" s="49">
        <f>IF(Q87=0,0,IF(Q83=1,'Input data'!$C$57*(Q87-P87*Q42/((1+Q23/100)*(1+Q41/100))),0))</f>
        <v>0.38469464865569197</v>
      </c>
      <c r="R92" s="49">
        <f>IF(R87=0,0,IF(R83=1,'Input data'!$C$57*(R87-Q87*R42/((1+R23/100)*(1+R41/100))),0))</f>
        <v>0.39640239277615252</v>
      </c>
      <c r="S92" s="49">
        <f>IF(S87=0,0,IF(S83=1,'Input data'!$C$57*(S87-R87*S42/((1+S23/100)*(1+S41/100))),0))</f>
        <v>0.40722525949994731</v>
      </c>
      <c r="T92" s="49">
        <f>IF(T87=0,0,IF(T83=1,'Input data'!$C$57*(T87-S87*T42/((1+T23/100)*(1+T41/100))),0))</f>
        <v>0.41682432991679502</v>
      </c>
      <c r="U92" s="49">
        <f>IF(U87=0,0,IF(U83=1,'Input data'!$C$57*(U87-T87*U42/((1+U23/100)*(1+U41/100))),0))</f>
        <v>0.42572825337583042</v>
      </c>
      <c r="V92" s="49">
        <f>IF(V87=0,0,IF(V83=1,'Input data'!$C$57*(V87-U87*V42/((1+V23/100)*(1+V41/100))),0))</f>
        <v>0.43358362649422927</v>
      </c>
      <c r="W92" s="49">
        <f>IF(W87=0,0,IF(W83=1,'Input data'!$C$57*(W87-V87*W42/((1+W23/100)*(1+W41/100))),0))</f>
        <v>0.4419385811638567</v>
      </c>
    </row>
    <row r="93" spans="2:23" x14ac:dyDescent="0.2">
      <c r="B93" s="26" t="s">
        <v>73</v>
      </c>
      <c r="C93" s="36"/>
      <c r="D93" s="36"/>
      <c r="E93" s="36">
        <f>IF(E87&lt;&gt;0,(E90+E92)/(E88+E89+E90+E91+E92),0)</f>
        <v>7.1428575793291621E-2</v>
      </c>
      <c r="F93" s="36">
        <f t="shared" ref="F93" si="43">IF(F87&lt;&gt;0,(F90+F92)/(F88+F89+F90+F91+F92),0)</f>
        <v>7.1348470133590011E-2</v>
      </c>
      <c r="G93" s="36">
        <f>IF(G87&lt;&gt;0,(G90+G92)/(G88+G89+G90+G91+G92),0)</f>
        <v>7.1268406730871689E-2</v>
      </c>
      <c r="H93" s="36">
        <f>IF(H87&lt;&gt;0,(H90+H92)/(H88+H89+H90+H91+H92),0)</f>
        <v>7.1196018945470563E-2</v>
      </c>
      <c r="I93" s="36">
        <f t="shared" ref="I93:W93" si="44">IF(I87&lt;&gt;0,(I90+I92)/(I88+I89+I90+I91+I92),0)</f>
        <v>7.1125790663913502E-2</v>
      </c>
      <c r="J93" s="36">
        <f t="shared" si="44"/>
        <v>7.1057763593369128E-2</v>
      </c>
      <c r="K93" s="36">
        <f t="shared" si="44"/>
        <v>7.0992566425759879E-2</v>
      </c>
      <c r="L93" s="36">
        <f t="shared" si="44"/>
        <v>7.0928186362162846E-2</v>
      </c>
      <c r="M93" s="36">
        <f>IF(M87&lt;&gt;0,(M90+M92)/(M88+M89+M90+M91+M92),0)</f>
        <v>7.0864997475334354E-2</v>
      </c>
      <c r="N93" s="36">
        <f t="shared" si="44"/>
        <v>7.0803393019528996E-2</v>
      </c>
      <c r="O93" s="36">
        <f t="shared" si="44"/>
        <v>7.0744049308872986E-2</v>
      </c>
      <c r="P93" s="36">
        <f t="shared" si="44"/>
        <v>7.0686704918495047E-2</v>
      </c>
      <c r="Q93" s="36">
        <f t="shared" si="44"/>
        <v>7.063187379648958E-2</v>
      </c>
      <c r="R93" s="36">
        <f t="shared" si="44"/>
        <v>7.057971195722286E-2</v>
      </c>
      <c r="S93" s="36">
        <f t="shared" si="44"/>
        <v>7.0530247473577459E-2</v>
      </c>
      <c r="T93" s="36">
        <f t="shared" si="44"/>
        <v>7.0483509261355465E-2</v>
      </c>
      <c r="U93" s="36">
        <f t="shared" si="44"/>
        <v>7.0439426532817609E-2</v>
      </c>
      <c r="V93" s="36">
        <f t="shared" si="44"/>
        <v>7.0397942445091621E-2</v>
      </c>
      <c r="W93" s="36">
        <f t="shared" si="44"/>
        <v>7.035887645877259E-2</v>
      </c>
    </row>
    <row r="94" spans="2:23" x14ac:dyDescent="0.2">
      <c r="B94" s="35" t="s">
        <v>74</v>
      </c>
      <c r="C94" s="107"/>
      <c r="D94" s="107"/>
      <c r="E94" s="107">
        <f t="shared" ref="E94:F94" si="45">IF(E87&lt;&gt;0,(E88+E89+E91)/(E88+E89+E90+E91+E92),1)</f>
        <v>0.92857142420670824</v>
      </c>
      <c r="F94" s="107">
        <f t="shared" si="45"/>
        <v>0.92865152986641009</v>
      </c>
      <c r="G94" s="107">
        <f>IF(G87&lt;&gt;0,(G88+G89+G91)/(G88+G89+G90+G91+G92),1)</f>
        <v>0.92873159326912824</v>
      </c>
      <c r="H94" s="107">
        <f>IF(H87&lt;&gt;0,(H88+H89+H91)/(H88+H89+H90+H91+H92),1)</f>
        <v>0.92880398105452944</v>
      </c>
      <c r="I94" s="107">
        <f t="shared" ref="I94:W94" si="46">IF(I87&lt;&gt;0,(I88+I89+I91)/(I88+I89+I90+I91+I92),1)</f>
        <v>0.92887420933608655</v>
      </c>
      <c r="J94" s="107">
        <f t="shared" si="46"/>
        <v>0.92894223640663087</v>
      </c>
      <c r="K94" s="107">
        <f t="shared" si="46"/>
        <v>0.92900743357423998</v>
      </c>
      <c r="L94" s="107">
        <f t="shared" si="46"/>
        <v>0.9290718136378372</v>
      </c>
      <c r="M94" s="107">
        <f t="shared" si="46"/>
        <v>0.92913500252466563</v>
      </c>
      <c r="N94" s="107">
        <f t="shared" si="46"/>
        <v>0.92919660698047102</v>
      </c>
      <c r="O94" s="107">
        <f t="shared" si="46"/>
        <v>0.92925595069112699</v>
      </c>
      <c r="P94" s="107">
        <f t="shared" si="46"/>
        <v>0.92931329508150495</v>
      </c>
      <c r="Q94" s="107">
        <f t="shared" si="46"/>
        <v>0.92936812620351028</v>
      </c>
      <c r="R94" s="107">
        <f t="shared" si="46"/>
        <v>0.9294202880427771</v>
      </c>
      <c r="S94" s="107">
        <f t="shared" si="46"/>
        <v>0.9294697525264225</v>
      </c>
      <c r="T94" s="107">
        <f t="shared" si="46"/>
        <v>0.92951649073864462</v>
      </c>
      <c r="U94" s="107">
        <f t="shared" si="46"/>
        <v>0.92956057346718235</v>
      </c>
      <c r="V94" s="107">
        <f t="shared" si="46"/>
        <v>0.92960205755490843</v>
      </c>
      <c r="W94" s="107">
        <f t="shared" si="46"/>
        <v>0.92964112354122741</v>
      </c>
    </row>
    <row r="95" spans="2:23" x14ac:dyDescent="0.2">
      <c r="C95" s="36"/>
      <c r="D95" s="36"/>
      <c r="E95" s="252"/>
      <c r="F95" s="252"/>
      <c r="G95" s="252"/>
      <c r="H95" s="36"/>
      <c r="I95" s="36"/>
      <c r="J95" s="36"/>
      <c r="K95" s="36"/>
      <c r="L95" s="36"/>
      <c r="M95" s="36"/>
      <c r="N95" s="36"/>
      <c r="O95" s="36"/>
      <c r="P95" s="36"/>
      <c r="Q95" s="36"/>
      <c r="R95" s="36"/>
      <c r="S95" s="36"/>
      <c r="T95" s="36"/>
      <c r="U95" s="36"/>
      <c r="V95" s="36"/>
      <c r="W95" s="36"/>
    </row>
    <row r="96" spans="2:23" x14ac:dyDescent="0.2">
      <c r="B96" s="112" t="s">
        <v>129</v>
      </c>
      <c r="C96" s="114">
        <f>C35</f>
        <v>1.419065</v>
      </c>
      <c r="D96" s="114">
        <f>D35</f>
        <v>1.2721899999999999</v>
      </c>
      <c r="E96" s="114">
        <f>E35</f>
        <v>1.6214710000000001</v>
      </c>
      <c r="F96" s="114">
        <f>F98+F99</f>
        <v>1.9528080000000001</v>
      </c>
      <c r="G96" s="114">
        <f>G98+G99</f>
        <v>1.9344650000000001</v>
      </c>
      <c r="H96" s="114">
        <f>H98+H99</f>
        <v>1.880984</v>
      </c>
      <c r="I96" s="114">
        <f t="shared" ref="I96:W96" si="47">I98+I99</f>
        <v>2.0436215505486772</v>
      </c>
      <c r="J96" s="114">
        <f t="shared" si="47"/>
        <v>2.1918780734581893</v>
      </c>
      <c r="K96" s="114">
        <f t="shared" si="47"/>
        <v>2.3278223926239727</v>
      </c>
      <c r="L96" s="114">
        <f t="shared" si="47"/>
        <v>2.4529142511503652</v>
      </c>
      <c r="M96" s="114">
        <f t="shared" si="47"/>
        <v>2.5697747247589096</v>
      </c>
      <c r="N96" s="114">
        <f t="shared" si="47"/>
        <v>2.6794124479547623</v>
      </c>
      <c r="O96" s="114">
        <f t="shared" si="47"/>
        <v>2.7826944506499007</v>
      </c>
      <c r="P96" s="114">
        <f t="shared" si="47"/>
        <v>2.8802285786450557</v>
      </c>
      <c r="Q96" s="114">
        <f t="shared" si="47"/>
        <v>2.9598101556222511</v>
      </c>
      <c r="R96" s="114">
        <f t="shared" si="47"/>
        <v>3.0310877570412829</v>
      </c>
      <c r="S96" s="114">
        <f t="shared" si="47"/>
        <v>3.0951868137743381</v>
      </c>
      <c r="T96" s="114">
        <f t="shared" si="47"/>
        <v>3.1531296665221005</v>
      </c>
      <c r="U96" s="114">
        <f t="shared" si="47"/>
        <v>3.2057911818874039</v>
      </c>
      <c r="V96" s="114">
        <f t="shared" si="47"/>
        <v>3.2539558721315713</v>
      </c>
      <c r="W96" s="114">
        <f t="shared" si="47"/>
        <v>3.2982856238888045</v>
      </c>
    </row>
    <row r="97" spans="2:25" x14ac:dyDescent="0.2">
      <c r="B97" s="33" t="s">
        <v>130</v>
      </c>
      <c r="C97" s="1"/>
      <c r="D97" s="34"/>
      <c r="E97" s="34"/>
      <c r="F97" s="265">
        <f>((F35*E87)-(F37*(E90+E92)))/(E88+E89+E91)</f>
        <v>1.8315432870429942</v>
      </c>
      <c r="G97" s="265">
        <f>((G35*F87)-(G37*(F90+F92)))/(F88+F89+F91)</f>
        <v>1.9243399338862257</v>
      </c>
      <c r="H97" s="265">
        <f>((H35*G87)-(H37*(G90+G92)))/(G88+G89+G91)</f>
        <v>1.8721771606223445</v>
      </c>
      <c r="I97" s="34">
        <f t="shared" ref="I97:W97" si="48">IF(H87&gt;0,(H97*H88+I36*(H91+H89))/(H88+H89+H91),I36)</f>
        <v>2.0408878245154254</v>
      </c>
      <c r="J97" s="34">
        <f t="shared" si="48"/>
        <v>2.1941031093447614</v>
      </c>
      <c r="K97" s="34">
        <f t="shared" si="48"/>
        <v>2.3340540941214041</v>
      </c>
      <c r="L97" s="34">
        <f t="shared" si="48"/>
        <v>2.4623154755175047</v>
      </c>
      <c r="M97" s="34">
        <f t="shared" si="48"/>
        <v>2.5817109413705732</v>
      </c>
      <c r="N97" s="34">
        <f t="shared" si="48"/>
        <v>2.6933280707959537</v>
      </c>
      <c r="O97" s="34">
        <f t="shared" si="48"/>
        <v>2.7981017466571698</v>
      </c>
      <c r="P97" s="34">
        <f t="shared" si="48"/>
        <v>2.896687728459268</v>
      </c>
      <c r="Q97" s="34">
        <f t="shared" si="48"/>
        <v>2.9848336104007913</v>
      </c>
      <c r="R97" s="34">
        <f t="shared" si="48"/>
        <v>3.0640307261660569</v>
      </c>
      <c r="S97" s="34">
        <f t="shared" si="48"/>
        <v>3.1354925625579351</v>
      </c>
      <c r="T97" s="34">
        <f t="shared" si="48"/>
        <v>3.2003212619944637</v>
      </c>
      <c r="U97" s="34">
        <f t="shared" si="48"/>
        <v>3.2594599666176944</v>
      </c>
      <c r="V97" s="34">
        <f t="shared" si="48"/>
        <v>3.31375424292807</v>
      </c>
      <c r="W97" s="34">
        <f t="shared" si="48"/>
        <v>3.3639174836860066</v>
      </c>
    </row>
    <row r="98" spans="2:25" x14ac:dyDescent="0.2">
      <c r="B98" s="26" t="s">
        <v>131</v>
      </c>
      <c r="C98" s="34"/>
      <c r="D98" s="34"/>
      <c r="E98" s="34"/>
      <c r="F98" s="265">
        <f>F35</f>
        <v>1.9528080000000001</v>
      </c>
      <c r="G98" s="265">
        <f>G35</f>
        <v>1.9344650000000001</v>
      </c>
      <c r="H98" s="265">
        <f>H35</f>
        <v>1.880984</v>
      </c>
      <c r="I98" s="34">
        <f t="shared" ref="I98:W98" si="49">(I97*(H88+H89+H91)+I37*(H90+H92))/H87</f>
        <v>2.0436215505486772</v>
      </c>
      <c r="J98" s="34">
        <f t="shared" si="49"/>
        <v>2.1918780734581893</v>
      </c>
      <c r="K98" s="34">
        <f t="shared" si="49"/>
        <v>2.3278223926239727</v>
      </c>
      <c r="L98" s="34">
        <f t="shared" si="49"/>
        <v>2.4529142511503652</v>
      </c>
      <c r="M98" s="34">
        <f t="shared" si="49"/>
        <v>2.5697747247589096</v>
      </c>
      <c r="N98" s="34">
        <f t="shared" si="49"/>
        <v>2.6794124479547623</v>
      </c>
      <c r="O98" s="34">
        <f t="shared" si="49"/>
        <v>2.7826944506499007</v>
      </c>
      <c r="P98" s="34">
        <f t="shared" si="49"/>
        <v>2.8802285786450557</v>
      </c>
      <c r="Q98" s="34">
        <f t="shared" si="49"/>
        <v>2.9598101556222511</v>
      </c>
      <c r="R98" s="34">
        <f t="shared" si="49"/>
        <v>3.0310877570412829</v>
      </c>
      <c r="S98" s="34">
        <f t="shared" si="49"/>
        <v>3.0951868137743381</v>
      </c>
      <c r="T98" s="34">
        <f t="shared" si="49"/>
        <v>3.1531296665221005</v>
      </c>
      <c r="U98" s="34">
        <f t="shared" si="49"/>
        <v>3.2057911818874039</v>
      </c>
      <c r="V98" s="34">
        <f t="shared" si="49"/>
        <v>3.2539558721315713</v>
      </c>
      <c r="W98" s="34">
        <f t="shared" si="49"/>
        <v>3.2982856238888045</v>
      </c>
    </row>
    <row r="99" spans="2:25" x14ac:dyDescent="0.2">
      <c r="B99" s="35" t="s">
        <v>132</v>
      </c>
      <c r="C99" s="113"/>
      <c r="D99" s="49"/>
      <c r="E99" s="49"/>
      <c r="F99" s="49">
        <f t="shared" ref="F99:G99" si="50">F108</f>
        <v>0</v>
      </c>
      <c r="G99" s="49">
        <f t="shared" si="50"/>
        <v>0</v>
      </c>
      <c r="H99" s="49">
        <f>H108</f>
        <v>0</v>
      </c>
      <c r="I99" s="49">
        <f t="shared" ref="I99:W99" si="51">I108</f>
        <v>0</v>
      </c>
      <c r="J99" s="49">
        <f t="shared" si="51"/>
        <v>0</v>
      </c>
      <c r="K99" s="49">
        <f t="shared" si="51"/>
        <v>0</v>
      </c>
      <c r="L99" s="49">
        <f t="shared" si="51"/>
        <v>0</v>
      </c>
      <c r="M99" s="49">
        <f t="shared" si="51"/>
        <v>0</v>
      </c>
      <c r="N99" s="49">
        <f t="shared" si="51"/>
        <v>0</v>
      </c>
      <c r="O99" s="49">
        <f t="shared" si="51"/>
        <v>0</v>
      </c>
      <c r="P99" s="49">
        <f t="shared" si="51"/>
        <v>0</v>
      </c>
      <c r="Q99" s="49">
        <f t="shared" si="51"/>
        <v>0</v>
      </c>
      <c r="R99" s="49">
        <f t="shared" si="51"/>
        <v>0</v>
      </c>
      <c r="S99" s="49">
        <f t="shared" si="51"/>
        <v>0</v>
      </c>
      <c r="T99" s="49">
        <f t="shared" si="51"/>
        <v>0</v>
      </c>
      <c r="U99" s="49">
        <f t="shared" si="51"/>
        <v>0</v>
      </c>
      <c r="V99" s="49">
        <f t="shared" si="51"/>
        <v>0</v>
      </c>
      <c r="W99" s="49">
        <f t="shared" si="51"/>
        <v>0</v>
      </c>
    </row>
    <row r="100" spans="2:25" x14ac:dyDescent="0.2">
      <c r="G100" s="97"/>
      <c r="H100" s="97"/>
      <c r="I100" s="97"/>
      <c r="J100" s="97"/>
      <c r="K100" s="97"/>
      <c r="L100" s="97"/>
      <c r="M100" s="97"/>
      <c r="N100" s="97"/>
      <c r="O100" s="97"/>
      <c r="P100" s="97"/>
      <c r="Q100" s="97"/>
      <c r="R100" s="97"/>
      <c r="S100" s="97"/>
      <c r="T100" s="97"/>
      <c r="U100" s="97"/>
      <c r="V100" s="97"/>
      <c r="W100" s="97"/>
    </row>
    <row r="101" spans="2:25" x14ac:dyDescent="0.2">
      <c r="B101" s="112" t="s">
        <v>181</v>
      </c>
      <c r="C101" s="114">
        <f t="shared" ref="C101:W101" si="52">((1+C96/100)/((1+C23/100)*(1+C41/100))-1)*100</f>
        <v>-5.0506235421831196</v>
      </c>
      <c r="D101" s="114">
        <f t="shared" si="52"/>
        <v>-8.171145244432477</v>
      </c>
      <c r="E101" s="114">
        <f t="shared" si="52"/>
        <v>-3.794155520613518</v>
      </c>
      <c r="F101" s="114">
        <f t="shared" si="52"/>
        <v>-1.5755368351901722</v>
      </c>
      <c r="G101" s="114">
        <f t="shared" si="52"/>
        <v>-1.1361533249130917</v>
      </c>
      <c r="H101" s="114">
        <f t="shared" si="52"/>
        <v>-1.3598101994992451</v>
      </c>
      <c r="I101" s="114">
        <f t="shared" si="52"/>
        <v>-1.1956193251292713</v>
      </c>
      <c r="J101" s="114">
        <f t="shared" si="52"/>
        <v>-1.0363621355364061</v>
      </c>
      <c r="K101" s="114">
        <f t="shared" si="52"/>
        <v>-0.99326580212534266</v>
      </c>
      <c r="L101" s="114">
        <f t="shared" si="52"/>
        <v>-0.77435372410048497</v>
      </c>
      <c r="M101" s="114">
        <f t="shared" si="52"/>
        <v>-0.72881725851461354</v>
      </c>
      <c r="N101" s="114">
        <f t="shared" si="52"/>
        <v>-0.67346676507514802</v>
      </c>
      <c r="O101" s="114">
        <f t="shared" si="52"/>
        <v>-0.6295593554464185</v>
      </c>
      <c r="P101" s="114">
        <f t="shared" si="52"/>
        <v>-0.63639871805081238</v>
      </c>
      <c r="Q101" s="114">
        <f t="shared" si="52"/>
        <v>-0.62197201423923598</v>
      </c>
      <c r="R101" s="114">
        <f t="shared" si="52"/>
        <v>-0.61555125230833285</v>
      </c>
      <c r="S101" s="114">
        <f t="shared" si="52"/>
        <v>-0.6160325320079707</v>
      </c>
      <c r="T101" s="114">
        <f t="shared" si="52"/>
        <v>-0.60561347863423709</v>
      </c>
      <c r="U101" s="114">
        <f t="shared" si="52"/>
        <v>-0.60227411481660331</v>
      </c>
      <c r="V101" s="114">
        <f t="shared" si="52"/>
        <v>-0.60228109628037707</v>
      </c>
      <c r="W101" s="114">
        <f t="shared" si="52"/>
        <v>-0.52718025225577669</v>
      </c>
    </row>
    <row r="102" spans="2:25" x14ac:dyDescent="0.2">
      <c r="F102" s="34"/>
      <c r="G102" s="34"/>
      <c r="H102" s="34"/>
      <c r="I102" s="34"/>
      <c r="J102" s="34"/>
      <c r="K102" s="34"/>
      <c r="L102" s="34"/>
      <c r="M102" s="34"/>
      <c r="N102" s="34"/>
      <c r="O102" s="34"/>
      <c r="P102" s="34"/>
      <c r="Q102" s="34"/>
      <c r="R102" s="34"/>
      <c r="S102" s="34"/>
      <c r="T102" s="34"/>
      <c r="U102" s="34"/>
      <c r="V102" s="34"/>
      <c r="W102" s="34"/>
    </row>
    <row r="104" spans="2:25" s="92" customFormat="1" ht="13.2" x14ac:dyDescent="0.25">
      <c r="B104" s="25" t="s">
        <v>133</v>
      </c>
    </row>
    <row r="105" spans="2:25" s="108" customFormat="1" ht="13.2" x14ac:dyDescent="0.25">
      <c r="C105" s="102"/>
      <c r="D105" s="102"/>
      <c r="E105" s="102"/>
      <c r="F105" s="102"/>
      <c r="G105" s="102"/>
      <c r="H105" s="102"/>
      <c r="I105" s="102"/>
      <c r="J105" s="102"/>
      <c r="K105" s="102"/>
      <c r="L105" s="102"/>
      <c r="M105" s="102"/>
      <c r="N105" s="102"/>
      <c r="O105" s="102"/>
      <c r="P105" s="102"/>
      <c r="Q105" s="102"/>
      <c r="R105" s="102"/>
      <c r="S105" s="102"/>
      <c r="T105" s="102"/>
      <c r="U105" s="102"/>
      <c r="V105" s="102"/>
      <c r="W105" s="102"/>
    </row>
    <row r="106" spans="2:25" x14ac:dyDescent="0.2">
      <c r="B106" s="119" t="s">
        <v>43</v>
      </c>
      <c r="C106" s="34">
        <v>82.394589999999994</v>
      </c>
      <c r="D106" s="34">
        <v>78.375630000000001</v>
      </c>
      <c r="E106" s="34">
        <v>78.551919999999996</v>
      </c>
      <c r="F106" s="34">
        <v>79.538070000000005</v>
      </c>
      <c r="G106" s="34">
        <v>81.103679999999997</v>
      </c>
      <c r="H106" s="34">
        <v>82.346850000000003</v>
      </c>
      <c r="I106" s="34">
        <v>83.685649999999995</v>
      </c>
      <c r="J106" s="34">
        <v>85.130110000000002</v>
      </c>
      <c r="K106" s="34">
        <v>86.551580000000001</v>
      </c>
      <c r="L106" s="34">
        <v>88.252390000000005</v>
      </c>
      <c r="M106" s="34">
        <v>90.083950000000002</v>
      </c>
      <c r="N106" s="34">
        <v>92.048599999999993</v>
      </c>
      <c r="O106" s="34">
        <v>94.096019999999996</v>
      </c>
      <c r="P106" s="34">
        <v>96.211250000000007</v>
      </c>
      <c r="Q106" s="34">
        <v>98.382999999999996</v>
      </c>
      <c r="R106" s="34">
        <v>100.58759999999999</v>
      </c>
      <c r="S106" s="34">
        <v>102.8085</v>
      </c>
      <c r="T106" s="34">
        <v>105.042</v>
      </c>
      <c r="U106" s="34">
        <v>107.2735</v>
      </c>
      <c r="V106" s="34">
        <v>109.4871</v>
      </c>
      <c r="W106" s="34">
        <v>111.7723</v>
      </c>
    </row>
    <row r="107" spans="2:25" x14ac:dyDescent="0.2">
      <c r="B107" s="26" t="s">
        <v>129</v>
      </c>
      <c r="C107" s="34">
        <v>1.419065</v>
      </c>
      <c r="D107" s="34">
        <v>1.2721899999999999</v>
      </c>
      <c r="E107" s="34">
        <v>1.6214710000000001</v>
      </c>
      <c r="F107" s="34">
        <v>1.9528080000000001</v>
      </c>
      <c r="G107" s="34">
        <v>1.9344650000000001</v>
      </c>
      <c r="H107" s="34">
        <v>1.880984</v>
      </c>
      <c r="I107" s="34">
        <v>2.043622</v>
      </c>
      <c r="J107" s="34">
        <v>2.191878</v>
      </c>
      <c r="K107" s="34">
        <v>2.327823</v>
      </c>
      <c r="L107" s="34">
        <v>2.4529139999999998</v>
      </c>
      <c r="M107" s="34">
        <v>2.5697749999999999</v>
      </c>
      <c r="N107" s="34">
        <v>2.6794120000000001</v>
      </c>
      <c r="O107" s="34">
        <v>2.7826949999999999</v>
      </c>
      <c r="P107" s="34">
        <v>2.8804660000000002</v>
      </c>
      <c r="Q107" s="34">
        <v>2.9600119999999999</v>
      </c>
      <c r="R107" s="34">
        <v>3.0312589999999999</v>
      </c>
      <c r="S107" s="34">
        <v>3.095332</v>
      </c>
      <c r="T107" s="34">
        <v>3.1532529999999999</v>
      </c>
      <c r="U107" s="34">
        <v>3.2058960000000001</v>
      </c>
      <c r="V107" s="34">
        <v>3.2540450000000001</v>
      </c>
      <c r="W107" s="34">
        <v>3.2983609999999999</v>
      </c>
    </row>
    <row r="108" spans="2:25" x14ac:dyDescent="0.2">
      <c r="B108" s="26" t="s">
        <v>180</v>
      </c>
      <c r="C108" s="34"/>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c r="V108" s="34">
        <v>0</v>
      </c>
      <c r="W108" s="34">
        <v>0</v>
      </c>
    </row>
    <row r="109" spans="2:25" x14ac:dyDescent="0.2">
      <c r="C109" s="117"/>
      <c r="D109" s="117"/>
      <c r="E109" s="117"/>
      <c r="F109" s="117"/>
      <c r="G109" s="117"/>
      <c r="H109" s="117"/>
      <c r="I109" s="117"/>
      <c r="J109" s="117"/>
      <c r="K109" s="117"/>
      <c r="L109" s="117"/>
      <c r="M109" s="117"/>
      <c r="N109" s="117"/>
      <c r="O109" s="117"/>
      <c r="P109" s="117"/>
      <c r="Q109" s="117"/>
      <c r="R109" s="117"/>
      <c r="S109" s="117"/>
      <c r="T109" s="117"/>
      <c r="U109" s="117"/>
      <c r="V109" s="117"/>
      <c r="W109" s="117"/>
    </row>
    <row r="110" spans="2:25" x14ac:dyDescent="0.2">
      <c r="B110" s="26" t="s">
        <v>93</v>
      </c>
      <c r="C110" s="31">
        <v>2021</v>
      </c>
      <c r="D110" s="31">
        <v>2022</v>
      </c>
      <c r="E110" s="31">
        <v>2023</v>
      </c>
      <c r="F110" s="31">
        <v>2024</v>
      </c>
      <c r="G110" s="31">
        <v>2025</v>
      </c>
      <c r="H110" s="31">
        <v>2026</v>
      </c>
      <c r="I110" s="31">
        <v>2027</v>
      </c>
      <c r="J110" s="31">
        <v>2028</v>
      </c>
      <c r="K110" s="31">
        <v>2029</v>
      </c>
      <c r="L110" s="31">
        <v>2030</v>
      </c>
      <c r="M110" s="31">
        <v>2031</v>
      </c>
      <c r="N110" s="31">
        <v>2032</v>
      </c>
      <c r="O110" s="31">
        <v>2033</v>
      </c>
      <c r="P110" s="31">
        <v>2034</v>
      </c>
      <c r="Q110" s="31">
        <v>2035</v>
      </c>
      <c r="R110" s="31">
        <v>2036</v>
      </c>
      <c r="S110" s="31">
        <v>2037</v>
      </c>
      <c r="T110" s="31">
        <v>2038</v>
      </c>
      <c r="U110" s="31">
        <v>2039</v>
      </c>
      <c r="V110" s="31">
        <v>2040</v>
      </c>
      <c r="W110" s="31">
        <v>2041</v>
      </c>
    </row>
    <row r="111" spans="2:25" x14ac:dyDescent="0.2">
      <c r="B111" s="26" t="s">
        <v>134</v>
      </c>
      <c r="C111" s="34">
        <v>3.8019160000000003E-2</v>
      </c>
      <c r="D111" s="34">
        <v>7.8597440000000005E-2</v>
      </c>
      <c r="E111" s="34">
        <v>5.9475470000000003E-2</v>
      </c>
      <c r="F111" s="34">
        <v>9.7054730000000006E-2</v>
      </c>
      <c r="G111" s="34">
        <v>0.11813094</v>
      </c>
      <c r="H111" s="34">
        <v>0.13979354999999999</v>
      </c>
      <c r="I111" s="34">
        <v>0.13858428</v>
      </c>
      <c r="J111" s="34">
        <v>0.14522678</v>
      </c>
      <c r="K111" s="34">
        <v>0.14229575999999999</v>
      </c>
      <c r="L111" s="34">
        <v>0.12855515000000001</v>
      </c>
      <c r="M111" s="34">
        <v>0.13228095000000001</v>
      </c>
      <c r="N111" s="34">
        <v>7.5216920000000007E-2</v>
      </c>
      <c r="O111" s="34">
        <v>7.4732339999999994E-2</v>
      </c>
      <c r="P111" s="34">
        <v>6.8740140000000005E-2</v>
      </c>
      <c r="Q111" s="34">
        <v>6.8088819999999994E-2</v>
      </c>
      <c r="R111" s="34">
        <v>6.7659349999999993E-2</v>
      </c>
      <c r="S111" s="34">
        <v>6.9181220000000002E-2</v>
      </c>
      <c r="T111" s="34">
        <v>6.6608810000000004E-2</v>
      </c>
      <c r="U111" s="34">
        <v>6.6408819999999993E-2</v>
      </c>
      <c r="V111" s="34">
        <v>6.6360269999999999E-2</v>
      </c>
      <c r="W111" s="34">
        <v>6.6178710000000002E-2</v>
      </c>
      <c r="X111" s="38"/>
    </row>
    <row r="112" spans="2:25" x14ac:dyDescent="0.2">
      <c r="B112" s="26" t="s">
        <v>135</v>
      </c>
      <c r="C112" s="34">
        <v>7.5301500000000002E-3</v>
      </c>
      <c r="D112" s="34">
        <v>5.3891019999999998E-2</v>
      </c>
      <c r="E112" s="34">
        <v>3.9845220000000001E-2</v>
      </c>
      <c r="F112" s="34">
        <v>3.7901619999999997E-2</v>
      </c>
      <c r="G112" s="34">
        <v>1.5524369999999999E-2</v>
      </c>
      <c r="H112" s="34">
        <v>2.9265309999999999E-2</v>
      </c>
      <c r="I112" s="34">
        <v>2.611486E-2</v>
      </c>
      <c r="J112" s="34">
        <v>3.7880869999999997E-2</v>
      </c>
      <c r="K112" s="34">
        <v>3.700117E-2</v>
      </c>
      <c r="L112" s="34">
        <v>4.4027610000000002E-2</v>
      </c>
      <c r="M112" s="34">
        <v>5.2113630000000001E-2</v>
      </c>
      <c r="N112" s="34">
        <v>5.0156979999999997E-2</v>
      </c>
      <c r="O112" s="34">
        <v>7.9968419999999998E-2</v>
      </c>
      <c r="P112" s="34">
        <v>6.4114809999999994E-2</v>
      </c>
      <c r="Q112" s="34">
        <v>6.8531330000000001E-2</v>
      </c>
      <c r="R112" s="34">
        <v>7.6302709999999996E-2</v>
      </c>
      <c r="S112" s="34">
        <v>8.8701379999999996E-2</v>
      </c>
      <c r="T112" s="34">
        <v>9.8649000000000001E-2</v>
      </c>
      <c r="U112" s="34">
        <v>8.6605989999999994E-2</v>
      </c>
      <c r="V112" s="34">
        <v>9.2847760000000001E-2</v>
      </c>
      <c r="W112" s="34">
        <v>9.7724469999999994E-2</v>
      </c>
      <c r="X112" s="34"/>
      <c r="Y112" s="97"/>
    </row>
    <row r="113" spans="2:24" x14ac:dyDescent="0.2">
      <c r="B113" s="26" t="s">
        <v>136</v>
      </c>
      <c r="C113" s="34">
        <v>1E-3</v>
      </c>
      <c r="D113" s="34">
        <v>7.5373060000000006E-2</v>
      </c>
      <c r="E113" s="34">
        <v>4.6882050000000001E-2</v>
      </c>
      <c r="F113" s="34">
        <v>5.4216720000000003E-2</v>
      </c>
      <c r="G113" s="34">
        <v>6.7915409999999996E-2</v>
      </c>
      <c r="H113" s="34">
        <v>7.3615710000000001E-2</v>
      </c>
      <c r="I113" s="34">
        <v>6.3481170000000003E-2</v>
      </c>
      <c r="J113" s="34">
        <v>7.1880079999999999E-2</v>
      </c>
      <c r="K113" s="34">
        <v>7.7918799999999996E-2</v>
      </c>
      <c r="L113" s="34">
        <v>7.3351369999999999E-2</v>
      </c>
      <c r="M113" s="34">
        <v>9.3825160000000005E-2</v>
      </c>
      <c r="N113" s="34">
        <v>9.9157609999999993E-2</v>
      </c>
      <c r="O113" s="34">
        <v>0.10572949</v>
      </c>
      <c r="P113" s="34">
        <v>7.9050330000000002E-2</v>
      </c>
      <c r="Q113" s="34">
        <v>8.4228540000000005E-2</v>
      </c>
      <c r="R113" s="34">
        <v>7.3141579999999998E-2</v>
      </c>
      <c r="S113" s="34">
        <v>7.3569389999999998E-2</v>
      </c>
      <c r="T113" s="34">
        <v>7.406277E-2</v>
      </c>
      <c r="U113" s="34">
        <v>7.4590160000000003E-2</v>
      </c>
      <c r="V113" s="34">
        <v>7.5127540000000007E-2</v>
      </c>
      <c r="W113" s="34">
        <v>7.5892799999999996E-2</v>
      </c>
      <c r="X113" s="38"/>
    </row>
    <row r="114" spans="2:24" x14ac:dyDescent="0.2">
      <c r="B114" s="26" t="s">
        <v>137</v>
      </c>
      <c r="C114" s="34">
        <v>8.3818409999999996E-2</v>
      </c>
      <c r="D114" s="34">
        <v>6.9391629999999996E-2</v>
      </c>
      <c r="E114" s="34">
        <v>5.3238099999999997E-2</v>
      </c>
      <c r="F114" s="34">
        <v>4.9193250000000001E-2</v>
      </c>
      <c r="G114" s="34">
        <v>5.6546760000000001E-2</v>
      </c>
      <c r="H114" s="34">
        <v>6.3458280000000006E-2</v>
      </c>
      <c r="I114" s="34">
        <v>6.4334080000000002E-2</v>
      </c>
      <c r="J114" s="34">
        <v>6.3340759999999996E-2</v>
      </c>
      <c r="K114" s="34">
        <v>6.1144089999999998E-2</v>
      </c>
      <c r="L114" s="34">
        <v>5.3902770000000003E-2</v>
      </c>
      <c r="M114" s="34">
        <v>9.3255089999999999E-2</v>
      </c>
      <c r="N114" s="34">
        <v>7.2850020000000001E-2</v>
      </c>
      <c r="O114" s="34">
        <v>7.4534169999999997E-2</v>
      </c>
      <c r="P114" s="34">
        <v>6.1436480000000002E-2</v>
      </c>
      <c r="Q114" s="34">
        <v>8.2422819999999994E-2</v>
      </c>
      <c r="R114" s="34">
        <v>8.5317599999999993E-2</v>
      </c>
      <c r="S114" s="34">
        <v>6.0394759999999999E-2</v>
      </c>
      <c r="T114" s="34">
        <v>7.3690290000000006E-2</v>
      </c>
      <c r="U114" s="34">
        <v>5.733009E-2</v>
      </c>
      <c r="V114" s="34">
        <v>6.1014230000000003E-2</v>
      </c>
      <c r="W114" s="34">
        <v>5.730975E-2</v>
      </c>
      <c r="X114" s="38"/>
    </row>
    <row r="115" spans="2:24" x14ac:dyDescent="0.2">
      <c r="C115" s="38"/>
      <c r="D115" s="38"/>
      <c r="E115" s="34"/>
      <c r="F115" s="34"/>
      <c r="G115" s="38"/>
      <c r="H115" s="117"/>
      <c r="I115" s="117"/>
      <c r="J115" s="117"/>
      <c r="K115" s="117"/>
      <c r="L115" s="117"/>
      <c r="M115" s="117"/>
      <c r="N115" s="117"/>
      <c r="O115" s="117"/>
      <c r="P115" s="117"/>
      <c r="Q115" s="117"/>
      <c r="R115" s="117"/>
      <c r="S115" s="117"/>
      <c r="T115" s="117"/>
      <c r="U115" s="117"/>
      <c r="V115" s="117"/>
      <c r="W115" s="117"/>
      <c r="X115" s="38"/>
    </row>
    <row r="116" spans="2:24" x14ac:dyDescent="0.2">
      <c r="E116" s="34"/>
      <c r="F116" s="34"/>
      <c r="G116" s="120"/>
      <c r="H116" s="120"/>
      <c r="I116" s="120"/>
      <c r="J116" s="120"/>
      <c r="K116" s="120"/>
      <c r="L116" s="120"/>
      <c r="M116" s="120"/>
      <c r="N116" s="120"/>
      <c r="O116" s="120"/>
      <c r="P116" s="120"/>
      <c r="Q116" s="120"/>
      <c r="R116" s="120"/>
      <c r="S116" s="120"/>
      <c r="T116" s="120"/>
      <c r="U116" s="120"/>
      <c r="V116" s="120"/>
      <c r="W116" s="120"/>
    </row>
    <row r="117" spans="2:24" x14ac:dyDescent="0.2">
      <c r="D117" s="258"/>
      <c r="E117" s="258"/>
      <c r="F117" s="258"/>
      <c r="G117" s="258"/>
    </row>
    <row r="118" spans="2:24" x14ac:dyDescent="0.2">
      <c r="D118" s="258"/>
      <c r="E118" s="258"/>
      <c r="F118" s="258"/>
      <c r="G118" s="258"/>
      <c r="H118" s="258"/>
      <c r="I118" s="258"/>
      <c r="J118" s="258"/>
      <c r="K118" s="258"/>
      <c r="L118" s="258"/>
      <c r="M118" s="258"/>
      <c r="N118" s="258"/>
      <c r="O118" s="258"/>
      <c r="P118" s="258"/>
      <c r="Q118" s="258"/>
      <c r="R118" s="258"/>
      <c r="S118" s="258"/>
      <c r="T118" s="258"/>
      <c r="U118" s="120"/>
      <c r="V118" s="120"/>
      <c r="W118" s="120"/>
    </row>
    <row r="119" spans="2:24" x14ac:dyDescent="0.2">
      <c r="E119" s="34"/>
      <c r="F119" s="34"/>
      <c r="G119" s="120"/>
      <c r="H119" s="120"/>
      <c r="I119" s="120"/>
      <c r="J119" s="120"/>
      <c r="K119" s="120"/>
      <c r="L119" s="120"/>
      <c r="M119" s="120"/>
      <c r="N119" s="120"/>
      <c r="O119" s="120"/>
      <c r="P119" s="120"/>
      <c r="Q119" s="120"/>
      <c r="R119" s="120"/>
      <c r="S119" s="120"/>
      <c r="T119" s="120"/>
      <c r="U119" s="120"/>
      <c r="V119" s="120"/>
      <c r="W119" s="120"/>
      <c r="X119" s="120"/>
    </row>
    <row r="120" spans="2:24" x14ac:dyDescent="0.2">
      <c r="G120" s="120"/>
      <c r="H120" s="120"/>
      <c r="I120" s="120"/>
      <c r="J120" s="120"/>
      <c r="K120" s="120"/>
      <c r="L120" s="120"/>
      <c r="M120" s="120"/>
      <c r="N120" s="120"/>
      <c r="O120" s="120"/>
      <c r="P120" s="120"/>
      <c r="Q120" s="120"/>
      <c r="R120" s="120"/>
      <c r="S120" s="120"/>
      <c r="T120" s="120"/>
      <c r="U120" s="120"/>
      <c r="V120" s="120"/>
      <c r="W120" s="120"/>
      <c r="X120" s="120"/>
    </row>
    <row r="121" spans="2:24" x14ac:dyDescent="0.2">
      <c r="E121" s="34"/>
      <c r="F121" s="97"/>
      <c r="G121" s="97"/>
      <c r="H121" s="97"/>
      <c r="I121" s="97"/>
      <c r="J121" s="97"/>
      <c r="K121" s="97"/>
      <c r="L121" s="97"/>
      <c r="M121" s="97"/>
      <c r="N121" s="97"/>
      <c r="O121" s="97"/>
      <c r="P121" s="97"/>
      <c r="Q121" s="97"/>
      <c r="R121" s="97"/>
      <c r="S121" s="97"/>
      <c r="T121" s="97"/>
      <c r="U121" s="97"/>
      <c r="V121" s="97"/>
      <c r="W121" s="97"/>
      <c r="X121" s="120"/>
    </row>
    <row r="122" spans="2:24" x14ac:dyDescent="0.2">
      <c r="E122" s="34"/>
      <c r="F122" s="34"/>
      <c r="G122" s="120"/>
      <c r="H122" s="120"/>
      <c r="I122" s="120"/>
      <c r="J122" s="120"/>
      <c r="K122" s="120"/>
      <c r="L122" s="120"/>
      <c r="M122" s="120"/>
      <c r="N122" s="120"/>
      <c r="O122" s="120"/>
      <c r="P122" s="120"/>
      <c r="Q122" s="120"/>
      <c r="R122" s="120"/>
      <c r="S122" s="120"/>
      <c r="T122" s="120"/>
      <c r="U122" s="120"/>
      <c r="V122" s="120"/>
      <c r="W122" s="120"/>
      <c r="X122" s="120"/>
    </row>
    <row r="123" spans="2:24" x14ac:dyDescent="0.2">
      <c r="G123" s="120"/>
      <c r="H123" s="120"/>
      <c r="I123" s="120"/>
      <c r="J123" s="120"/>
      <c r="K123" s="120"/>
      <c r="L123" s="120"/>
      <c r="M123" s="120"/>
      <c r="N123" s="120"/>
      <c r="O123" s="120"/>
      <c r="P123" s="120"/>
      <c r="Q123" s="120"/>
      <c r="R123" s="120"/>
      <c r="S123" s="120"/>
      <c r="T123" s="120"/>
      <c r="U123" s="120"/>
      <c r="V123" s="120"/>
      <c r="W123" s="120"/>
      <c r="X123" s="120"/>
    </row>
  </sheetData>
  <conditionalFormatting sqref="U10:W43 U45:W52 U54:W80 U82:W103 U105:W130">
    <cfRule type="expression" dxfId="38" priority="1">
      <formula>U$10&gt;($C$6+10)</formula>
    </cfRule>
  </conditionalFormatting>
  <pageMargins left="0.7" right="0.7" top="0.75" bottom="0.75" header="0.3" footer="0.3"/>
  <pageSetup paperSize="9" orientation="portrait" r:id="rId1"/>
  <ignoredErrors>
    <ignoredError sqref="C5:C6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36"/>
  <sheetViews>
    <sheetView zoomScaleNormal="100" workbookViewId="0">
      <selection activeCell="G12" sqref="G12:M12"/>
    </sheetView>
  </sheetViews>
  <sheetFormatPr defaultColWidth="9.33203125" defaultRowHeight="10.199999999999999" outlineLevelRow="1" x14ac:dyDescent="0.2"/>
  <cols>
    <col min="1" max="1" width="9.33203125" style="26" customWidth="1"/>
    <col min="2" max="2" width="57.44140625" style="26" customWidth="1"/>
    <col min="3" max="38" width="9.33203125" style="26" customWidth="1"/>
    <col min="39" max="48" width="11.44140625" style="26" bestFit="1" customWidth="1"/>
    <col min="49" max="16384" width="9.33203125" style="26"/>
  </cols>
  <sheetData>
    <row r="1" spans="1:51" ht="24.75" customHeight="1" x14ac:dyDescent="0.2">
      <c r="B1" s="39"/>
    </row>
    <row r="2" spans="1:51" ht="11.25" customHeight="1" x14ac:dyDescent="0.2">
      <c r="B2" s="27"/>
    </row>
    <row r="3" spans="1:51" ht="11.25" customHeight="1" x14ac:dyDescent="0.2">
      <c r="B3" s="19" t="s">
        <v>15</v>
      </c>
      <c r="C3" s="20" t="str">
        <f>'Input data'!C3</f>
        <v>AT</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394"/>
      <c r="H8" s="394"/>
      <c r="I8" s="394"/>
      <c r="J8" s="394"/>
      <c r="K8" s="394"/>
      <c r="L8" s="394"/>
      <c r="M8" s="394"/>
      <c r="N8" s="29"/>
      <c r="O8" s="29"/>
      <c r="P8" s="29"/>
      <c r="Q8" s="29"/>
      <c r="R8" s="29"/>
      <c r="S8" s="29"/>
      <c r="T8" s="29"/>
      <c r="U8" s="29"/>
      <c r="V8" s="29"/>
      <c r="W8" s="29"/>
    </row>
    <row r="9" spans="1:51" s="67" customFormat="1" ht="13.2" x14ac:dyDescent="0.25">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2"/>
      <c r="G11" s="395"/>
      <c r="H11" s="395"/>
      <c r="I11" s="395"/>
      <c r="J11" s="395"/>
      <c r="K11" s="395"/>
      <c r="L11" s="395"/>
      <c r="M11" s="395"/>
      <c r="N11" s="262"/>
      <c r="O11" s="262"/>
      <c r="P11" s="262"/>
      <c r="Q11" s="262"/>
      <c r="R11" s="262"/>
      <c r="S11" s="262"/>
      <c r="T11" s="262"/>
      <c r="U11" s="262"/>
      <c r="V11" s="262"/>
      <c r="W11" s="262"/>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-3.4934150000000002</v>
      </c>
      <c r="D12" s="2">
        <f>'Input data'!D13</f>
        <v>-3.493954</v>
      </c>
      <c r="E12" s="2">
        <f>'Input data'!E13</f>
        <v>-1.399295</v>
      </c>
      <c r="F12" s="2">
        <f>'Input data'!F13</f>
        <v>-1.3351299999999999</v>
      </c>
      <c r="G12" s="3">
        <f>IF(G10&lt;=$C$6,
IF(AND(F87=1,F77&lt;=-3.05,'Criteria results'!$F$6&lt;0.5),F12+0.5,
IF(AND(F78&lt;=-1.55,'Criteria results'!$F$5=4,'Criteria results'!$F$6&lt;0.4),F12+0.4,
IF(AND(F78&lt;=-1.55,'Criteria results'!$F$5=7,'Criteria results'!$F$6&lt;0.25),F12+0.25,
F12+'Criteria results'!$F$6))),F12)</f>
        <v>-0.35512999999999995</v>
      </c>
      <c r="H12" s="3">
        <f>IF(H10&lt;=$C$6,
IF(AND(G87=1,G77&lt;=-3.05,'Criteria results'!$F$6&lt;0.5),G12+0.5,
IF(AND(G78&lt;=-1.55,'Criteria results'!$F$5=4,'Criteria results'!$F$6&lt;0.4),G12+0.4,
IF(AND(G78&lt;=-1.55,'Criteria results'!$F$5=7,'Criteria results'!$F$6&lt;0.25),G12+0.25,
G12+'Criteria results'!$F$6))),G12)</f>
        <v>0.62487000000000004</v>
      </c>
      <c r="I12" s="3">
        <f>IF(I10&lt;=$C$6,
IF(AND(H87=1,H77&lt;=-3.05,'Criteria results'!$F$6&lt;0.5),H12+0.5,
IF(AND(H78&lt;=-1.55,'Criteria results'!$F$5=4,'Criteria results'!$F$6&lt;0.4),H12+0.4,
IF(AND(H78&lt;=-1.55,'Criteria results'!$F$5=7,'Criteria results'!$F$6&lt;0.25),H12+0.25,
H12+'Criteria results'!$F$6))),H12)</f>
        <v>1.60487</v>
      </c>
      <c r="J12" s="3">
        <f>IF(J10&lt;=$C$6,
IF(AND(I87=1,I77&lt;=-3.05,'Criteria results'!$F$6&lt;0.5+J91),I12+0.5+J91,
IF(AND(I78&lt;=-1.55,'Criteria results'!$F$5=4,'Criteria results'!$F$6&lt;0.4),I12+0.4,
IF(AND(I78&lt;=-1.55,'Criteria results'!$F$5=7,'Criteria results'!$F$6&lt;0.25),I12+0.25,
I12+'Criteria results'!$F$6))),I12)</f>
        <v>2.58487</v>
      </c>
      <c r="K12" s="118">
        <f>IF(K10&lt;=$C$6,
IF(AND(J87=1,J77&lt;=-3.05,'Criteria results'!$F$6&lt;0.5+K91),J12+0.5+K91,
IF(AND(J78&lt;=-1.55,'Criteria results'!$F$5=4,'Criteria results'!$F$6&lt;0.4),J12+0.4,
IF(AND(J78&lt;=-1.55,'Criteria results'!$F$5=7,'Criteria results'!$F$6&lt;0.25),J12+0.25,
J12+'Criteria results'!$F$6))),J12)</f>
        <v>2.58487</v>
      </c>
      <c r="L12" s="118">
        <f>IF(L10&lt;=$C$6,
IF(AND(K87=1,K77&lt;=-3.05,'Criteria results'!$F$6&lt;0.5+L91),K12+0.5+L91,
IF(AND(K78&lt;=-1.55,'Criteria results'!$F$5=4,'Criteria results'!$F$6&lt;0.4),K12+0.4,
IF(AND(K78&lt;=-1.55,'Criteria results'!$F$5=7,'Criteria results'!$F$6&lt;0.25),K12+0.25,
K12+'Criteria results'!$F$6))),K12)</f>
        <v>2.58487</v>
      </c>
      <c r="M12" s="118">
        <f>IF(M10&lt;=$C$6,
IF(AND(L87=1,L77&lt;=-3.05,'Criteria results'!$F$6&lt;0.5+M91),L12+0.5+M91,
IF(AND(L78&lt;=-1.55,'Criteria results'!$F$5=4,'Criteria results'!$F$6&lt;0.4),L12+0.4,
IF(AND(L78&lt;=-1.55,'Criteria results'!$F$5=7,'Criteria results'!$F$6&lt;0.25),L12+0.25,
L12+'Criteria results'!$F$6))),L12)</f>
        <v>2.58487</v>
      </c>
      <c r="N12" s="118">
        <f>M12</f>
        <v>2.58487</v>
      </c>
      <c r="O12" s="118">
        <f t="shared" ref="O12:W12" si="0">N12</f>
        <v>2.58487</v>
      </c>
      <c r="P12" s="118">
        <f t="shared" si="0"/>
        <v>2.58487</v>
      </c>
      <c r="Q12" s="118">
        <f t="shared" si="0"/>
        <v>2.58487</v>
      </c>
      <c r="R12" s="118">
        <f t="shared" si="0"/>
        <v>2.58487</v>
      </c>
      <c r="S12" s="118">
        <f t="shared" si="0"/>
        <v>2.58487</v>
      </c>
      <c r="T12" s="118">
        <f t="shared" si="0"/>
        <v>2.58487</v>
      </c>
      <c r="U12" s="118">
        <f t="shared" si="0"/>
        <v>2.58487</v>
      </c>
      <c r="V12" s="118">
        <f t="shared" si="0"/>
        <v>2.58487</v>
      </c>
      <c r="W12" s="118">
        <f t="shared" si="0"/>
        <v>2.58487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4" t="s">
        <v>187</v>
      </c>
      <c r="C13" s="29"/>
      <c r="D13" s="29"/>
      <c r="E13" s="29"/>
      <c r="F13" s="262"/>
      <c r="G13" s="262">
        <f>G12-F12</f>
        <v>0.98</v>
      </c>
      <c r="H13" s="262">
        <f t="shared" ref="H13:W13" si="1">H12-G12</f>
        <v>0.98</v>
      </c>
      <c r="I13" s="262">
        <f t="shared" si="1"/>
        <v>0.98</v>
      </c>
      <c r="J13" s="262">
        <f t="shared" si="1"/>
        <v>0.98</v>
      </c>
      <c r="K13" s="262">
        <f t="shared" si="1"/>
        <v>0</v>
      </c>
      <c r="L13" s="262">
        <f t="shared" si="1"/>
        <v>0</v>
      </c>
      <c r="M13" s="262">
        <f t="shared" si="1"/>
        <v>0</v>
      </c>
      <c r="N13" s="262">
        <f t="shared" si="1"/>
        <v>0</v>
      </c>
      <c r="O13" s="262">
        <f t="shared" si="1"/>
        <v>0</v>
      </c>
      <c r="P13" s="262">
        <f t="shared" si="1"/>
        <v>0</v>
      </c>
      <c r="Q13" s="262">
        <f t="shared" si="1"/>
        <v>0</v>
      </c>
      <c r="R13" s="262">
        <f t="shared" si="1"/>
        <v>0</v>
      </c>
      <c r="S13" s="262">
        <f t="shared" si="1"/>
        <v>0</v>
      </c>
      <c r="T13" s="262">
        <f t="shared" si="1"/>
        <v>0</v>
      </c>
      <c r="U13" s="262">
        <f t="shared" si="1"/>
        <v>0</v>
      </c>
      <c r="V13" s="262">
        <f t="shared" si="1"/>
        <v>0</v>
      </c>
      <c r="W13" s="262">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2.1047099999999999E-2</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2">
        <f>'Input data'!V14</f>
        <v>0</v>
      </c>
      <c r="W14" s="2">
        <f>'Input data'!W14</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84</v>
      </c>
      <c r="C15" s="1">
        <f>'Input data'!C15</f>
        <v>-1.168344</v>
      </c>
      <c r="D15" s="2">
        <f>'Input data'!D15</f>
        <v>0.33345029999999998</v>
      </c>
      <c r="E15" s="2">
        <f>'Input data'!E15</f>
        <v>1.738494</v>
      </c>
      <c r="F15" s="2">
        <f>'Input data'!F15</f>
        <v>0.1010605</v>
      </c>
      <c r="G15" s="2">
        <f>'Input data'!G15</f>
        <v>9.9622799999999997E-2</v>
      </c>
      <c r="H15" s="2">
        <f>'Input data'!H15</f>
        <v>0.1</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7"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0">
        <f>'Input data'!D20</f>
        <v>25.324309999999997</v>
      </c>
      <c r="E18" s="100">
        <f>'Input data'!E20</f>
        <v>25.242449999999998</v>
      </c>
      <c r="F18" s="100">
        <f>'Input data'!F20</f>
        <v>25.614070000000002</v>
      </c>
      <c r="G18" s="100">
        <f>'Input data'!G20</f>
        <v>25.90615</v>
      </c>
      <c r="H18" s="100">
        <f>'Input data'!H20</f>
        <v>26.090959999999999</v>
      </c>
      <c r="I18" s="100">
        <f>'Input data'!I20</f>
        <v>26.301199999999998</v>
      </c>
      <c r="J18" s="100">
        <f>'Input data'!J20</f>
        <v>26.42249</v>
      </c>
      <c r="K18" s="100">
        <f>'Input data'!K20</f>
        <v>26.510670000000001</v>
      </c>
      <c r="L18" s="100">
        <f>'Input data'!L20</f>
        <v>26.607600000000001</v>
      </c>
      <c r="M18" s="100">
        <f>'Input data'!M20</f>
        <v>26.704270000000001</v>
      </c>
      <c r="N18" s="100">
        <f>'Input data'!N20</f>
        <v>26.793779999999998</v>
      </c>
      <c r="O18" s="100">
        <f>'Input data'!O20</f>
        <v>26.842309999999998</v>
      </c>
      <c r="P18" s="100">
        <f>'Input data'!P20</f>
        <v>26.922160000000002</v>
      </c>
      <c r="Q18" s="100">
        <f>'Input data'!Q20</f>
        <v>26.971239999999998</v>
      </c>
      <c r="R18" s="100">
        <f>'Input data'!R20</f>
        <v>27.00421</v>
      </c>
      <c r="S18" s="100">
        <f>'Input data'!S20</f>
        <v>27.027639999999998</v>
      </c>
      <c r="T18" s="100">
        <f>'Input data'!T20</f>
        <v>27.036020000000001</v>
      </c>
      <c r="U18" s="100">
        <f>'Input data'!U20</f>
        <v>27.037079999999996</v>
      </c>
      <c r="V18" s="100">
        <f>'Input data'!V20</f>
        <v>27.02562</v>
      </c>
      <c r="W18" s="100">
        <f>'Input data'!W20</f>
        <v>27.02122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0.69878779999999996</v>
      </c>
      <c r="D19" s="100">
        <f>'Input data'!D26</f>
        <v>0.67838160000000003</v>
      </c>
      <c r="E19" s="100">
        <f>'Input data'!E26</f>
        <v>0.90806710000000002</v>
      </c>
      <c r="F19" s="100">
        <f>'Input data'!F26</f>
        <v>0.90100539999999996</v>
      </c>
      <c r="G19" s="100">
        <f>'Input data'!G26</f>
        <v>0.89394379999999996</v>
      </c>
      <c r="H19" s="100">
        <f>'Input data'!H26</f>
        <v>0.88688210000000001</v>
      </c>
      <c r="I19" s="100">
        <f>'Input data'!I26</f>
        <v>0.87982050000000001</v>
      </c>
      <c r="J19" s="100">
        <f>'Input data'!J26</f>
        <v>0.8727589</v>
      </c>
      <c r="K19" s="100">
        <f>'Input data'!K26</f>
        <v>0.8656973</v>
      </c>
      <c r="L19" s="100">
        <f>'Input data'!L26</f>
        <v>0.85863560000000005</v>
      </c>
      <c r="M19" s="100">
        <f>'Input data'!M26</f>
        <v>0.85157389999999999</v>
      </c>
      <c r="N19" s="100">
        <f>'Input data'!N26</f>
        <v>0.84451229999999999</v>
      </c>
      <c r="O19" s="100">
        <f>'Input data'!O26</f>
        <v>0.83745069999999999</v>
      </c>
      <c r="P19" s="100">
        <f>'Input data'!P26</f>
        <v>0.83038909999999999</v>
      </c>
      <c r="Q19" s="100">
        <f>'Input data'!Q26</f>
        <v>0.82332740000000004</v>
      </c>
      <c r="R19" s="100">
        <f>'Input data'!R26</f>
        <v>0.81626580000000004</v>
      </c>
      <c r="S19" s="100">
        <f>'Input data'!S26</f>
        <v>0.80920420000000004</v>
      </c>
      <c r="T19" s="100">
        <f>'Input data'!T26</f>
        <v>0.80214260000000004</v>
      </c>
      <c r="U19" s="100">
        <f>'Input data'!U26</f>
        <v>0.79508089999999998</v>
      </c>
      <c r="V19" s="100">
        <f>'Input data'!V26</f>
        <v>0.78801929999999998</v>
      </c>
      <c r="W19" s="100">
        <f>'Input data'!W26</f>
        <v>0.78095769999999998</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85</v>
      </c>
    </row>
    <row r="22" spans="1:50" ht="10.5" customHeight="1" x14ac:dyDescent="0.2">
      <c r="B22" s="30" t="s">
        <v>86</v>
      </c>
    </row>
    <row r="23" spans="1:50" x14ac:dyDescent="0.2">
      <c r="B23" s="26" t="s">
        <v>61</v>
      </c>
      <c r="C23" s="34">
        <f>'Input data'!C31</f>
        <v>331.5462</v>
      </c>
      <c r="D23" s="99">
        <f>'Baseline NFPC'!D22</f>
        <v>349.04485699702803</v>
      </c>
      <c r="E23" s="99">
        <f>'Baseline NFPC'!E22</f>
        <v>345.71160461789975</v>
      </c>
      <c r="F23" s="99">
        <f>'Baseline NFPC'!F22</f>
        <v>343.56249568773626</v>
      </c>
      <c r="G23" s="34">
        <f>IF(AND(G50&gt;1,F50&gt;1),
G27*(1+('Baseline NFPC'!G$29+G51)/100)-F23*$C$47*(G12-F12)/100,
IF(G50=1,G27,F23*(1+G52/100)))</f>
        <v>343.78779984965831</v>
      </c>
      <c r="H23" s="34">
        <f>IF(AND(H50&gt;1,G50&gt;1),
H27*(1+('Baseline NFPC'!H$29+H51)/100)-G23*$C$47*(H12-G12)/100,
IF(H50=1,H27,G23*(1+H52/100)))</f>
        <v>346.87073120317223</v>
      </c>
      <c r="I23" s="34">
        <f>IF(AND(I50&gt;1,H50&gt;1),
I27*(1+I51/100)-H23*$C$47*(I12-H12)/100,
IF(I50=1,I27,H23*(1+I52/100)))</f>
        <v>350.31717286119243</v>
      </c>
      <c r="J23" s="34">
        <f t="shared" ref="J23:W23" si="2">IF(AND(J50&gt;1,I50&gt;1),
J27*(1+J51/100)-I23*$C$47*(J12-I12)/100,
IF(J50=1,J27,I23*(1+J52/100)))</f>
        <v>353.62352785907694</v>
      </c>
      <c r="K23" s="34">
        <f t="shared" si="2"/>
        <v>359.73421808673697</v>
      </c>
      <c r="L23" s="34">
        <f t="shared" si="2"/>
        <v>366.25889653340869</v>
      </c>
      <c r="M23" s="34">
        <f t="shared" si="2"/>
        <v>372.92328113935895</v>
      </c>
      <c r="N23" s="34">
        <f t="shared" si="2"/>
        <v>377.09427141112462</v>
      </c>
      <c r="O23" s="34">
        <f t="shared" si="2"/>
        <v>381.30710073436086</v>
      </c>
      <c r="P23" s="34">
        <f t="shared" si="2"/>
        <v>385.73730584502999</v>
      </c>
      <c r="Q23" s="34">
        <f t="shared" si="2"/>
        <v>390.53091349061594</v>
      </c>
      <c r="R23" s="34">
        <f t="shared" si="2"/>
        <v>395.69991817663163</v>
      </c>
      <c r="S23" s="34">
        <f t="shared" si="2"/>
        <v>401.25734941945848</v>
      </c>
      <c r="T23" s="34">
        <f t="shared" si="2"/>
        <v>407.14849345900365</v>
      </c>
      <c r="U23" s="34">
        <f t="shared" si="2"/>
        <v>413.39388263065905</v>
      </c>
      <c r="V23" s="34">
        <f t="shared" si="2"/>
        <v>420.00286023954129</v>
      </c>
      <c r="W23" s="34">
        <f t="shared" si="2"/>
        <v>426.65141731653256</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4.7953340000000004</v>
      </c>
      <c r="D24" s="99">
        <f>'Baseline NFPC'!D23</f>
        <v>5.2778939999999999</v>
      </c>
      <c r="E24" s="99">
        <f>'Baseline NFPC'!E23</f>
        <v>-0.95496389999999998</v>
      </c>
      <c r="F24" s="99">
        <f>'Baseline NFPC'!F23</f>
        <v>-0.62164790000000003</v>
      </c>
      <c r="G24" s="34">
        <f t="shared" ref="G24:S24" si="3">100*(G23/F23-1)</f>
        <v>6.5578799999999049E-2</v>
      </c>
      <c r="H24" s="34">
        <f t="shared" si="3"/>
        <v>0.89675414743108917</v>
      </c>
      <c r="I24" s="34">
        <f t="shared" si="3"/>
        <v>0.99358099372228725</v>
      </c>
      <c r="J24" s="34">
        <f t="shared" si="3"/>
        <v>0.94381756134878092</v>
      </c>
      <c r="K24" s="34">
        <f t="shared" si="3"/>
        <v>1.7280213974040892</v>
      </c>
      <c r="L24" s="34">
        <f t="shared" si="3"/>
        <v>1.8137497403982072</v>
      </c>
      <c r="M24" s="34">
        <f t="shared" si="3"/>
        <v>1.8195829968985722</v>
      </c>
      <c r="N24" s="34">
        <f t="shared" si="3"/>
        <v>1.1184580000000111</v>
      </c>
      <c r="O24" s="34">
        <f t="shared" si="3"/>
        <v>1.1171819999999943</v>
      </c>
      <c r="P24" s="34">
        <f t="shared" si="3"/>
        <v>1.1618469999999936</v>
      </c>
      <c r="Q24" s="34">
        <f t="shared" si="3"/>
        <v>1.2427130000000064</v>
      </c>
      <c r="R24" s="34">
        <f t="shared" si="3"/>
        <v>1.323584000000011</v>
      </c>
      <c r="S24" s="34">
        <f t="shared" si="3"/>
        <v>1.4044560000000095</v>
      </c>
      <c r="T24" s="34">
        <f>100*(T23/S23-1)</f>
        <v>1.468171000000007</v>
      </c>
      <c r="U24" s="34">
        <f t="shared" ref="U24" si="4">100*(U23/T23-1)</f>
        <v>1.5339339999999924</v>
      </c>
      <c r="V24" s="34">
        <f t="shared" ref="V24" si="5">100*(V23/U23-1)</f>
        <v>1.598711999999991</v>
      </c>
      <c r="W24" s="34">
        <f t="shared" ref="W24" si="6">100*(W23/V23-1)</f>
        <v>1.5829789999999955</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4.4" x14ac:dyDescent="0.2">
      <c r="A26" s="223"/>
      <c r="B26" s="30" t="s">
        <v>87</v>
      </c>
      <c r="C26" s="222"/>
      <c r="D26" s="222"/>
      <c r="E26" s="222"/>
      <c r="F26" s="222"/>
    </row>
    <row r="27" spans="1:50" x14ac:dyDescent="0.2">
      <c r="B27" s="26" t="s">
        <v>61</v>
      </c>
      <c r="C27" s="34">
        <f>'Input data'!C34</f>
        <v>338.15530000000001</v>
      </c>
      <c r="D27" s="99">
        <f>+C27*(1+'Input data'!D33/100)</f>
        <v>342.225837660644</v>
      </c>
      <c r="E27" s="99">
        <f>+D27*(1+'Input data'!E33/100)</f>
        <v>345.81733013623199</v>
      </c>
      <c r="F27" s="99">
        <f>+E27*(1+'Input data'!F33/100)</f>
        <v>348.37401022216329</v>
      </c>
      <c r="G27" s="34">
        <f>+F27*(1+'Input data'!G33/100)</f>
        <v>350.82887192869305</v>
      </c>
      <c r="H27" s="34">
        <f>+G27*(1+'Input data'!H33/100)</f>
        <v>353.69561041475009</v>
      </c>
      <c r="I27" s="34">
        <f>+H27*(1+'Input data'!I33/100)</f>
        <v>357.46508247622813</v>
      </c>
      <c r="J27" s="34">
        <f>+I27*(1+'Input data'!J33/100)</f>
        <v>361.01090052490298</v>
      </c>
      <c r="K27" s="34">
        <f>+J27*(1+'Input data'!K33/100)</f>
        <v>364.70959077481382</v>
      </c>
      <c r="L27" s="34">
        <f>+K27*(1+'Input data'!L33/100)</f>
        <v>368.77430834076637</v>
      </c>
      <c r="M27" s="34">
        <f>+L27*(1+'Input data'!M33/100)</f>
        <v>372.92328113935895</v>
      </c>
      <c r="N27" s="34">
        <f>+M27*(1+'Input data'!N33/100)</f>
        <v>377.0942788695902</v>
      </c>
      <c r="O27" s="34">
        <f>+N27*(1+'Input data'!O33/100)</f>
        <v>381.30711581803666</v>
      </c>
      <c r="P27" s="34">
        <f>+O27*(1+'Input data'!P33/100)</f>
        <v>385.73731347781273</v>
      </c>
      <c r="Q27" s="34">
        <f>+P27*(1+'Input data'!Q33/100)</f>
        <v>390.53093279037171</v>
      </c>
      <c r="R27" s="34">
        <f>+Q27*(1+'Input data'!R33/100)</f>
        <v>395.6999494477638</v>
      </c>
      <c r="S27" s="34">
        <f>+R27*(1+'Input data'!S33/100)</f>
        <v>401.25739300077834</v>
      </c>
      <c r="T27" s="34">
        <f>+S27*(1+'Input data'!T33/100)</f>
        <v>407.14852162987609</v>
      </c>
      <c r="U27" s="34">
        <f>+T27*(1+'Input data'!U33/100)</f>
        <v>413.39391530513939</v>
      </c>
      <c r="V27" s="34">
        <f>+U27*(1+'Input data'!V33/100)</f>
        <v>420.00288103457507</v>
      </c>
      <c r="W27" s="34">
        <f>+V27*(1+'Input data'!W33/100)</f>
        <v>426.65142584066092</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88</v>
      </c>
      <c r="C30" s="34">
        <f>100*(C23/C27-1)</f>
        <v>-1.9544570201916134</v>
      </c>
      <c r="D30" s="99">
        <f t="shared" ref="D30:T30" si="7">100*(D23/D27-1)</f>
        <v>1.9925495348325661</v>
      </c>
      <c r="E30" s="99">
        <f t="shared" si="7"/>
        <v>-3.0572648944626746E-2</v>
      </c>
      <c r="F30" s="99">
        <f t="shared" si="7"/>
        <v>-1.3811347555343301</v>
      </c>
      <c r="G30" s="34">
        <f t="shared" si="7"/>
        <v>-2.0069819340484241</v>
      </c>
      <c r="H30" s="34">
        <f t="shared" si="7"/>
        <v>-1.9295911542625221</v>
      </c>
      <c r="I30" s="34">
        <f t="shared" si="7"/>
        <v>-1.9996105816883603</v>
      </c>
      <c r="J30" s="34">
        <f t="shared" si="7"/>
        <v>-2.0463018305222791</v>
      </c>
      <c r="K30" s="34">
        <f t="shared" si="7"/>
        <v>-1.3642012203481713</v>
      </c>
      <c r="L30" s="34">
        <f t="shared" si="7"/>
        <v>-0.68210061017409673</v>
      </c>
      <c r="M30" s="34">
        <f>100*(M23/M27-1)</f>
        <v>0</v>
      </c>
      <c r="N30" s="34">
        <f t="shared" si="7"/>
        <v>-1.9778782056611988E-6</v>
      </c>
      <c r="O30" s="34">
        <f t="shared" si="7"/>
        <v>-3.9557813580337609E-6</v>
      </c>
      <c r="P30" s="34">
        <f t="shared" si="7"/>
        <v>-1.9787514626834479E-6</v>
      </c>
      <c r="Q30" s="34">
        <f t="shared" si="7"/>
        <v>-4.9419275560680376E-6</v>
      </c>
      <c r="R30" s="34">
        <f t="shared" si="7"/>
        <v>-7.902738485832117E-6</v>
      </c>
      <c r="S30" s="34">
        <f t="shared" si="7"/>
        <v>-1.0861188004529509E-5</v>
      </c>
      <c r="T30" s="34">
        <f t="shared" si="7"/>
        <v>-6.9190653873008046E-6</v>
      </c>
      <c r="U30" s="34">
        <f t="shared" ref="U30:W30" si="8">100*(U23/U27-1)</f>
        <v>-7.9039577327577604E-6</v>
      </c>
      <c r="V30" s="34">
        <f t="shared" si="8"/>
        <v>-4.9511645561217676E-6</v>
      </c>
      <c r="W30" s="34">
        <f t="shared" si="8"/>
        <v>-1.9979139564973991E-6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9">100*((1+C24/100)*(1+C42/100)-1)</f>
        <v>6.8138294147275458</v>
      </c>
      <c r="D33" s="2">
        <f t="shared" si="9"/>
        <v>10.283625195554279</v>
      </c>
      <c r="E33" s="2">
        <f t="shared" si="9"/>
        <v>5.6292074041030871</v>
      </c>
      <c r="F33" s="2">
        <f>100*((1+F24/100)*(1+F42/100)-1)</f>
        <v>3.584825074719511</v>
      </c>
      <c r="G33" s="1">
        <f>100*((1+G24/100)*(1+G42/100)-1)</f>
        <v>2.3540965989601759</v>
      </c>
      <c r="H33" s="1">
        <f t="shared" si="9"/>
        <v>2.7923569608136578</v>
      </c>
      <c r="I33" s="1">
        <f t="shared" si="9"/>
        <v>2.9504938464151254</v>
      </c>
      <c r="J33" s="1">
        <f t="shared" si="9"/>
        <v>2.9592277542402456</v>
      </c>
      <c r="K33" s="1">
        <f t="shared" si="9"/>
        <v>3.8190122662216996</v>
      </c>
      <c r="L33" s="1">
        <f t="shared" si="9"/>
        <v>3.9664767568154957</v>
      </c>
      <c r="M33" s="1">
        <f t="shared" si="9"/>
        <v>4.0324108121155389</v>
      </c>
      <c r="N33" s="1">
        <f t="shared" si="9"/>
        <v>3.3756128436494892</v>
      </c>
      <c r="O33" s="1">
        <f t="shared" si="9"/>
        <v>3.4338720689605085</v>
      </c>
      <c r="P33" s="1">
        <f t="shared" si="9"/>
        <v>3.5391504044999911</v>
      </c>
      <c r="Q33" s="1">
        <f t="shared" si="9"/>
        <v>3.6041992807250178</v>
      </c>
      <c r="R33" s="1">
        <f t="shared" si="9"/>
        <v>3.6692249696000045</v>
      </c>
      <c r="S33" s="1">
        <f t="shared" si="9"/>
        <v>3.7342233766000099</v>
      </c>
      <c r="T33" s="1">
        <f t="shared" si="9"/>
        <v>3.7816452988000071</v>
      </c>
      <c r="U33" s="1">
        <f>100*((1+U24/100)*(1+U42/100)-1)</f>
        <v>3.8311392567499825</v>
      </c>
      <c r="V33" s="1">
        <f t="shared" si="9"/>
        <v>3.8796030844000073</v>
      </c>
      <c r="W33" s="1">
        <f t="shared" si="9"/>
        <v>3.8457398572250057</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138</v>
      </c>
    </row>
    <row r="36" spans="2:51" x14ac:dyDescent="0.2">
      <c r="B36" s="26" t="s">
        <v>63</v>
      </c>
      <c r="C36" s="34">
        <f>'Input data'!C37</f>
        <v>1.419065</v>
      </c>
      <c r="D36" s="99">
        <f>'Input data'!D37</f>
        <v>1.2721899999999999</v>
      </c>
      <c r="E36" s="99">
        <f>'Input data'!E37</f>
        <v>1.6214710000000001</v>
      </c>
      <c r="F36" s="99">
        <f>'Input data'!F37</f>
        <v>1.9528080000000001</v>
      </c>
      <c r="G36" s="99">
        <f>'Input data'!G37</f>
        <v>1.9344650000000001</v>
      </c>
      <c r="H36" s="34">
        <f t="shared" ref="H36:W36" si="10">H109</f>
        <v>1.8809861130955123</v>
      </c>
      <c r="I36" s="34">
        <f t="shared" si="10"/>
        <v>2.0239034219102687</v>
      </c>
      <c r="J36" s="34">
        <f t="shared" si="10"/>
        <v>2.1462506647711721</v>
      </c>
      <c r="K36" s="34">
        <f t="shared" si="10"/>
        <v>2.2522010843711691</v>
      </c>
      <c r="L36" s="34">
        <f t="shared" si="10"/>
        <v>2.3505639958723141</v>
      </c>
      <c r="M36" s="34">
        <f t="shared" si="10"/>
        <v>2.4431330671669667</v>
      </c>
      <c r="N36" s="34">
        <f t="shared" si="10"/>
        <v>2.5303991888294619</v>
      </c>
      <c r="O36" s="34">
        <f t="shared" si="10"/>
        <v>2.6153459556829768</v>
      </c>
      <c r="P36" s="34">
        <f t="shared" si="10"/>
        <v>2.6979396293414264</v>
      </c>
      <c r="Q36" s="34">
        <f t="shared" si="10"/>
        <v>2.768492171816276</v>
      </c>
      <c r="R36" s="34">
        <f t="shared" si="10"/>
        <v>2.8349289419580836</v>
      </c>
      <c r="S36" s="34">
        <f t="shared" si="10"/>
        <v>2.8975480905735478</v>
      </c>
      <c r="T36" s="34">
        <f t="shared" si="10"/>
        <v>2.9566930009413497</v>
      </c>
      <c r="U36" s="34">
        <f t="shared" si="10"/>
        <v>3.012683331736179</v>
      </c>
      <c r="V36" s="34">
        <f t="shared" si="10"/>
        <v>3.0658699192091419</v>
      </c>
      <c r="W36" s="34">
        <f t="shared" si="10"/>
        <v>3.116570593354127</v>
      </c>
    </row>
    <row r="37" spans="2:51" x14ac:dyDescent="0.2">
      <c r="B37" s="32" t="s">
        <v>91</v>
      </c>
      <c r="C37" s="1"/>
      <c r="D37" s="2">
        <f>'Input data'!D$39</f>
        <v>1.71</v>
      </c>
      <c r="E37" s="2">
        <f>'Input data'!E$39</f>
        <v>3.08</v>
      </c>
      <c r="F37" s="165">
        <f>'Input data'!F$39</f>
        <v>2.8521350000000001</v>
      </c>
      <c r="G37" s="165">
        <f>'Input data'!G$39</f>
        <v>2.809685</v>
      </c>
      <c r="H37" s="165">
        <f>'Input data'!H$39</f>
        <v>2.9436909999999998</v>
      </c>
      <c r="I37" s="1">
        <f>'Baseline NFPC'!I36</f>
        <v>3.0060458749999999</v>
      </c>
      <c r="J37" s="1">
        <f>'Baseline NFPC'!J36</f>
        <v>3.0684007499999999</v>
      </c>
      <c r="K37" s="1">
        <f>'Baseline NFPC'!K36</f>
        <v>3.1307556249999999</v>
      </c>
      <c r="L37" s="1">
        <f>'Baseline NFPC'!L36</f>
        <v>3.1931105</v>
      </c>
      <c r="M37" s="1">
        <f>'Baseline NFPC'!M36</f>
        <v>3.255465375</v>
      </c>
      <c r="N37" s="1">
        <f>'Baseline NFPC'!N36</f>
        <v>3.31782025</v>
      </c>
      <c r="O37" s="1">
        <f>'Baseline NFPC'!O36</f>
        <v>3.3801751250000001</v>
      </c>
      <c r="P37" s="251">
        <f>'Baseline NFPC'!P36</f>
        <v>3.4425300000000001</v>
      </c>
      <c r="Q37" s="1">
        <f>'Baseline NFPC'!Q36</f>
        <v>3.4704035000000002</v>
      </c>
      <c r="R37" s="1">
        <f>'Baseline NFPC'!R36</f>
        <v>3.4982769999999999</v>
      </c>
      <c r="S37" s="1">
        <f>'Baseline NFPC'!S36</f>
        <v>3.5261505</v>
      </c>
      <c r="T37" s="1">
        <f>'Baseline NFPC'!T36</f>
        <v>3.5540240000000001</v>
      </c>
      <c r="U37" s="1">
        <f>'Baseline NFPC'!U36</f>
        <v>3.5818975000000002</v>
      </c>
      <c r="V37" s="1">
        <f>'Baseline NFPC'!V36</f>
        <v>3.6097710000000003</v>
      </c>
      <c r="W37" s="1">
        <f>'Baseline NFPC'!W36</f>
        <v>3.6376444999999999</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92</v>
      </c>
      <c r="C38" s="1"/>
      <c r="D38" s="2">
        <f>'Input data'!D$38</f>
        <v>0.35</v>
      </c>
      <c r="E38" s="2">
        <f>'Input data'!E$38</f>
        <v>3.43</v>
      </c>
      <c r="F38" s="165">
        <f>'Input data'!F$38</f>
        <v>3.5292500000000002</v>
      </c>
      <c r="G38" s="165">
        <f>'Input data'!G$38</f>
        <v>2.0662500000000001</v>
      </c>
      <c r="H38" s="165">
        <f>'Input data'!H$38</f>
        <v>1.9957499999999999</v>
      </c>
      <c r="I38" s="1">
        <f>'Baseline NFPC'!I37</f>
        <v>2.079285</v>
      </c>
      <c r="J38" s="1">
        <f>'Baseline NFPC'!J37</f>
        <v>2.16282</v>
      </c>
      <c r="K38" s="1">
        <f>'Baseline NFPC'!K37</f>
        <v>2.2463549999999999</v>
      </c>
      <c r="L38" s="1">
        <f>'Baseline NFPC'!L37</f>
        <v>2.3298899999999998</v>
      </c>
      <c r="M38" s="1">
        <f>'Baseline NFPC'!M37</f>
        <v>2.4134249999999997</v>
      </c>
      <c r="N38" s="1">
        <f>'Baseline NFPC'!N37</f>
        <v>2.4969599999999996</v>
      </c>
      <c r="O38" s="1">
        <f>'Baseline NFPC'!O37</f>
        <v>2.5804949999999995</v>
      </c>
      <c r="P38" s="251">
        <f>'Baseline NFPC'!P37</f>
        <v>2.6640299999999999</v>
      </c>
      <c r="Q38" s="1">
        <f>'Baseline NFPC'!Q37</f>
        <v>2.6308284999999998</v>
      </c>
      <c r="R38" s="1">
        <f>'Baseline NFPC'!R37</f>
        <v>2.5976270000000001</v>
      </c>
      <c r="S38" s="1">
        <f>'Baseline NFPC'!S37</f>
        <v>2.5644255</v>
      </c>
      <c r="T38" s="1">
        <f>'Baseline NFPC'!T37</f>
        <v>2.5312239999999999</v>
      </c>
      <c r="U38" s="1">
        <f>'Baseline NFPC'!U37</f>
        <v>2.4980224999999998</v>
      </c>
      <c r="V38" s="1">
        <f>'Baseline NFPC'!V37</f>
        <v>2.4648209999999997</v>
      </c>
      <c r="W38" s="1">
        <f>'Baseline NFPC'!W37</f>
        <v>2.4316195</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3.2" x14ac:dyDescent="0.25">
      <c r="B39" s="26" t="s">
        <v>93</v>
      </c>
      <c r="C39" s="34">
        <f>'Baseline NFPC'!C38</f>
        <v>7.7717170000000002E-2</v>
      </c>
      <c r="D39" s="34">
        <f>'Baseline NFPC'!D38</f>
        <v>0.11443643000000001</v>
      </c>
      <c r="E39" s="34">
        <f>'Baseline NFPC'!E38</f>
        <v>0.12146793</v>
      </c>
      <c r="F39" s="34">
        <f>'Baseline NFPC'!F38</f>
        <v>0.10811680999999999</v>
      </c>
      <c r="G39" s="34">
        <f>'Baseline NFPC'!G38</f>
        <v>0.10769854499999999</v>
      </c>
      <c r="H39" s="34">
        <f>'Baseline NFPC'!H38</f>
        <v>0.10728027999999999</v>
      </c>
      <c r="I39" s="34">
        <f>'Baseline NFPC'!I38</f>
        <v>0.10686201499999999</v>
      </c>
      <c r="J39" s="34">
        <f>'Baseline NFPC'!J38</f>
        <v>0.10644374999999999</v>
      </c>
      <c r="K39" s="34">
        <f>'Baseline NFPC'!K38</f>
        <v>0.106025485</v>
      </c>
      <c r="L39" s="34">
        <f>'Baseline NFPC'!L38</f>
        <v>0.10560722</v>
      </c>
      <c r="M39" s="34">
        <f>'Baseline NFPC'!M38</f>
        <v>0.105188955</v>
      </c>
      <c r="N39" s="34">
        <f>'Baseline NFPC'!N38</f>
        <v>0.10477069</v>
      </c>
      <c r="O39" s="34">
        <f>'Baseline NFPC'!O38</f>
        <v>0.104352425</v>
      </c>
      <c r="P39" s="34">
        <f>'Baseline NFPC'!P38</f>
        <v>0.10393416</v>
      </c>
      <c r="Q39" s="34">
        <f>'Baseline NFPC'!Q38</f>
        <v>0.10393416</v>
      </c>
      <c r="R39" s="34">
        <f>'Baseline NFPC'!R38</f>
        <v>0.10393416</v>
      </c>
      <c r="S39" s="34">
        <f>'Baseline NFPC'!S38</f>
        <v>0.10393416</v>
      </c>
      <c r="T39" s="34">
        <f>'Baseline NFPC'!T38</f>
        <v>0.10393416</v>
      </c>
      <c r="U39" s="34">
        <f>'Baseline NFPC'!U38</f>
        <v>0.10393416</v>
      </c>
      <c r="V39" s="34">
        <f>'Baseline NFPC'!V38</f>
        <v>0.10393416</v>
      </c>
      <c r="W39" s="34">
        <f>'Baseline NFPC'!W38</f>
        <v>0.10393416</v>
      </c>
    </row>
    <row r="40" spans="2:51" x14ac:dyDescent="0.2">
      <c r="C40" s="1"/>
      <c r="D40" s="1"/>
      <c r="E40" s="103"/>
      <c r="F40" s="103"/>
      <c r="G40" s="103"/>
      <c r="H40" s="103"/>
      <c r="I40" s="103"/>
      <c r="J40" s="103"/>
      <c r="K40" s="103"/>
      <c r="L40" s="103"/>
      <c r="M40" s="103"/>
      <c r="N40" s="103"/>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94</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139</v>
      </c>
      <c r="C42" s="1">
        <f>'Input data'!C42</f>
        <v>1.926131</v>
      </c>
      <c r="D42" s="2">
        <f>'Input data'!D42</f>
        <v>4.7547790000000001</v>
      </c>
      <c r="E42" s="2">
        <f>'Input data'!E42</f>
        <v>6.6476540000000002</v>
      </c>
      <c r="F42" s="2">
        <f>'Input data'!F42</f>
        <v>4.2327859999999999</v>
      </c>
      <c r="G42" s="2">
        <f>'Input data'!G42</f>
        <v>2.2870180000000002</v>
      </c>
      <c r="H42" s="2">
        <f>'Input data'!H42</f>
        <v>1.878755</v>
      </c>
      <c r="I42" s="1">
        <f>'Baseline NFPC'!I41</f>
        <v>1.9376606249999999</v>
      </c>
      <c r="J42" s="1">
        <f>'Baseline NFPC'!J41</f>
        <v>1.9965662499999999</v>
      </c>
      <c r="K42" s="1">
        <f>'Baseline NFPC'!K41</f>
        <v>2.0554718749999998</v>
      </c>
      <c r="L42" s="1">
        <f>'Baseline NFPC'!L41</f>
        <v>2.1143774999999998</v>
      </c>
      <c r="M42" s="1">
        <f>'Baseline NFPC'!M41</f>
        <v>2.1732831250000002</v>
      </c>
      <c r="N42" s="1">
        <f>'Baseline NFPC'!N41</f>
        <v>2.2321887500000002</v>
      </c>
      <c r="O42" s="1">
        <f>'Baseline NFPC'!O41</f>
        <v>2.2910943750000001</v>
      </c>
      <c r="P42" s="251">
        <f>'Baseline NFPC'!P41</f>
        <v>2.35</v>
      </c>
      <c r="Q42" s="1">
        <f>'Baseline NFPC'!Q41</f>
        <v>2.3325</v>
      </c>
      <c r="R42" s="1">
        <f>'Baseline NFPC'!R41</f>
        <v>2.3149999999999999</v>
      </c>
      <c r="S42" s="1">
        <f>'Baseline NFPC'!S41</f>
        <v>2.2974999999999999</v>
      </c>
      <c r="T42" s="1">
        <f>'Baseline NFPC'!T41</f>
        <v>2.2800000000000002</v>
      </c>
      <c r="U42" s="1">
        <f>'Baseline NFPC'!U41</f>
        <v>2.2625000000000002</v>
      </c>
      <c r="V42" s="1">
        <f>'Baseline NFPC'!V41</f>
        <v>2.2450000000000001</v>
      </c>
      <c r="W42" s="1">
        <f>'Baseline NFPC'!W41</f>
        <v>2.2275</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95</v>
      </c>
      <c r="C43" s="1">
        <f>'Baseline NFPC'!C42</f>
        <v>0.9999093</v>
      </c>
      <c r="D43" s="1">
        <f>'Baseline NFPC'!D42</f>
        <v>1.0003169999999999</v>
      </c>
      <c r="E43" s="1">
        <f>'Baseline NFPC'!E42</f>
        <v>0.99993010000000004</v>
      </c>
      <c r="F43" s="1">
        <f>'Baseline NFPC'!F42</f>
        <v>0.99998640000000005</v>
      </c>
      <c r="G43" s="1">
        <f>'Baseline NFPC'!G42</f>
        <v>1.000005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3.2" x14ac:dyDescent="0.2">
      <c r="B45" s="75" t="s">
        <v>96</v>
      </c>
      <c r="C45" s="68"/>
    </row>
    <row r="46" spans="2:51" x14ac:dyDescent="0.2">
      <c r="C46" s="36"/>
    </row>
    <row r="47" spans="2:51" x14ac:dyDescent="0.2">
      <c r="B47" s="54" t="s">
        <v>68</v>
      </c>
      <c r="C47" s="55">
        <f>'Input data'!C49</f>
        <v>0.75</v>
      </c>
    </row>
    <row r="48" spans="2:51" x14ac:dyDescent="0.2">
      <c r="B48" s="56" t="s">
        <v>247</v>
      </c>
      <c r="C48" s="57">
        <f>'Input data'!C50</f>
        <v>0.57099999999999995</v>
      </c>
    </row>
    <row r="49" spans="2:48" x14ac:dyDescent="0.2">
      <c r="C49" s="58"/>
    </row>
    <row r="50" spans="2:48" outlineLevel="1" x14ac:dyDescent="0.2">
      <c r="B50" s="26" t="s">
        <v>97</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4</v>
      </c>
      <c r="J50" s="34">
        <f>IF(AND(ABS((J12-I12)-('Baseline NFPC'!J12-'Baseline NFPC'!I12))&gt;0.0001,ABS(J12-I12)&gt;0.0001,J$10&gt;$C$5),4,IF(I50=4,3,IF(I50=3,2,IF(I50=2,1,0))))</f>
        <v>4</v>
      </c>
      <c r="K50" s="34">
        <f>IF(AND(ABS((K12-J12)-('Baseline NFPC'!K12-'Baseline NFPC'!J12))&gt;0.0001,ABS(K12-J12)&gt;0.0001,K$10&gt;$C$5),4,IF(J50=4,3,IF(J50=3,2,IF(J50=2,1,0))))</f>
        <v>3</v>
      </c>
      <c r="L50" s="34">
        <f>IF(AND(ABS((L12-K12)-('Baseline NFPC'!L12-'Baseline NFPC'!K12))&gt;0.0001,ABS(L12-K12)&gt;0.0001,L$10&gt;$C$5),4,IF(K50=4,3,IF(K50=3,2,IF(K50=2,1,0))))</f>
        <v>2</v>
      </c>
      <c r="M50" s="34">
        <f>IF(AND(ABS((M12-L12)-('Baseline NFPC'!M12-'Baseline NFPC'!L12))&gt;0.0001,ABS(M12-L12)&gt;0.0001,M$10&gt;$C$5),4,IF(L50=4,3,IF(L50=3,2,IF(L50=2,1,0))))</f>
        <v>1</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f>IF(AND(ABS((V12-U12)-('Baseline NFPC'!V12-'Baseline NFPC'!U12))&gt;0.0001,ABS(V12-U12)&gt;0.0001,V$10&gt;$C$5),4,IF(U50=4,3,IF(U50=3,2,IF(U50=2,1,0))))</f>
        <v>0</v>
      </c>
      <c r="W50" s="34">
        <f>IF(AND(ABS((W12-V12)-('Baseline NFPC'!W12-'Baseline NFPC'!V12))&gt;0.0001,ABS(W12-V12)&gt;0.0001,W$10&gt;$C$5),4,IF(V50=4,3,IF(V50=3,2,IF(V50=2,1,0))))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98</v>
      </c>
      <c r="C51" s="34">
        <v>0</v>
      </c>
      <c r="D51" s="34">
        <v>0</v>
      </c>
      <c r="E51" s="34">
        <f>IF(D50=4,2/3*(D30-'Baseline NFPC'!D29),IF(D50=3,1/3*(C30-'Baseline NFPC'!C29),0))</f>
        <v>0</v>
      </c>
      <c r="F51" s="34">
        <f>IF(E50=4,2/3*(E30-'Baseline NFPC'!E29),IF(E50=3,1/3*(D30-'Baseline NFPC'!D29),0))</f>
        <v>0</v>
      </c>
      <c r="G51" s="34">
        <f>IF(F50=4,2/3*(F30-'Baseline NFPC'!F29),IF(F50=3,1/3*(E30-'Baseline NFPC'!E29),0))</f>
        <v>0</v>
      </c>
      <c r="H51" s="34">
        <f>IF(G50=4,2/3*(G30-'Baseline NFPC'!G29),IF(G50=3,1/3*(F30-'Baseline NFPC'!F29),0))</f>
        <v>-0.4798511079248039</v>
      </c>
      <c r="I51" s="34">
        <f>IF(H50=4,2/3*H30,IF(H50=3,1/3*G30,0))</f>
        <v>-1.2863941028416814</v>
      </c>
      <c r="J51" s="34">
        <f t="shared" ref="J51:W51" si="11">IF(I50=4,2/3*I30,IF(I50=3,1/3*H30,0))</f>
        <v>-1.3330737211255734</v>
      </c>
      <c r="K51" s="34">
        <f t="shared" si="11"/>
        <v>-1.3642012203481859</v>
      </c>
      <c r="L51" s="34">
        <f t="shared" si="11"/>
        <v>-0.68210061017409296</v>
      </c>
      <c r="M51" s="34">
        <f t="shared" si="11"/>
        <v>0</v>
      </c>
      <c r="N51" s="34">
        <f t="shared" si="11"/>
        <v>0</v>
      </c>
      <c r="O51" s="34">
        <f t="shared" si="11"/>
        <v>0</v>
      </c>
      <c r="P51" s="34">
        <f t="shared" si="11"/>
        <v>0</v>
      </c>
      <c r="Q51" s="34">
        <f t="shared" si="11"/>
        <v>0</v>
      </c>
      <c r="R51" s="34">
        <f t="shared" si="11"/>
        <v>0</v>
      </c>
      <c r="S51" s="34">
        <f t="shared" si="11"/>
        <v>0</v>
      </c>
      <c r="T51" s="34">
        <f t="shared" si="11"/>
        <v>0</v>
      </c>
      <c r="U51" s="34">
        <f t="shared" si="11"/>
        <v>0</v>
      </c>
      <c r="V51" s="34">
        <f t="shared" si="11"/>
        <v>0</v>
      </c>
      <c r="W51" s="34">
        <f t="shared" si="11"/>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99</v>
      </c>
      <c r="C52" s="34"/>
      <c r="D52" s="34">
        <f>'Input data'!D30-$C$47*((D12-C12)-('Input data'!D13-'Input data'!C13))</f>
        <v>5.2778939999999999</v>
      </c>
      <c r="E52" s="34">
        <f>'Input data'!E30-$C$47*((E12-D12)-('Input data'!E13-'Input data'!D13))</f>
        <v>-0.95496389999999998</v>
      </c>
      <c r="F52" s="34">
        <f>'Input data'!F30-$C$47*((F12-E12)-('Input data'!F13-'Input data'!E13))</f>
        <v>-0.62164790000000003</v>
      </c>
      <c r="G52" s="34">
        <f>'Input data'!G30-$C$47*(G12-F12)</f>
        <v>6.5578800000000048E-2</v>
      </c>
      <c r="H52" s="34">
        <f>'Input data'!H30-$C$47*(H12-G12)</f>
        <v>0.64577399999999996</v>
      </c>
      <c r="I52" s="34">
        <f>'Input data'!I30-$C$47*(I12-H12)</f>
        <v>0.58029199999999992</v>
      </c>
      <c r="J52" s="34">
        <f>'Input data'!J30-$C$47*(J12-I12)</f>
        <v>0.50570900000000008</v>
      </c>
      <c r="K52" s="34">
        <f>'Input data'!K30-$C$47*(K12-J12)</f>
        <v>1.2727729999999999</v>
      </c>
      <c r="L52" s="34">
        <f>'Input data'!L30-$C$47*(L12-K12)</f>
        <v>1.114511</v>
      </c>
      <c r="M52" s="34">
        <f>'Input data'!M30-$C$47*(M12-L12)</f>
        <v>1.125075</v>
      </c>
      <c r="N52" s="34">
        <f>'Input data'!N30-$C$47*(N12-M12)</f>
        <v>1.118458</v>
      </c>
      <c r="O52" s="34">
        <f>'Input data'!O30-$C$47*(O12-N12)</f>
        <v>1.1171819999999999</v>
      </c>
      <c r="P52" s="34">
        <f>'Input data'!P30-$C$47*(P12-O12)</f>
        <v>1.1618470000000001</v>
      </c>
      <c r="Q52" s="34">
        <f>'Input data'!Q30-$C$47*(Q12-P12)</f>
        <v>1.242713</v>
      </c>
      <c r="R52" s="34">
        <f>'Input data'!R30-$C$47*(R12-Q12)</f>
        <v>1.3235840000000001</v>
      </c>
      <c r="S52" s="34">
        <f>'Input data'!S30-$C$47*(S12-R12)</f>
        <v>1.4044559999999999</v>
      </c>
      <c r="T52" s="34">
        <f>'Input data'!T30-$C$47*(T12-S12)</f>
        <v>1.4681709999999999</v>
      </c>
      <c r="U52" s="34">
        <f>'Input data'!U30-$C$47*(U12-T12)</f>
        <v>1.5339339999999999</v>
      </c>
      <c r="V52" s="34">
        <f>'Input data'!V30-$C$47*(V12-U12)</f>
        <v>1.5987119999999999</v>
      </c>
      <c r="W52" s="34">
        <f>'Input data'!W30-$C$47*(W12-V12)</f>
        <v>1.5829789999999999</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3.2" outlineLevel="1" x14ac:dyDescent="0.2">
      <c r="B54" s="72" t="s">
        <v>100</v>
      </c>
      <c r="C54" s="69"/>
      <c r="E54" s="70"/>
      <c r="F54" s="69"/>
    </row>
    <row r="55" spans="2:48" outlineLevel="1" x14ac:dyDescent="0.2">
      <c r="B55" s="43"/>
      <c r="C55" s="29"/>
      <c r="E55" s="44"/>
      <c r="F55" s="29"/>
    </row>
    <row r="56" spans="2:48" outlineLevel="1" x14ac:dyDescent="0.2">
      <c r="B56" s="84"/>
      <c r="C56" s="85">
        <v>2021</v>
      </c>
      <c r="D56" s="85">
        <v>2022</v>
      </c>
      <c r="E56" s="85">
        <v>2023</v>
      </c>
      <c r="F56" s="85">
        <v>2024</v>
      </c>
      <c r="G56" s="85">
        <v>2025</v>
      </c>
      <c r="H56" s="85">
        <v>2026</v>
      </c>
      <c r="I56" s="85">
        <v>2027</v>
      </c>
      <c r="J56" s="85">
        <v>2028</v>
      </c>
      <c r="K56" s="85">
        <v>2029</v>
      </c>
      <c r="L56" s="85">
        <v>2030</v>
      </c>
      <c r="M56" s="85">
        <v>2031</v>
      </c>
      <c r="N56" s="85">
        <v>2032</v>
      </c>
      <c r="O56" s="85">
        <v>2033</v>
      </c>
      <c r="P56" s="85">
        <v>2034</v>
      </c>
      <c r="Q56" s="85">
        <v>2035</v>
      </c>
      <c r="R56" s="85">
        <v>2036</v>
      </c>
      <c r="S56" s="85">
        <v>2037</v>
      </c>
      <c r="T56" s="85">
        <v>2038</v>
      </c>
      <c r="U56" s="85">
        <v>2039</v>
      </c>
      <c r="V56" s="85">
        <v>2040</v>
      </c>
      <c r="W56" s="85">
        <v>2041</v>
      </c>
    </row>
    <row r="57" spans="2:48" ht="10.5" customHeight="1" outlineLevel="1" x14ac:dyDescent="0.2">
      <c r="B57" s="86" t="s">
        <v>101</v>
      </c>
      <c r="C57" s="45">
        <f>+'Input data'!C12</f>
        <v>82.394589999999994</v>
      </c>
      <c r="D57" s="45">
        <f>+C57+D58</f>
        <v>78.375620315610604</v>
      </c>
      <c r="E57" s="45">
        <f>+D57+E58</f>
        <v>78.551901298157986</v>
      </c>
      <c r="F57" s="45">
        <f>+E57+F58</f>
        <v>79.538050043568091</v>
      </c>
      <c r="G57" s="45">
        <f>+F57+G58</f>
        <v>80.81308351777497</v>
      </c>
      <c r="H57" s="45">
        <f t="shared" ref="H57:S57" si="12">+G57+H58</f>
        <v>80.673518010562546</v>
      </c>
      <c r="I57" s="45">
        <f t="shared" si="12"/>
        <v>79.484335796243897</v>
      </c>
      <c r="J57" s="45">
        <f t="shared" si="12"/>
        <v>77.440287313107248</v>
      </c>
      <c r="K57" s="45">
        <f t="shared" si="12"/>
        <v>74.560907903721599</v>
      </c>
      <c r="L57" s="45">
        <f t="shared" si="12"/>
        <v>71.405877847092583</v>
      </c>
      <c r="M57" s="45">
        <f t="shared" si="12"/>
        <v>68.033122681889225</v>
      </c>
      <c r="N57" s="45">
        <f t="shared" si="12"/>
        <v>65.291541962624549</v>
      </c>
      <c r="O57" s="45">
        <f t="shared" si="12"/>
        <v>62.645116436373293</v>
      </c>
      <c r="P57" s="45">
        <f t="shared" si="12"/>
        <v>60.093322914132514</v>
      </c>
      <c r="Q57" s="45">
        <f t="shared" si="12"/>
        <v>57.62190382259854</v>
      </c>
      <c r="R57" s="45">
        <f t="shared" si="12"/>
        <v>55.211529192724086</v>
      </c>
      <c r="S57" s="45">
        <f t="shared" si="12"/>
        <v>52.850057829371522</v>
      </c>
      <c r="T57" s="45">
        <f>+S57+T58</f>
        <v>50.529237044731246</v>
      </c>
      <c r="U57" s="45">
        <f>+T57+U58</f>
        <v>48.238339455034449</v>
      </c>
      <c r="V57" s="45">
        <f t="shared" ref="V57" si="13">+U57+V58</f>
        <v>45.963470428247113</v>
      </c>
      <c r="W57" s="45">
        <f t="shared" ref="W57" si="14">+V57+W58</f>
        <v>43.74639300194378</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7" t="s">
        <v>102</v>
      </c>
      <c r="C58" s="47"/>
      <c r="D58" s="47">
        <f>-D59+D67+D72</f>
        <v>-4.0189696843893961</v>
      </c>
      <c r="E58" s="47">
        <f>-E59+E67+E72</f>
        <v>0.17628098254738189</v>
      </c>
      <c r="F58" s="47">
        <f>-F59+F67+F72</f>
        <v>0.98614874541010267</v>
      </c>
      <c r="G58" s="47">
        <f>-G59+G67+G72</f>
        <v>1.2750334742068725</v>
      </c>
      <c r="H58" s="47">
        <f t="shared" ref="H58:S58" si="15">-H59+H67+H72</f>
        <v>-0.1395655072124222</v>
      </c>
      <c r="I58" s="47">
        <f t="shared" si="15"/>
        <v>-1.1891822143186457</v>
      </c>
      <c r="J58" s="47">
        <f t="shared" si="15"/>
        <v>-2.0440484831366503</v>
      </c>
      <c r="K58" s="47">
        <f t="shared" si="15"/>
        <v>-2.8793794093856482</v>
      </c>
      <c r="L58" s="47">
        <f t="shared" si="15"/>
        <v>-3.1550300566290139</v>
      </c>
      <c r="M58" s="47">
        <f t="shared" si="15"/>
        <v>-3.3727551652033627</v>
      </c>
      <c r="N58" s="47">
        <f t="shared" si="15"/>
        <v>-2.7415807192646726</v>
      </c>
      <c r="O58" s="47">
        <f t="shared" si="15"/>
        <v>-2.6464255262512539</v>
      </c>
      <c r="P58" s="47">
        <f t="shared" si="15"/>
        <v>-2.551793522240779</v>
      </c>
      <c r="Q58" s="47">
        <f t="shared" si="15"/>
        <v>-2.4714190915339707</v>
      </c>
      <c r="R58" s="47">
        <f t="shared" si="15"/>
        <v>-2.4103746298744553</v>
      </c>
      <c r="S58" s="47">
        <f t="shared" si="15"/>
        <v>-2.3614713633525666</v>
      </c>
      <c r="T58" s="47">
        <f>-T59+T67+T72</f>
        <v>-2.3208207846402722</v>
      </c>
      <c r="U58" s="47">
        <f t="shared" ref="U58:W58" si="16">-U59+U67+U72</f>
        <v>-2.2908975896967987</v>
      </c>
      <c r="V58" s="47">
        <f t="shared" si="16"/>
        <v>-2.2748690267873353</v>
      </c>
      <c r="W58" s="47">
        <f t="shared" si="16"/>
        <v>-2.2170774263033359</v>
      </c>
    </row>
    <row r="59" spans="2:48" outlineLevel="1" x14ac:dyDescent="0.2">
      <c r="B59" s="83" t="s">
        <v>103</v>
      </c>
      <c r="C59" s="48"/>
      <c r="D59" s="48">
        <f>D60+D61-D62-D63-D64-D65-D66</f>
        <v>-2.3562082156106046</v>
      </c>
      <c r="E59" s="48">
        <f t="shared" ref="E59:R59" si="17">E60+E61-E62-E63-E64-E65-E66</f>
        <v>-1.4167519825473818</v>
      </c>
      <c r="F59" s="48">
        <f t="shared" si="17"/>
        <v>-2.1237579454101025</v>
      </c>
      <c r="G59" s="48">
        <f t="shared" si="17"/>
        <v>-1.5011166843416499</v>
      </c>
      <c r="H59" s="48">
        <f t="shared" si="17"/>
        <v>-0.47692654908390009</v>
      </c>
      <c r="I59" s="48">
        <f t="shared" si="17"/>
        <v>0.46309235785594649</v>
      </c>
      <c r="J59" s="48">
        <f t="shared" si="17"/>
        <v>1.4164316547717788</v>
      </c>
      <c r="K59" s="48">
        <f t="shared" si="17"/>
        <v>1.7106695031811929</v>
      </c>
      <c r="L59" s="48">
        <f t="shared" si="17"/>
        <v>1.996157251590589</v>
      </c>
      <c r="M59" s="48">
        <f t="shared" si="17"/>
        <v>2.2819049999999987</v>
      </c>
      <c r="N59" s="48">
        <f t="shared" si="17"/>
        <v>2.1853322706315459</v>
      </c>
      <c r="O59" s="48">
        <f t="shared" si="17"/>
        <v>2.1297395412488465</v>
      </c>
      <c r="P59" s="48">
        <f t="shared" si="17"/>
        <v>2.042829070132913</v>
      </c>
      <c r="Q59" s="48">
        <f t="shared" si="17"/>
        <v>1.9866856781593674</v>
      </c>
      <c r="R59" s="48">
        <f t="shared" si="17"/>
        <v>1.9466523875363237</v>
      </c>
      <c r="S59" s="48">
        <f>S60+S61-S62-S63-S64-S65-S66</f>
        <v>1.9161590982616512</v>
      </c>
      <c r="T59" s="48">
        <f>T60+T61-T62-T63-T64-T65-T66</f>
        <v>1.9007197492136629</v>
      </c>
      <c r="U59" s="48">
        <f>U60+U61-U62-U63-U64-U65-U66</f>
        <v>1.8925974868401383</v>
      </c>
      <c r="V59" s="48">
        <f t="shared" ref="V59:W59" si="18">V60+V61-V62-V63-V64-V65-V66</f>
        <v>1.8969975728850381</v>
      </c>
      <c r="W59" s="48">
        <f t="shared" si="18"/>
        <v>1.8943376591911312</v>
      </c>
    </row>
    <row r="60" spans="2:48" outlineLevel="1" x14ac:dyDescent="0.2">
      <c r="B60" s="78" t="s">
        <v>104</v>
      </c>
      <c r="C60" s="1"/>
      <c r="D60" s="1">
        <f>D12</f>
        <v>-3.493954</v>
      </c>
      <c r="E60" s="1">
        <f>E12</f>
        <v>-1.399295</v>
      </c>
      <c r="F60" s="1">
        <f>F12</f>
        <v>-1.3351299999999999</v>
      </c>
      <c r="G60" s="1">
        <f t="shared" ref="G60:W60" si="19">IF(G12="",F60,G12)</f>
        <v>-0.35512999999999995</v>
      </c>
      <c r="H60" s="1">
        <f t="shared" si="19"/>
        <v>0.62487000000000004</v>
      </c>
      <c r="I60" s="1">
        <f t="shared" si="19"/>
        <v>1.60487</v>
      </c>
      <c r="J60" s="1">
        <f t="shared" si="19"/>
        <v>2.58487</v>
      </c>
      <c r="K60" s="1">
        <f t="shared" si="19"/>
        <v>2.58487</v>
      </c>
      <c r="L60" s="1">
        <f t="shared" si="19"/>
        <v>2.58487</v>
      </c>
      <c r="M60" s="1">
        <f t="shared" si="19"/>
        <v>2.58487</v>
      </c>
      <c r="N60" s="1">
        <f t="shared" si="19"/>
        <v>2.58487</v>
      </c>
      <c r="O60" s="1">
        <f t="shared" si="19"/>
        <v>2.58487</v>
      </c>
      <c r="P60" s="1">
        <f t="shared" si="19"/>
        <v>2.58487</v>
      </c>
      <c r="Q60" s="1">
        <f t="shared" si="19"/>
        <v>2.58487</v>
      </c>
      <c r="R60" s="1">
        <f t="shared" si="19"/>
        <v>2.58487</v>
      </c>
      <c r="S60" s="1">
        <f t="shared" si="19"/>
        <v>2.58487</v>
      </c>
      <c r="T60" s="1">
        <f t="shared" si="19"/>
        <v>2.58487</v>
      </c>
      <c r="U60" s="1">
        <f t="shared" si="19"/>
        <v>2.58487</v>
      </c>
      <c r="V60" s="1">
        <f t="shared" si="19"/>
        <v>2.58487</v>
      </c>
      <c r="W60" s="1">
        <f t="shared" si="19"/>
        <v>2.58487</v>
      </c>
    </row>
    <row r="61" spans="2:48" outlineLevel="1" x14ac:dyDescent="0.2">
      <c r="B61" s="78"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8" t="s">
        <v>106</v>
      </c>
      <c r="C62" s="1"/>
      <c r="D62" s="1">
        <f t="shared" ref="D62:W62" si="20">-$C$48*D30</f>
        <v>-1.1377457843893952</v>
      </c>
      <c r="E62" s="1">
        <f t="shared" si="20"/>
        <v>1.7456982547381872E-2</v>
      </c>
      <c r="F62" s="1">
        <f t="shared" si="20"/>
        <v>0.78862794541010239</v>
      </c>
      <c r="G62" s="1">
        <f t="shared" si="20"/>
        <v>1.14598668434165</v>
      </c>
      <c r="H62" s="1">
        <f t="shared" si="20"/>
        <v>1.1017965490839001</v>
      </c>
      <c r="I62" s="1">
        <f t="shared" si="20"/>
        <v>1.1417776421440535</v>
      </c>
      <c r="J62" s="1">
        <f t="shared" si="20"/>
        <v>1.1684383452282212</v>
      </c>
      <c r="K62" s="1">
        <f t="shared" si="20"/>
        <v>0.7789588968188057</v>
      </c>
      <c r="L62" s="1">
        <f t="shared" si="20"/>
        <v>0.38947944840940918</v>
      </c>
      <c r="M62" s="1">
        <f>-$C$48*M30</f>
        <v>0</v>
      </c>
      <c r="N62" s="1">
        <f t="shared" si="20"/>
        <v>1.1293684554325443E-6</v>
      </c>
      <c r="O62" s="1">
        <f t="shared" si="20"/>
        <v>2.2587511554372772E-6</v>
      </c>
      <c r="P62" s="1">
        <f t="shared" si="20"/>
        <v>1.1298670851922486E-6</v>
      </c>
      <c r="Q62" s="1">
        <f t="shared" si="20"/>
        <v>2.8218406345148491E-6</v>
      </c>
      <c r="R62" s="1">
        <f t="shared" si="20"/>
        <v>4.5124636754101385E-6</v>
      </c>
      <c r="S62" s="1">
        <f t="shared" si="20"/>
        <v>6.2017383505863491E-6</v>
      </c>
      <c r="T62" s="1">
        <f t="shared" si="20"/>
        <v>3.9507863361487592E-6</v>
      </c>
      <c r="U62" s="1">
        <f>-$C$48*U30</f>
        <v>4.5131598654046808E-6</v>
      </c>
      <c r="V62" s="1">
        <f t="shared" si="20"/>
        <v>2.827114961545529E-6</v>
      </c>
      <c r="W62" s="1">
        <f t="shared" si="20"/>
        <v>1.1408088691600147E-6</v>
      </c>
    </row>
    <row r="63" spans="2:48" outlineLevel="1" x14ac:dyDescent="0.2">
      <c r="B63" s="78" t="s">
        <v>107</v>
      </c>
      <c r="C63" s="1"/>
      <c r="D63" s="1">
        <f t="shared" ref="D63:W63" si="21">-D14</f>
        <v>0</v>
      </c>
      <c r="E63" s="1">
        <f t="shared" si="21"/>
        <v>0</v>
      </c>
      <c r="F63" s="1">
        <f t="shared" si="21"/>
        <v>0</v>
      </c>
      <c r="G63" s="1">
        <f t="shared" si="21"/>
        <v>0</v>
      </c>
      <c r="H63" s="1">
        <f t="shared" si="21"/>
        <v>0</v>
      </c>
      <c r="I63" s="1">
        <f t="shared" si="21"/>
        <v>0</v>
      </c>
      <c r="J63" s="1">
        <f t="shared" si="21"/>
        <v>0</v>
      </c>
      <c r="K63" s="1">
        <f t="shared" si="21"/>
        <v>0</v>
      </c>
      <c r="L63" s="1">
        <f t="shared" si="21"/>
        <v>0</v>
      </c>
      <c r="M63" s="1">
        <f t="shared" si="21"/>
        <v>0</v>
      </c>
      <c r="N63" s="1">
        <f t="shared" si="21"/>
        <v>0</v>
      </c>
      <c r="O63" s="1">
        <f t="shared" si="21"/>
        <v>0</v>
      </c>
      <c r="P63" s="1">
        <f t="shared" si="21"/>
        <v>0</v>
      </c>
      <c r="Q63" s="1">
        <f t="shared" si="21"/>
        <v>0</v>
      </c>
      <c r="R63" s="1">
        <f t="shared" si="21"/>
        <v>0</v>
      </c>
      <c r="S63" s="1">
        <f t="shared" si="21"/>
        <v>0</v>
      </c>
      <c r="T63" s="1">
        <f t="shared" si="21"/>
        <v>0</v>
      </c>
      <c r="U63" s="1">
        <f t="shared" si="21"/>
        <v>0</v>
      </c>
      <c r="V63" s="1">
        <f t="shared" si="21"/>
        <v>0</v>
      </c>
      <c r="W63" s="1">
        <f t="shared" si="21"/>
        <v>0</v>
      </c>
    </row>
    <row r="64" spans="2:48" outlineLevel="1" x14ac:dyDescent="0.2">
      <c r="B64" s="78" t="s">
        <v>108</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8.8180000000001257E-2</v>
      </c>
      <c r="L64" s="1">
        <f>IF(L$56&lt;=$C$6,0,HLOOKUP(L$56,'Input data'!$C$9:$BB$26,12,FALSE)-HLOOKUP($C$6,'Input data'!$C$9:$BB$26,12,FALSE))</f>
        <v>0.18511000000000166</v>
      </c>
      <c r="M64" s="1">
        <f>IF(M$56&lt;=$C$6,0,HLOOKUP(M$56,'Input data'!$C$9:$BB$26,12,FALSE)-HLOOKUP($C$6,'Input data'!$C$9:$BB$26,12,FALSE))</f>
        <v>0.28178000000000125</v>
      </c>
      <c r="N64" s="1">
        <f>IF(N$56&lt;=$C$6,0,HLOOKUP(N$56,'Input data'!$C$9:$BB$26,12,FALSE)-HLOOKUP($C$6,'Input data'!$C$9:$BB$26,12,FALSE))</f>
        <v>0.37128999999999834</v>
      </c>
      <c r="O64" s="1">
        <f>IF(O$56&lt;=$C$6,0,HLOOKUP(O$56,'Input data'!$C$9:$BB$26,12,FALSE)-HLOOKUP($C$6,'Input data'!$C$9:$BB$26,12,FALSE))</f>
        <v>0.41981999999999786</v>
      </c>
      <c r="P64" s="1">
        <f>IF(P$56&lt;=$C$6,0,HLOOKUP(P$56,'Input data'!$C$9:$BB$26,12,FALSE)-HLOOKUP($C$6,'Input data'!$C$9:$BB$26,12,FALSE))</f>
        <v>0.49967000000000183</v>
      </c>
      <c r="Q64" s="1">
        <f>IF(Q$56&lt;=$C$6,0,HLOOKUP(Q$56,'Input data'!$C$9:$BB$26,12,FALSE)-HLOOKUP($C$6,'Input data'!$C$9:$BB$26,12,FALSE))</f>
        <v>0.54874999999999829</v>
      </c>
      <c r="R64" s="1">
        <f>IF(R$56&lt;=$C$6,0,HLOOKUP(R$56,'Input data'!$C$9:$BB$26,12,FALSE)-HLOOKUP($C$6,'Input data'!$C$9:$BB$26,12,FALSE))</f>
        <v>0.58172000000000068</v>
      </c>
      <c r="S64" s="1">
        <f>IF(S$56&lt;=$C$6,0,HLOOKUP(S$56,'Input data'!$C$9:$BB$26,12,FALSE)-HLOOKUP($C$6,'Input data'!$C$9:$BB$26,12,FALSE))</f>
        <v>0.6051499999999983</v>
      </c>
      <c r="T64" s="1">
        <f>IF(T$56&lt;=$C$6,0,HLOOKUP(T$56,'Input data'!$C$9:$BB$26,12,FALSE)-HLOOKUP($C$6,'Input data'!$C$9:$BB$26,12,FALSE))</f>
        <v>0.6135300000000008</v>
      </c>
      <c r="U64" s="1">
        <f>IF(U$56&lt;=$C$6,0,HLOOKUP(U$56,'Input data'!$C$9:$BB$26,12,FALSE)-HLOOKUP($C$6,'Input data'!$C$9:$BB$26,12,FALSE))</f>
        <v>0.61458999999999619</v>
      </c>
      <c r="V64" s="1">
        <f>IF(V$56&lt;=$C$6,0,HLOOKUP(V$56,'Input data'!$C$9:$BB$26,12,FALSE)-HLOOKUP($C$6,'Input data'!$C$9:$BB$26,12,FALSE))</f>
        <v>0.60313000000000017</v>
      </c>
      <c r="W64" s="1">
        <f>IF(W$56&lt;=$C$6,0,HLOOKUP(W$56,'Input data'!$C$9:$BB$26,12,FALSE)-HLOOKUP($C$6,'Input data'!$C$9:$BB$26,12,FALSE))</f>
        <v>0.59872999999999976</v>
      </c>
    </row>
    <row r="65" spans="2:23" outlineLevel="1" x14ac:dyDescent="0.2">
      <c r="B65" s="78" t="s">
        <v>109</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7.0616000000000012E-3</v>
      </c>
      <c r="L65" s="1">
        <f>IF(L$56&lt;=$C$6,0,-HLOOKUP(L$56,'Input data'!$C$9:$BB$26,18,FALSE)+HLOOKUP($C$6,'Input data'!$C$9:$BB$26,18,FALSE))</f>
        <v>1.412329999999995E-2</v>
      </c>
      <c r="M65" s="1">
        <f>IF(M$56&lt;=$C$6,0,-HLOOKUP(M$56,'Input data'!$C$9:$BB$26,18,FALSE)+HLOOKUP($C$6,'Input data'!$C$9:$BB$26,18,FALSE))</f>
        <v>2.1185000000000009E-2</v>
      </c>
      <c r="N65" s="1">
        <f>IF(N$56&lt;=$C$6,0,-HLOOKUP(N$56,'Input data'!$C$9:$BB$26,18,FALSE)+HLOOKUP($C$6,'Input data'!$C$9:$BB$26,18,FALSE))</f>
        <v>2.8246600000000011E-2</v>
      </c>
      <c r="O65" s="1">
        <f>IF(O$56&lt;=$C$6,0,-HLOOKUP(O$56,'Input data'!$C$9:$BB$26,18,FALSE)+HLOOKUP($C$6,'Input data'!$C$9:$BB$26,18,FALSE))</f>
        <v>3.5308200000000012E-2</v>
      </c>
      <c r="P65" s="1">
        <f>IF(P$56&lt;=$C$6,0,-HLOOKUP(P$56,'Input data'!$C$9:$BB$26,18,FALSE)+HLOOKUP($C$6,'Input data'!$C$9:$BB$26,18,FALSE))</f>
        <v>4.2369800000000013E-2</v>
      </c>
      <c r="Q65" s="1">
        <f>IF(Q$56&lt;=$C$6,0,-HLOOKUP(Q$56,'Input data'!$C$9:$BB$26,18,FALSE)+HLOOKUP($C$6,'Input data'!$C$9:$BB$26,18,FALSE))</f>
        <v>4.9431499999999962E-2</v>
      </c>
      <c r="R65" s="1">
        <f>IF(R$56&lt;=$C$6,0,-HLOOKUP(R$56,'Input data'!$C$9:$BB$26,18,FALSE)+HLOOKUP($C$6,'Input data'!$C$9:$BB$26,18,FALSE))</f>
        <v>5.6493099999999963E-2</v>
      </c>
      <c r="S65" s="1">
        <f>IF(S$56&lt;=$C$6,0,-HLOOKUP(S$56,'Input data'!$C$9:$BB$26,18,FALSE)+HLOOKUP($C$6,'Input data'!$C$9:$BB$26,18,FALSE))</f>
        <v>6.3554699999999964E-2</v>
      </c>
      <c r="T65" s="1">
        <f>IF(T$56&lt;=$C$6,0,-HLOOKUP(T$56,'Input data'!$C$9:$BB$26,18,FALSE)+HLOOKUP($C$6,'Input data'!$C$9:$BB$26,18,FALSE))</f>
        <v>7.0616299999999965E-2</v>
      </c>
      <c r="U65" s="263">
        <f>IF(U$56&lt;=$C$6,0,-HLOOKUP(U$56,'Input data'!$C$9:$BB$26,18,FALSE)+HLOOKUP($C$6,'Input data'!$C$9:$BB$26,18,FALSE))</f>
        <v>7.7678000000000025E-2</v>
      </c>
      <c r="V65" s="263">
        <f>IF(V$56&lt;=$C$6,0,-HLOOKUP(V$56,'Input data'!$C$9:$BB$26,18,FALSE)+HLOOKUP($C$6,'Input data'!$C$9:$BB$26,18,FALSE))</f>
        <v>8.4739600000000026E-2</v>
      </c>
      <c r="W65" s="263">
        <f>IF(W$56&lt;=$C$6,0,-HLOOKUP(W$56,'Input data'!$C$9:$BB$26,18,FALSE)+HLOOKUP($C$6,'Input data'!$C$9:$BB$26,18,FALSE))</f>
        <v>9.1801200000000027E-2</v>
      </c>
    </row>
    <row r="66" spans="2:23" outlineLevel="1" x14ac:dyDescent="0.2">
      <c r="B66" s="78"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4">
        <v>0</v>
      </c>
      <c r="V66" s="264">
        <v>0</v>
      </c>
      <c r="W66" s="264">
        <v>0</v>
      </c>
    </row>
    <row r="67" spans="2:23" outlineLevel="1" x14ac:dyDescent="0.2">
      <c r="B67" s="83" t="s">
        <v>111</v>
      </c>
      <c r="C67" s="48"/>
      <c r="D67" s="48">
        <f t="shared" ref="D67:O67" si="22">SUM(D68:D71)</f>
        <v>-6.7322810000000004</v>
      </c>
      <c r="E67" s="48">
        <f t="shared" si="22"/>
        <v>-2.9737779999999998</v>
      </c>
      <c r="F67" s="48">
        <f t="shared" si="22"/>
        <v>-1.2376339999999999</v>
      </c>
      <c r="G67" s="48">
        <f t="shared" si="22"/>
        <v>-0.32608321013477748</v>
      </c>
      <c r="H67" s="48">
        <f t="shared" si="22"/>
        <v>-0.71649965629632228</v>
      </c>
      <c r="I67" s="48">
        <f t="shared" si="22"/>
        <v>-0.7260898564626993</v>
      </c>
      <c r="J67" s="48">
        <f t="shared" si="22"/>
        <v>-0.62761682836487154</v>
      </c>
      <c r="K67" s="48">
        <f t="shared" si="22"/>
        <v>-1.1687099062044555</v>
      </c>
      <c r="L67" s="48">
        <f t="shared" si="22"/>
        <v>-1.1588728050384249</v>
      </c>
      <c r="M67" s="48">
        <f t="shared" si="22"/>
        <v>-1.0908501652033638</v>
      </c>
      <c r="N67" s="48">
        <f t="shared" si="22"/>
        <v>-0.5562484486331265</v>
      </c>
      <c r="O67" s="48">
        <f t="shared" si="22"/>
        <v>-0.51668598500240726</v>
      </c>
      <c r="P67" s="48">
        <f t="shared" ref="P67:T67" si="23">SUM(P68:P71)</f>
        <v>-0.50896445210786601</v>
      </c>
      <c r="Q67" s="48">
        <f t="shared" si="23"/>
        <v>-0.48473341337460341</v>
      </c>
      <c r="R67" s="48">
        <f t="shared" si="23"/>
        <v>-0.46372224233813153</v>
      </c>
      <c r="S67" s="48">
        <f t="shared" si="23"/>
        <v>-0.44531226509091559</v>
      </c>
      <c r="T67" s="48">
        <f t="shared" si="23"/>
        <v>-0.42010103542660937</v>
      </c>
      <c r="U67" s="48">
        <f t="shared" ref="U67:W67" si="24">SUM(U68:U71)</f>
        <v>-0.3983001028566604</v>
      </c>
      <c r="V67" s="48">
        <f t="shared" si="24"/>
        <v>-0.37787145390229726</v>
      </c>
      <c r="W67" s="48">
        <f t="shared" si="24"/>
        <v>-0.32273976711220465</v>
      </c>
    </row>
    <row r="68" spans="2:23" outlineLevel="1" x14ac:dyDescent="0.2">
      <c r="B68" s="78" t="s">
        <v>112</v>
      </c>
      <c r="C68" s="34"/>
      <c r="D68" s="34">
        <f t="shared" ref="D68:E68" si="25">C57*D36/100*(1/(1+D33/100))</f>
        <v>0.95047268591534773</v>
      </c>
      <c r="E68" s="34">
        <f t="shared" si="25"/>
        <v>1.2031122695315895</v>
      </c>
      <c r="F68" s="34">
        <f>E57*F36/100*(1/(1+F33/100))</f>
        <v>1.4808808255417976</v>
      </c>
      <c r="G68" s="34">
        <f>F57*G36/100*(1/(1+G33/100))</f>
        <v>1.5032478336494259</v>
      </c>
      <c r="H68" s="34">
        <f t="shared" ref="H68:W68" si="26">G57*H36/100*(1/(1+H33/100))</f>
        <v>1.4787897889267285</v>
      </c>
      <c r="I68" s="34">
        <f t="shared" si="26"/>
        <v>1.5859604267920924</v>
      </c>
      <c r="J68" s="34">
        <f>I57*J36/100*(1/(1+J33/100))</f>
        <v>1.6569015935976448</v>
      </c>
      <c r="K68" s="34">
        <f t="shared" si="26"/>
        <v>1.6799533655103076</v>
      </c>
      <c r="L68" s="34">
        <f>K57*L36/100*(1/(1+L33/100))</f>
        <v>1.6857374712041526</v>
      </c>
      <c r="M68" s="34">
        <f t="shared" si="26"/>
        <v>1.6769202981692344</v>
      </c>
      <c r="N68" s="34">
        <f t="shared" si="26"/>
        <v>1.6652956506111125</v>
      </c>
      <c r="O68" s="34">
        <f t="shared" si="26"/>
        <v>1.6509095791986585</v>
      </c>
      <c r="P68" s="34">
        <f t="shared" si="26"/>
        <v>1.6323558920283925</v>
      </c>
      <c r="Q68" s="34">
        <f t="shared" si="26"/>
        <v>1.6058026143845245</v>
      </c>
      <c r="R68" s="34">
        <f t="shared" si="26"/>
        <v>1.5757231992938281</v>
      </c>
      <c r="S68" s="34">
        <f t="shared" si="26"/>
        <v>1.5421917259575364</v>
      </c>
      <c r="T68" s="34">
        <f t="shared" si="26"/>
        <v>1.5056746848978233</v>
      </c>
      <c r="U68" s="34">
        <f t="shared" si="26"/>
        <v>1.4661169211827929</v>
      </c>
      <c r="V68" s="34">
        <f t="shared" si="26"/>
        <v>1.4236911722470684</v>
      </c>
      <c r="W68" s="34">
        <f t="shared" si="26"/>
        <v>1.3794345391744114</v>
      </c>
    </row>
    <row r="69" spans="2:23" outlineLevel="1" x14ac:dyDescent="0.2">
      <c r="B69" s="78" t="s">
        <v>113</v>
      </c>
      <c r="C69" s="34"/>
      <c r="D69" s="34">
        <f t="shared" ref="D69:W69" si="27">-C57*(D24/100)*(1/(1+D33/100))</f>
        <v>-3.9431956595763977</v>
      </c>
      <c r="E69" s="34">
        <f t="shared" si="27"/>
        <v>0.7085718986338565</v>
      </c>
      <c r="F69" s="34">
        <f t="shared" si="27"/>
        <v>0.47141677796707349</v>
      </c>
      <c r="G69" s="34">
        <f t="shared" si="27"/>
        <v>-5.0960440759242234E-2</v>
      </c>
      <c r="H69" s="34">
        <f t="shared" si="27"/>
        <v>-0.70500832896444232</v>
      </c>
      <c r="I69" s="34">
        <f t="shared" si="27"/>
        <v>-0.7785846497403538</v>
      </c>
      <c r="J69" s="34">
        <f t="shared" si="27"/>
        <v>-0.72862543370765498</v>
      </c>
      <c r="K69" s="34">
        <f t="shared" si="27"/>
        <v>-1.2889592241064753</v>
      </c>
      <c r="L69" s="34">
        <f t="shared" si="27"/>
        <v>-1.3007541620416063</v>
      </c>
      <c r="M69" s="34">
        <f t="shared" si="27"/>
        <v>-1.2489273313471523</v>
      </c>
      <c r="N69" s="34">
        <f t="shared" si="27"/>
        <v>-0.73607486558388668</v>
      </c>
      <c r="O69" s="34">
        <f t="shared" si="27"/>
        <v>-0.70520936685283186</v>
      </c>
      <c r="P69" s="34">
        <f t="shared" si="27"/>
        <v>-0.70296153978376941</v>
      </c>
      <c r="Q69" s="34">
        <f t="shared" si="27"/>
        <v>-0.72080817299926092</v>
      </c>
      <c r="R69" s="34">
        <f t="shared" si="27"/>
        <v>-0.73568052593713884</v>
      </c>
      <c r="S69" s="34">
        <f t="shared" si="27"/>
        <v>-0.74750801538645062</v>
      </c>
      <c r="T69" s="34">
        <f t="shared" si="27"/>
        <v>-0.74765554188322125</v>
      </c>
      <c r="U69" s="34">
        <f t="shared" si="27"/>
        <v>-0.74648622033619483</v>
      </c>
      <c r="V69" s="34">
        <f t="shared" si="27"/>
        <v>-0.74239032357660106</v>
      </c>
      <c r="W69" s="34">
        <f t="shared" si="27"/>
        <v>-0.70064702273844703</v>
      </c>
    </row>
    <row r="70" spans="2:23" outlineLevel="1" x14ac:dyDescent="0.2">
      <c r="B70" s="78" t="s">
        <v>114</v>
      </c>
      <c r="C70" s="34"/>
      <c r="D70" s="34">
        <f t="shared" ref="D70:W70" si="28">-C57*D42/100*(1/(1+D42/100))</f>
        <v>-3.7398586487935788</v>
      </c>
      <c r="E70" s="34">
        <f t="shared" si="28"/>
        <v>-4.8853770931852853</v>
      </c>
      <c r="F70" s="34">
        <f t="shared" si="28"/>
        <v>-3.1899117432035724</v>
      </c>
      <c r="G70" s="34">
        <f t="shared" si="28"/>
        <v>-1.7783777031660166</v>
      </c>
      <c r="H70" s="34">
        <f t="shared" si="28"/>
        <v>-1.4902811162586085</v>
      </c>
      <c r="I70" s="34">
        <f t="shared" si="28"/>
        <v>-1.5334656335144379</v>
      </c>
      <c r="J70" s="34">
        <f t="shared" si="28"/>
        <v>-1.5558929882548613</v>
      </c>
      <c r="K70" s="34">
        <f t="shared" si="28"/>
        <v>-1.5597040476082877</v>
      </c>
      <c r="L70" s="34">
        <f t="shared" si="28"/>
        <v>-1.5438561142009712</v>
      </c>
      <c r="M70" s="34">
        <f t="shared" si="28"/>
        <v>-1.5188431320254459</v>
      </c>
      <c r="N70" s="34">
        <f t="shared" si="28"/>
        <v>-1.4854692336603523</v>
      </c>
      <c r="O70" s="34">
        <f t="shared" si="28"/>
        <v>-1.4623861973482339</v>
      </c>
      <c r="P70" s="34">
        <f t="shared" si="28"/>
        <v>-1.4383588043524891</v>
      </c>
      <c r="Q70" s="34">
        <f t="shared" si="28"/>
        <v>-1.369727854759867</v>
      </c>
      <c r="R70" s="34">
        <f t="shared" si="28"/>
        <v>-1.3037649156948208</v>
      </c>
      <c r="S70" s="34">
        <f t="shared" si="28"/>
        <v>-1.2399959756620014</v>
      </c>
      <c r="T70" s="34">
        <f t="shared" si="28"/>
        <v>-1.1781201784412114</v>
      </c>
      <c r="U70" s="34">
        <f t="shared" si="28"/>
        <v>-1.1179308037032585</v>
      </c>
      <c r="V70" s="34">
        <f t="shared" si="28"/>
        <v>-1.0591723025727646</v>
      </c>
      <c r="W70" s="34">
        <f t="shared" si="28"/>
        <v>-1.001527283548169</v>
      </c>
    </row>
    <row r="71" spans="2:23" outlineLevel="1" x14ac:dyDescent="0.2">
      <c r="B71" s="78" t="s">
        <v>115</v>
      </c>
      <c r="C71" s="49"/>
      <c r="D71" s="49">
        <f>'Baseline NFPC'!D70</f>
        <v>3.0062245462847415E-4</v>
      </c>
      <c r="E71" s="49">
        <f>'Baseline NFPC'!E70</f>
        <v>-8.5074980160637637E-5</v>
      </c>
      <c r="F71" s="49">
        <f>'Baseline NFPC'!F70</f>
        <v>-1.9860305298546876E-5</v>
      </c>
      <c r="G71" s="49">
        <f>'Baseline NFPC'!G70</f>
        <v>7.1001410555382449E-6</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3" t="s">
        <v>116</v>
      </c>
      <c r="C72" s="50"/>
      <c r="D72" s="50">
        <f>'Input data'!D16</f>
        <v>0.35710310000000001</v>
      </c>
      <c r="E72" s="50">
        <f>'Input data'!E16</f>
        <v>1.7333069999999999</v>
      </c>
      <c r="F72" s="50">
        <f>'Input data'!F16</f>
        <v>0.1000248</v>
      </c>
      <c r="G72" s="50">
        <f>'Input data'!G16</f>
        <v>0.1</v>
      </c>
      <c r="H72" s="50">
        <f>'Input data'!H16</f>
        <v>0.1000076</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8" t="s">
        <v>117</v>
      </c>
      <c r="C73" s="34"/>
      <c r="D73" s="34">
        <f t="shared" ref="D73:W73" si="29">D15</f>
        <v>0.33345029999999998</v>
      </c>
      <c r="E73" s="34">
        <f t="shared" si="29"/>
        <v>1.738494</v>
      </c>
      <c r="F73" s="34">
        <f t="shared" si="29"/>
        <v>0.1010605</v>
      </c>
      <c r="G73" s="34">
        <f t="shared" si="29"/>
        <v>9.9622799999999997E-2</v>
      </c>
      <c r="H73" s="34">
        <f t="shared" si="29"/>
        <v>0.1</v>
      </c>
      <c r="I73" s="34">
        <f t="shared" si="29"/>
        <v>0</v>
      </c>
      <c r="J73" s="34">
        <f t="shared" si="29"/>
        <v>0</v>
      </c>
      <c r="K73" s="34">
        <f t="shared" si="29"/>
        <v>0</v>
      </c>
      <c r="L73" s="34">
        <f t="shared" si="29"/>
        <v>0</v>
      </c>
      <c r="M73" s="34">
        <f t="shared" si="29"/>
        <v>0</v>
      </c>
      <c r="N73" s="34">
        <f t="shared" si="29"/>
        <v>0</v>
      </c>
      <c r="O73" s="34">
        <f t="shared" si="29"/>
        <v>0</v>
      </c>
      <c r="P73" s="34">
        <f t="shared" si="29"/>
        <v>0</v>
      </c>
      <c r="Q73" s="34">
        <f t="shared" si="29"/>
        <v>0</v>
      </c>
      <c r="R73" s="34">
        <f t="shared" si="29"/>
        <v>0</v>
      </c>
      <c r="S73" s="34">
        <f t="shared" si="29"/>
        <v>0</v>
      </c>
      <c r="T73" s="34">
        <f t="shared" si="29"/>
        <v>0</v>
      </c>
      <c r="U73" s="34">
        <f t="shared" si="29"/>
        <v>0</v>
      </c>
      <c r="V73" s="34">
        <f t="shared" si="29"/>
        <v>0</v>
      </c>
      <c r="W73" s="34">
        <f t="shared" si="29"/>
        <v>0</v>
      </c>
    </row>
    <row r="74" spans="2:23" outlineLevel="1" x14ac:dyDescent="0.2">
      <c r="B74" s="88" t="s">
        <v>118</v>
      </c>
      <c r="C74" s="49"/>
      <c r="D74" s="49">
        <f>+D72-D73</f>
        <v>2.3652800000000029E-2</v>
      </c>
      <c r="E74" s="49">
        <f t="shared" ref="E74:T74" si="30">+E72-E73</f>
        <v>-5.1870000000000527E-3</v>
      </c>
      <c r="F74" s="49">
        <f t="shared" si="30"/>
        <v>-1.0357000000000005E-3</v>
      </c>
      <c r="G74" s="49">
        <f t="shared" si="30"/>
        <v>3.7720000000000808E-4</v>
      </c>
      <c r="H74" s="49">
        <f t="shared" si="30"/>
        <v>7.5999999999964984E-6</v>
      </c>
      <c r="I74" s="49">
        <f t="shared" si="30"/>
        <v>0</v>
      </c>
      <c r="J74" s="49">
        <f t="shared" si="30"/>
        <v>0</v>
      </c>
      <c r="K74" s="49">
        <f t="shared" si="30"/>
        <v>0</v>
      </c>
      <c r="L74" s="49">
        <f t="shared" si="30"/>
        <v>0</v>
      </c>
      <c r="M74" s="49">
        <f t="shared" si="30"/>
        <v>0</v>
      </c>
      <c r="N74" s="49">
        <f t="shared" si="30"/>
        <v>0</v>
      </c>
      <c r="O74" s="49">
        <f t="shared" si="30"/>
        <v>0</v>
      </c>
      <c r="P74" s="49">
        <f t="shared" si="30"/>
        <v>0</v>
      </c>
      <c r="Q74" s="49">
        <f t="shared" si="30"/>
        <v>0</v>
      </c>
      <c r="R74" s="49">
        <f t="shared" si="30"/>
        <v>0</v>
      </c>
      <c r="S74" s="49">
        <f t="shared" si="30"/>
        <v>0</v>
      </c>
      <c r="T74" s="49">
        <f t="shared" si="30"/>
        <v>0</v>
      </c>
      <c r="U74" s="49">
        <f t="shared" ref="U74:W74" si="31">+U72-U73</f>
        <v>0</v>
      </c>
      <c r="V74" s="49">
        <f t="shared" si="31"/>
        <v>0</v>
      </c>
      <c r="W74" s="49">
        <f t="shared" si="31"/>
        <v>0</v>
      </c>
    </row>
    <row r="75" spans="2:23" ht="10.5" customHeight="1" outlineLevel="1" x14ac:dyDescent="0.2"/>
    <row r="76" spans="2:23" ht="10.5" customHeight="1" outlineLevel="1" x14ac:dyDescent="0.2">
      <c r="B76" s="90" t="s">
        <v>119</v>
      </c>
    </row>
    <row r="77" spans="2:23" x14ac:dyDescent="0.2">
      <c r="B77" s="76" t="s">
        <v>41</v>
      </c>
      <c r="C77" s="76"/>
      <c r="D77" s="77">
        <f>D59-D68</f>
        <v>-3.3066809015259522</v>
      </c>
      <c r="E77" s="77">
        <f t="shared" ref="E77:T77" si="32">E59-E68</f>
        <v>-2.6198642520789712</v>
      </c>
      <c r="F77" s="77">
        <f t="shared" si="32"/>
        <v>-3.6046387709519001</v>
      </c>
      <c r="G77" s="77">
        <f>G59-G68</f>
        <v>-3.0043645179910756</v>
      </c>
      <c r="H77" s="77">
        <f t="shared" si="32"/>
        <v>-1.9557163380106286</v>
      </c>
      <c r="I77" s="77">
        <f t="shared" si="32"/>
        <v>-1.1228680689361459</v>
      </c>
      <c r="J77" s="77">
        <f t="shared" si="32"/>
        <v>-0.24046993882586598</v>
      </c>
      <c r="K77" s="77">
        <f t="shared" si="32"/>
        <v>3.0716137670885324E-2</v>
      </c>
      <c r="L77" s="77">
        <f t="shared" si="32"/>
        <v>0.31041978038643636</v>
      </c>
      <c r="M77" s="77">
        <f t="shared" si="32"/>
        <v>0.60498470183076436</v>
      </c>
      <c r="N77" s="77">
        <f t="shared" si="32"/>
        <v>0.52003662002043338</v>
      </c>
      <c r="O77" s="77">
        <f t="shared" si="32"/>
        <v>0.47882996205018791</v>
      </c>
      <c r="P77" s="77">
        <f t="shared" si="32"/>
        <v>0.41047317810452055</v>
      </c>
      <c r="Q77" s="77">
        <f t="shared" si="32"/>
        <v>0.38088306377484282</v>
      </c>
      <c r="R77" s="77">
        <f t="shared" si="32"/>
        <v>0.37092918824249566</v>
      </c>
      <c r="S77" s="77">
        <f t="shared" si="32"/>
        <v>0.37396737230411481</v>
      </c>
      <c r="T77" s="77">
        <f t="shared" si="32"/>
        <v>0.39504506431583963</v>
      </c>
      <c r="U77" s="77">
        <f t="shared" ref="U77:W77" si="33">U59-U68</f>
        <v>0.42648056565734538</v>
      </c>
      <c r="V77" s="77">
        <f t="shared" si="33"/>
        <v>0.47330640063796969</v>
      </c>
      <c r="W77" s="77">
        <f t="shared" si="33"/>
        <v>0.51490312001671978</v>
      </c>
    </row>
    <row r="78" spans="2:23" x14ac:dyDescent="0.2">
      <c r="B78" s="26" t="s">
        <v>42</v>
      </c>
      <c r="D78" s="34">
        <f>D60-D68-D64-D65-D66</f>
        <v>-4.4444266859153476</v>
      </c>
      <c r="E78" s="34">
        <f t="shared" ref="E78:W78" si="34">E60-E68-E64-E65-E66</f>
        <v>-2.6024072695315894</v>
      </c>
      <c r="F78" s="34">
        <f t="shared" si="34"/>
        <v>-2.8160108255417975</v>
      </c>
      <c r="G78" s="34">
        <f t="shared" si="34"/>
        <v>-1.8583778336494259</v>
      </c>
      <c r="H78" s="34">
        <f t="shared" si="34"/>
        <v>-0.85391978892672848</v>
      </c>
      <c r="I78" s="34">
        <f t="shared" si="34"/>
        <v>1.8909573207907648E-2</v>
      </c>
      <c r="J78" s="34">
        <f t="shared" si="34"/>
        <v>0.92796840640235523</v>
      </c>
      <c r="K78" s="34">
        <f t="shared" si="34"/>
        <v>0.80967503448969114</v>
      </c>
      <c r="L78" s="34">
        <f t="shared" si="34"/>
        <v>0.69989922879584576</v>
      </c>
      <c r="M78" s="34">
        <f t="shared" si="34"/>
        <v>0.60498470183076436</v>
      </c>
      <c r="N78" s="34">
        <f t="shared" si="34"/>
        <v>0.52003774938888914</v>
      </c>
      <c r="O78" s="34">
        <f t="shared" si="34"/>
        <v>0.47883222080134358</v>
      </c>
      <c r="P78" s="34">
        <f t="shared" si="34"/>
        <v>0.41047430797160567</v>
      </c>
      <c r="Q78" s="34">
        <f t="shared" si="34"/>
        <v>0.3808858856154772</v>
      </c>
      <c r="R78" s="34">
        <f t="shared" si="34"/>
        <v>0.37093370070617127</v>
      </c>
      <c r="S78" s="34">
        <f t="shared" si="34"/>
        <v>0.37397357404246534</v>
      </c>
      <c r="T78" s="34">
        <f t="shared" si="34"/>
        <v>0.39504901510217594</v>
      </c>
      <c r="U78" s="34">
        <f t="shared" si="34"/>
        <v>0.42648507881721087</v>
      </c>
      <c r="V78" s="34">
        <f t="shared" si="34"/>
        <v>0.47330922775293138</v>
      </c>
      <c r="W78" s="34">
        <f t="shared" si="34"/>
        <v>0.51490426082558882</v>
      </c>
    </row>
    <row r="79" spans="2:23" x14ac:dyDescent="0.2">
      <c r="B79" s="35" t="s">
        <v>120</v>
      </c>
      <c r="C79" s="35"/>
      <c r="D79" s="284">
        <f>'Input data'!D45</f>
        <v>13.450314009208972</v>
      </c>
      <c r="E79" s="284">
        <f>'Input data'!E45</f>
        <v>7.2602828363552012</v>
      </c>
      <c r="F79" s="284">
        <f>'Input data'!F45</f>
        <v>6.7125514564843431</v>
      </c>
      <c r="G79" s="49">
        <f>'Input data'!G33+G42-(G$12-F$12)/'Input data'!$C$64*100</f>
        <v>1.1375734655168435</v>
      </c>
      <c r="H79" s="49">
        <f>'Input data'!H33+H42-(H$12-G$12)/'Input data'!$C$64*100</f>
        <v>0.84178076551684322</v>
      </c>
      <c r="I79" s="49">
        <f>'Input data'!I33+I42-(I$12-H$12)/'Input data'!$C$64*100</f>
        <v>1.1492923905168433</v>
      </c>
      <c r="J79" s="49">
        <f>'Input data'!J33+J42-(J$12-I$12)/'Input data'!$C$64*100</f>
        <v>1.134393115516843</v>
      </c>
      <c r="K79" s="49">
        <f>'Input data'!K33+K42-(K$12-J$12)/'Input data'!$C$64*100</f>
        <v>3.0800088749999999</v>
      </c>
      <c r="L79" s="49">
        <f>'Input data'!L33+L42-(L$12-K$12)/'Input data'!$C$64*100</f>
        <v>3.2288854999999996</v>
      </c>
      <c r="M79" s="49">
        <f>'Input data'!M33+M42-(M$12-L$12)/'Input data'!$C$64*100</f>
        <v>3.2983541250000004</v>
      </c>
      <c r="N79" s="49">
        <f>'Input data'!N33+N42-(N$12-M$12)/'Input data'!$C$64*100</f>
        <v>3.3506487500000004</v>
      </c>
      <c r="O79" s="49">
        <f>'Input data'!O33+O42-(O$12-N$12)/'Input data'!$C$64*100</f>
        <v>3.4082783750000001</v>
      </c>
      <c r="P79" s="49">
        <f>'Input data'!P33+P42-(P$12-O$12)/'Input data'!$C$64*100</f>
        <v>3.5118450000000001</v>
      </c>
      <c r="Q79" s="49">
        <f>'Input data'!Q33+Q42-(Q$12-P$12)/'Input data'!$C$64*100</f>
        <v>3.5752160000000002</v>
      </c>
      <c r="R79" s="49">
        <f>'Input data'!R33+R42-(R$12-Q$12)/'Input data'!$C$64*100</f>
        <v>3.6385870000000002</v>
      </c>
      <c r="S79" s="49">
        <f>'Input data'!S33+S42-(S$12-R$12)/'Input data'!$C$64*100</f>
        <v>3.7019589999999996</v>
      </c>
      <c r="T79" s="49">
        <f>'Input data'!T33+T42-(T$12-S$12)/'Input data'!$C$64*100</f>
        <v>3.7481670000000005</v>
      </c>
      <c r="U79" s="49">
        <f>'Input data'!U33+U42-(U$12-T$12)/'Input data'!$C$64*100</f>
        <v>3.7964350000000002</v>
      </c>
      <c r="V79" s="49">
        <f>'Input data'!V33+V42-(V$12-U$12)/'Input data'!$C$64*100</f>
        <v>3.843709</v>
      </c>
      <c r="W79" s="49">
        <f>'Input data'!W33+W42-(W$12-V$12)/'Input data'!$C$64*100</f>
        <v>3.810476</v>
      </c>
    </row>
    <row r="80" spans="2:23" x14ac:dyDescent="0.2">
      <c r="D80" s="34"/>
      <c r="E80" s="34"/>
      <c r="F80" s="393"/>
      <c r="G80" s="393"/>
      <c r="H80" s="393"/>
      <c r="I80" s="393"/>
      <c r="J80" s="393"/>
      <c r="K80" s="393"/>
      <c r="L80" s="393"/>
      <c r="M80" s="393"/>
      <c r="N80" s="34"/>
      <c r="O80" s="34"/>
      <c r="P80" s="34"/>
      <c r="Q80" s="34"/>
      <c r="R80" s="34"/>
      <c r="S80" s="34"/>
      <c r="T80" s="34"/>
      <c r="U80" s="34"/>
      <c r="V80" s="34"/>
      <c r="W80" s="34"/>
    </row>
    <row r="81" spans="2:23" x14ac:dyDescent="0.2">
      <c r="B81" s="112" t="s">
        <v>140</v>
      </c>
      <c r="C81" s="51"/>
      <c r="D81" s="214">
        <f ca="1">AVERAGE(OFFSET($G$79,0,0,1,'Criteria results'!F5))</f>
        <v>1.0657599342668433</v>
      </c>
      <c r="E81" s="34"/>
      <c r="F81" s="34"/>
      <c r="G81" s="357"/>
      <c r="H81" s="357"/>
      <c r="I81" s="357"/>
      <c r="J81" s="357"/>
      <c r="K81" s="357"/>
      <c r="L81" s="357"/>
      <c r="M81" s="357"/>
      <c r="N81" s="357"/>
      <c r="O81" s="357"/>
      <c r="P81" s="357"/>
      <c r="Q81" s="357"/>
      <c r="R81" s="357"/>
      <c r="S81" s="357"/>
      <c r="T81" s="357"/>
      <c r="U81" s="34"/>
      <c r="V81" s="34"/>
      <c r="W81" s="34"/>
    </row>
    <row r="82" spans="2:23" x14ac:dyDescent="0.2">
      <c r="B82" s="76"/>
      <c r="C82" s="76"/>
      <c r="D82" s="77"/>
      <c r="E82" s="34"/>
      <c r="F82" s="34"/>
      <c r="G82" s="34"/>
      <c r="H82" s="34"/>
      <c r="I82" s="34"/>
      <c r="J82" s="34"/>
      <c r="K82" s="34"/>
      <c r="L82" s="34"/>
      <c r="M82" s="34"/>
      <c r="N82" s="34"/>
      <c r="O82" s="34"/>
      <c r="P82" s="34"/>
      <c r="Q82" s="34"/>
      <c r="R82" s="34"/>
      <c r="S82" s="34"/>
      <c r="T82" s="34"/>
      <c r="U82" s="34"/>
      <c r="V82" s="34"/>
      <c r="W82" s="34"/>
    </row>
    <row r="83" spans="2:23" x14ac:dyDescent="0.2">
      <c r="B83" s="51" t="s">
        <v>182</v>
      </c>
      <c r="C83" s="51"/>
      <c r="D83" s="51"/>
      <c r="E83" s="51"/>
      <c r="F83" s="51"/>
      <c r="G83" s="257"/>
      <c r="H83" s="257"/>
      <c r="I83" s="257"/>
      <c r="J83" s="257"/>
      <c r="K83" s="257">
        <f t="shared" ref="K83:W83" si="35">IF(K57&lt;J57,0,1)</f>
        <v>0</v>
      </c>
      <c r="L83" s="257">
        <f t="shared" si="35"/>
        <v>0</v>
      </c>
      <c r="M83" s="257">
        <f t="shared" si="35"/>
        <v>0</v>
      </c>
      <c r="N83" s="257">
        <f t="shared" si="35"/>
        <v>0</v>
      </c>
      <c r="O83" s="257">
        <f t="shared" si="35"/>
        <v>0</v>
      </c>
      <c r="P83" s="257">
        <f t="shared" si="35"/>
        <v>0</v>
      </c>
      <c r="Q83" s="257">
        <f t="shared" si="35"/>
        <v>0</v>
      </c>
      <c r="R83" s="257">
        <f t="shared" si="35"/>
        <v>0</v>
      </c>
      <c r="S83" s="257">
        <f t="shared" si="35"/>
        <v>0</v>
      </c>
      <c r="T83" s="257">
        <f t="shared" si="35"/>
        <v>0</v>
      </c>
      <c r="U83" s="257">
        <f t="shared" si="35"/>
        <v>0</v>
      </c>
      <c r="V83" s="257">
        <f t="shared" si="35"/>
        <v>0</v>
      </c>
      <c r="W83" s="257">
        <f t="shared" si="35"/>
        <v>0</v>
      </c>
    </row>
    <row r="84" spans="2:23" x14ac:dyDescent="0.2">
      <c r="B84" s="26" t="s">
        <v>250</v>
      </c>
      <c r="F84" s="29">
        <f t="shared" ref="F84:W84" si="36">IF(F57&gt;90,1,0)</f>
        <v>0</v>
      </c>
      <c r="G84" s="29">
        <f t="shared" si="36"/>
        <v>0</v>
      </c>
      <c r="H84" s="29">
        <f t="shared" si="36"/>
        <v>0</v>
      </c>
      <c r="I84" s="29">
        <f t="shared" si="36"/>
        <v>0</v>
      </c>
      <c r="J84" s="29">
        <f t="shared" si="36"/>
        <v>0</v>
      </c>
      <c r="K84" s="29">
        <f t="shared" si="36"/>
        <v>0</v>
      </c>
      <c r="L84" s="29">
        <f t="shared" si="36"/>
        <v>0</v>
      </c>
      <c r="M84" s="29">
        <f t="shared" si="36"/>
        <v>0</v>
      </c>
      <c r="N84" s="29">
        <f t="shared" si="36"/>
        <v>0</v>
      </c>
      <c r="O84" s="29">
        <f t="shared" si="36"/>
        <v>0</v>
      </c>
      <c r="P84" s="29">
        <f t="shared" si="36"/>
        <v>0</v>
      </c>
      <c r="Q84" s="29">
        <f t="shared" si="36"/>
        <v>0</v>
      </c>
      <c r="R84" s="29">
        <f t="shared" si="36"/>
        <v>0</v>
      </c>
      <c r="S84" s="29">
        <f t="shared" si="36"/>
        <v>0</v>
      </c>
      <c r="T84" s="29">
        <f t="shared" si="36"/>
        <v>0</v>
      </c>
      <c r="U84" s="29">
        <f t="shared" si="36"/>
        <v>0</v>
      </c>
      <c r="V84" s="29">
        <f t="shared" si="36"/>
        <v>0</v>
      </c>
      <c r="W84" s="29">
        <f t="shared" si="36"/>
        <v>0</v>
      </c>
    </row>
    <row r="85" spans="2:23" x14ac:dyDescent="0.2">
      <c r="B85" s="26" t="s">
        <v>251</v>
      </c>
      <c r="F85" s="29">
        <f t="shared" ref="F85:W85" si="37">IF(AND(F57&gt;60,F57&lt;=90),1,0)</f>
        <v>1</v>
      </c>
      <c r="G85" s="29">
        <f t="shared" si="37"/>
        <v>1</v>
      </c>
      <c r="H85" s="29">
        <f t="shared" si="37"/>
        <v>1</v>
      </c>
      <c r="I85" s="29">
        <f t="shared" si="37"/>
        <v>1</v>
      </c>
      <c r="J85" s="29">
        <f t="shared" si="37"/>
        <v>1</v>
      </c>
      <c r="K85" s="29">
        <f t="shared" si="37"/>
        <v>1</v>
      </c>
      <c r="L85" s="29">
        <f t="shared" si="37"/>
        <v>1</v>
      </c>
      <c r="M85" s="29">
        <f t="shared" si="37"/>
        <v>1</v>
      </c>
      <c r="N85" s="29">
        <f t="shared" si="37"/>
        <v>1</v>
      </c>
      <c r="O85" s="29">
        <f t="shared" si="37"/>
        <v>1</v>
      </c>
      <c r="P85" s="29">
        <f t="shared" si="37"/>
        <v>1</v>
      </c>
      <c r="Q85" s="29">
        <f t="shared" si="37"/>
        <v>0</v>
      </c>
      <c r="R85" s="29">
        <f t="shared" si="37"/>
        <v>0</v>
      </c>
      <c r="S85" s="29">
        <f t="shared" si="37"/>
        <v>0</v>
      </c>
      <c r="T85" s="29">
        <f t="shared" si="37"/>
        <v>0</v>
      </c>
      <c r="U85" s="29">
        <f t="shared" si="37"/>
        <v>0</v>
      </c>
      <c r="V85" s="29">
        <f t="shared" si="37"/>
        <v>0</v>
      </c>
      <c r="W85" s="29">
        <f t="shared" si="37"/>
        <v>0</v>
      </c>
    </row>
    <row r="86" spans="2:23" x14ac:dyDescent="0.2">
      <c r="B86" s="26" t="s">
        <v>252</v>
      </c>
      <c r="F86" s="29">
        <f t="shared" ref="F86:W86" si="38">IF(F57&gt;60,1,0)</f>
        <v>1</v>
      </c>
      <c r="G86" s="29">
        <f t="shared" si="38"/>
        <v>1</v>
      </c>
      <c r="H86" s="29">
        <f t="shared" si="38"/>
        <v>1</v>
      </c>
      <c r="I86" s="29">
        <f t="shared" si="38"/>
        <v>1</v>
      </c>
      <c r="J86" s="29">
        <f t="shared" si="38"/>
        <v>1</v>
      </c>
      <c r="K86" s="29">
        <f t="shared" si="38"/>
        <v>1</v>
      </c>
      <c r="L86" s="29">
        <f t="shared" si="38"/>
        <v>1</v>
      </c>
      <c r="M86" s="29">
        <f t="shared" si="38"/>
        <v>1</v>
      </c>
      <c r="N86" s="29">
        <f t="shared" si="38"/>
        <v>1</v>
      </c>
      <c r="O86" s="29">
        <f t="shared" si="38"/>
        <v>1</v>
      </c>
      <c r="P86" s="29">
        <f t="shared" si="38"/>
        <v>1</v>
      </c>
      <c r="Q86" s="29">
        <f t="shared" si="38"/>
        <v>0</v>
      </c>
      <c r="R86" s="29">
        <f t="shared" si="38"/>
        <v>0</v>
      </c>
      <c r="S86" s="29">
        <f t="shared" si="38"/>
        <v>0</v>
      </c>
      <c r="T86" s="29">
        <f t="shared" si="38"/>
        <v>0</v>
      </c>
      <c r="U86" s="29">
        <f t="shared" si="38"/>
        <v>0</v>
      </c>
      <c r="V86" s="29">
        <f t="shared" si="38"/>
        <v>0</v>
      </c>
      <c r="W86" s="29">
        <f t="shared" si="38"/>
        <v>0</v>
      </c>
    </row>
    <row r="87" spans="2:23" x14ac:dyDescent="0.2">
      <c r="B87" s="26" t="s">
        <v>253</v>
      </c>
      <c r="F87" s="365">
        <f>'Input data'!F17</f>
        <v>0</v>
      </c>
      <c r="G87" s="29">
        <f>IF(F87=0,0,IF(AND(E77&gt;-3.05,F77&gt;-3.05),0,1))</f>
        <v>0</v>
      </c>
      <c r="H87" s="29">
        <f t="shared" ref="H87:W87" si="39">IF(G87=0,0,IF(AND(F77&gt;-3.05,G77&gt;-3.05),0,1))</f>
        <v>0</v>
      </c>
      <c r="I87" s="29">
        <f t="shared" si="39"/>
        <v>0</v>
      </c>
      <c r="J87" s="29">
        <f t="shared" si="39"/>
        <v>0</v>
      </c>
      <c r="K87" s="29">
        <f t="shared" si="39"/>
        <v>0</v>
      </c>
      <c r="L87" s="29">
        <f t="shared" si="39"/>
        <v>0</v>
      </c>
      <c r="M87" s="29">
        <f t="shared" si="39"/>
        <v>0</v>
      </c>
      <c r="N87" s="29">
        <f t="shared" si="39"/>
        <v>0</v>
      </c>
      <c r="O87" s="29">
        <f t="shared" si="39"/>
        <v>0</v>
      </c>
      <c r="P87" s="29">
        <f t="shared" si="39"/>
        <v>0</v>
      </c>
      <c r="Q87" s="29">
        <f t="shared" si="39"/>
        <v>0</v>
      </c>
      <c r="R87" s="29">
        <f t="shared" si="39"/>
        <v>0</v>
      </c>
      <c r="S87" s="29">
        <f t="shared" si="39"/>
        <v>0</v>
      </c>
      <c r="T87" s="29">
        <f t="shared" si="39"/>
        <v>0</v>
      </c>
      <c r="U87" s="29">
        <f t="shared" si="39"/>
        <v>0</v>
      </c>
      <c r="V87" s="29">
        <f t="shared" si="39"/>
        <v>0</v>
      </c>
      <c r="W87" s="29">
        <f t="shared" si="39"/>
        <v>0</v>
      </c>
    </row>
    <row r="88" spans="2:23" x14ac:dyDescent="0.2">
      <c r="B88" s="26" t="s">
        <v>248</v>
      </c>
      <c r="F88" s="29">
        <f t="shared" ref="F88:W88" si="40">IF(F78&gt;=-1.55,1,0)</f>
        <v>0</v>
      </c>
      <c r="G88" s="29">
        <f t="shared" si="40"/>
        <v>0</v>
      </c>
      <c r="H88" s="29">
        <f t="shared" si="40"/>
        <v>1</v>
      </c>
      <c r="I88" s="29">
        <f t="shared" si="40"/>
        <v>1</v>
      </c>
      <c r="J88" s="29">
        <f t="shared" si="40"/>
        <v>1</v>
      </c>
      <c r="K88" s="29">
        <f t="shared" si="40"/>
        <v>1</v>
      </c>
      <c r="L88" s="29">
        <f t="shared" si="40"/>
        <v>1</v>
      </c>
      <c r="M88" s="29">
        <f t="shared" si="40"/>
        <v>1</v>
      </c>
      <c r="N88" s="29">
        <f t="shared" si="40"/>
        <v>1</v>
      </c>
      <c r="O88" s="29">
        <f t="shared" si="40"/>
        <v>1</v>
      </c>
      <c r="P88" s="29">
        <f t="shared" si="40"/>
        <v>1</v>
      </c>
      <c r="Q88" s="29">
        <f t="shared" si="40"/>
        <v>1</v>
      </c>
      <c r="R88" s="29">
        <f t="shared" si="40"/>
        <v>1</v>
      </c>
      <c r="S88" s="29">
        <f t="shared" si="40"/>
        <v>1</v>
      </c>
      <c r="T88" s="29">
        <f t="shared" si="40"/>
        <v>1</v>
      </c>
      <c r="U88" s="29">
        <f t="shared" si="40"/>
        <v>1</v>
      </c>
      <c r="V88" s="29">
        <f t="shared" si="40"/>
        <v>1</v>
      </c>
      <c r="W88" s="29">
        <f t="shared" si="40"/>
        <v>1</v>
      </c>
    </row>
    <row r="89" spans="2:23" x14ac:dyDescent="0.2">
      <c r="F89" s="29"/>
      <c r="G89" s="29"/>
      <c r="H89" s="29"/>
      <c r="I89" s="29"/>
      <c r="J89" s="29"/>
      <c r="K89" s="29"/>
      <c r="L89" s="29"/>
      <c r="M89" s="29"/>
      <c r="N89" s="29"/>
      <c r="O89" s="29"/>
      <c r="P89" s="29"/>
      <c r="Q89" s="29"/>
      <c r="R89" s="29"/>
      <c r="S89" s="29"/>
      <c r="T89" s="29"/>
      <c r="U89" s="29"/>
      <c r="V89" s="29"/>
      <c r="W89" s="29"/>
    </row>
    <row r="90" spans="2:23" x14ac:dyDescent="0.2">
      <c r="B90" s="26" t="s">
        <v>141</v>
      </c>
      <c r="F90" s="34">
        <f>E57*F36/100*(1/((1+'Input data'!F30/100)*(1+F42/100)))</f>
        <v>1.4808808255417976</v>
      </c>
      <c r="G90" s="34">
        <f>F57*G36/100*(1/((1+'Input data'!G30/100)*(1+G42/100)))</f>
        <v>1.4922867144685079</v>
      </c>
      <c r="H90" s="34">
        <f>G57*H36/100*(1/((1+'Input data'!H30/100)*(1+H42/100)))</f>
        <v>1.4717296375057425</v>
      </c>
      <c r="I90" s="34">
        <f>H57*I36/100*(1/((1+'Input data'!I30/100)*(1+I42/100)))</f>
        <v>1.5809244552743877</v>
      </c>
      <c r="J90" s="34">
        <f>I57*J36/100*(1/((1+'Input data'!J30/100)*(1+J42/100)))</f>
        <v>1.6520426796026166</v>
      </c>
      <c r="K90" s="34">
        <f>J57*K36/100*(1/((1+'Input data'!K30/100)*(1+K42/100)))</f>
        <v>1.6875052084657896</v>
      </c>
      <c r="L90" s="34">
        <f>K57*L36/100*(1/((1+'Input data'!L30/100)*(1+L42/100)))</f>
        <v>1.697394877587761</v>
      </c>
      <c r="M90" s="34">
        <f>L57*M36/100*(1/((1+'Input data'!M30/100)*(1+M42/100)))</f>
        <v>1.6884370714051509</v>
      </c>
      <c r="N90" s="34">
        <f>M57*N36/100*(1/((1+'Input data'!N30/100)*(1+N42/100)))</f>
        <v>1.6652956506111125</v>
      </c>
      <c r="O90" s="34">
        <f>N57*O36/100*(1/((1+'Input data'!O30/100)*(1+O42/100)))</f>
        <v>1.6509095791986585</v>
      </c>
      <c r="P90" s="34">
        <f>O57*P36/100*(1/((1+'Input data'!P30/100)*(1+P42/100)))</f>
        <v>1.6323558920283925</v>
      </c>
      <c r="Q90" s="34">
        <f>P57*Q36/100*(1/((1+'Input data'!Q30/100)*(1+Q42/100)))</f>
        <v>1.6058026143845245</v>
      </c>
      <c r="R90" s="34">
        <f>Q57*R36/100*(1/((1+'Input data'!R30/100)*(1+R42/100)))</f>
        <v>1.5757231992938281</v>
      </c>
      <c r="S90" s="34">
        <f>R57*S36/100*(1/((1+'Input data'!S30/100)*(1+S42/100)))</f>
        <v>1.5421917259575364</v>
      </c>
      <c r="T90" s="34">
        <f>S57*T36/100*(1/((1+'Input data'!T30/100)*(1+T42/100)))</f>
        <v>1.5056746848978233</v>
      </c>
      <c r="U90" s="34">
        <f>T57*U36/100*(1/((1+'Input data'!U30/100)*(1+U42/100)))</f>
        <v>1.4661169211827929</v>
      </c>
      <c r="V90" s="34">
        <f>U57*V36/100*(1/((1+'Input data'!V30/100)*(1+V42/100)))</f>
        <v>1.4236911722470684</v>
      </c>
      <c r="W90" s="34">
        <f>V57*W36/100*(1/((1+'Input data'!W30/100)*(1+W42/100)))</f>
        <v>1.3794345391744114</v>
      </c>
    </row>
    <row r="91" spans="2:23" x14ac:dyDescent="0.2">
      <c r="B91" s="32" t="s">
        <v>249</v>
      </c>
      <c r="F91" s="34"/>
      <c r="G91" s="34">
        <f>G90-F90</f>
        <v>1.140588892671035E-2</v>
      </c>
      <c r="H91" s="34">
        <f t="shared" ref="H91:W91" si="41">H90-G90</f>
        <v>-2.055707696276543E-2</v>
      </c>
      <c r="I91" s="34">
        <f t="shared" si="41"/>
        <v>0.10919481776864526</v>
      </c>
      <c r="J91" s="34">
        <f t="shared" si="41"/>
        <v>7.1118224328228896E-2</v>
      </c>
      <c r="K91" s="34">
        <f t="shared" si="41"/>
        <v>3.5462528863172915E-2</v>
      </c>
      <c r="L91" s="34">
        <f t="shared" si="41"/>
        <v>9.8896691219714228E-3</v>
      </c>
      <c r="M91" s="34">
        <f t="shared" si="41"/>
        <v>-8.9578061826101063E-3</v>
      </c>
      <c r="N91" s="34">
        <f t="shared" si="41"/>
        <v>-2.3141420794038359E-2</v>
      </c>
      <c r="O91" s="34">
        <f t="shared" si="41"/>
        <v>-1.438607141245396E-2</v>
      </c>
      <c r="P91" s="34">
        <f t="shared" si="41"/>
        <v>-1.8553687170266064E-2</v>
      </c>
      <c r="Q91" s="34">
        <f t="shared" si="41"/>
        <v>-2.6553277643867945E-2</v>
      </c>
      <c r="R91" s="34">
        <f t="shared" si="41"/>
        <v>-3.0079415090696449E-2</v>
      </c>
      <c r="S91" s="34">
        <f t="shared" si="41"/>
        <v>-3.3531473336291695E-2</v>
      </c>
      <c r="T91" s="34">
        <f t="shared" si="41"/>
        <v>-3.6517041059713096E-2</v>
      </c>
      <c r="U91" s="34">
        <f t="shared" si="41"/>
        <v>-3.9557763715030392E-2</v>
      </c>
      <c r="V91" s="34">
        <f t="shared" si="41"/>
        <v>-4.2425748935724483E-2</v>
      </c>
      <c r="W91" s="34">
        <f t="shared" si="41"/>
        <v>-4.4256633072657037E-2</v>
      </c>
    </row>
    <row r="92" spans="2:23" x14ac:dyDescent="0.2">
      <c r="D92" s="53"/>
    </row>
    <row r="93" spans="2:23" s="92" customFormat="1" ht="13.2" outlineLevel="1" x14ac:dyDescent="0.25">
      <c r="B93" s="93" t="s">
        <v>121</v>
      </c>
      <c r="C93" s="94"/>
      <c r="E93" s="95"/>
      <c r="F93" s="94"/>
    </row>
    <row r="94" spans="2:23" x14ac:dyDescent="0.2">
      <c r="C94" s="34"/>
      <c r="D94" s="34"/>
      <c r="E94" s="34"/>
      <c r="F94" s="34"/>
      <c r="G94" s="34"/>
      <c r="H94" s="34"/>
      <c r="I94" s="34"/>
      <c r="J94" s="34"/>
      <c r="K94" s="34"/>
      <c r="L94" s="34"/>
      <c r="M94" s="34"/>
      <c r="N94" s="34"/>
      <c r="O94" s="34"/>
      <c r="P94" s="34"/>
      <c r="Q94" s="34"/>
      <c r="R94" s="34"/>
      <c r="S94" s="34"/>
      <c r="T94" s="34"/>
      <c r="U94" s="34"/>
      <c r="V94" s="34"/>
      <c r="W94" s="34"/>
    </row>
    <row r="95" spans="2:23" x14ac:dyDescent="0.2">
      <c r="B95" s="26" t="s">
        <v>122</v>
      </c>
      <c r="D95" s="29"/>
      <c r="E95" s="29"/>
      <c r="F95" s="29">
        <f t="shared" ref="F95:W95" si="42">IF((F100-E100*F43/((1+F24/100)*(1+F42/100)))&gt;0,1,0)</f>
        <v>1</v>
      </c>
      <c r="G95" s="29">
        <f t="shared" si="42"/>
        <v>1</v>
      </c>
      <c r="H95" s="29">
        <f t="shared" si="42"/>
        <v>1</v>
      </c>
      <c r="I95" s="29">
        <f t="shared" si="42"/>
        <v>1</v>
      </c>
      <c r="J95" s="29">
        <f t="shared" si="42"/>
        <v>1</v>
      </c>
      <c r="K95" s="29">
        <f t="shared" si="42"/>
        <v>0</v>
      </c>
      <c r="L95" s="29">
        <f t="shared" si="42"/>
        <v>0</v>
      </c>
      <c r="M95" s="29">
        <f t="shared" si="42"/>
        <v>0</v>
      </c>
      <c r="N95" s="29">
        <f t="shared" si="42"/>
        <v>0</v>
      </c>
      <c r="O95" s="29">
        <f t="shared" si="42"/>
        <v>0</v>
      </c>
      <c r="P95" s="29">
        <f t="shared" si="42"/>
        <v>0</v>
      </c>
      <c r="Q95" s="29">
        <f t="shared" si="42"/>
        <v>0</v>
      </c>
      <c r="R95" s="29">
        <f t="shared" si="42"/>
        <v>0</v>
      </c>
      <c r="S95" s="29">
        <f t="shared" si="42"/>
        <v>0</v>
      </c>
      <c r="T95" s="29">
        <f t="shared" si="42"/>
        <v>0</v>
      </c>
      <c r="U95" s="29">
        <f t="shared" si="42"/>
        <v>0</v>
      </c>
      <c r="V95" s="29">
        <f t="shared" si="42"/>
        <v>0</v>
      </c>
      <c r="W95" s="29">
        <f t="shared" si="42"/>
        <v>0</v>
      </c>
    </row>
    <row r="96" spans="2:23" x14ac:dyDescent="0.2">
      <c r="B96" s="26" t="s">
        <v>123</v>
      </c>
      <c r="D96" s="29"/>
      <c r="E96" s="29"/>
      <c r="F96" s="29">
        <f t="shared" ref="F96:W96" si="43">IF(AND(F95=0,ABS(F100-E100*F43/((1+F24/100)*(1+F42/100)))&lt;((E106*E100*F43/((1+F24/100)*(1+F42/100))+(F39*E100*E107*F43/((1+F24/100)*(1+F42/100)))))),1,0)</f>
        <v>0</v>
      </c>
      <c r="G96" s="29">
        <f t="shared" si="43"/>
        <v>0</v>
      </c>
      <c r="H96" s="29">
        <f t="shared" si="43"/>
        <v>0</v>
      </c>
      <c r="I96" s="29">
        <f t="shared" si="43"/>
        <v>0</v>
      </c>
      <c r="J96" s="29">
        <f t="shared" si="43"/>
        <v>0</v>
      </c>
      <c r="K96" s="29">
        <f t="shared" si="43"/>
        <v>1</v>
      </c>
      <c r="L96" s="29">
        <f t="shared" si="43"/>
        <v>1</v>
      </c>
      <c r="M96" s="29">
        <f t="shared" si="43"/>
        <v>1</v>
      </c>
      <c r="N96" s="29">
        <f t="shared" si="43"/>
        <v>1</v>
      </c>
      <c r="O96" s="29">
        <f t="shared" si="43"/>
        <v>1</v>
      </c>
      <c r="P96" s="29">
        <f t="shared" si="43"/>
        <v>1</v>
      </c>
      <c r="Q96" s="29">
        <f t="shared" si="43"/>
        <v>1</v>
      </c>
      <c r="R96" s="29">
        <f t="shared" si="43"/>
        <v>1</v>
      </c>
      <c r="S96" s="29">
        <f t="shared" si="43"/>
        <v>1</v>
      </c>
      <c r="T96" s="29">
        <f t="shared" si="43"/>
        <v>1</v>
      </c>
      <c r="U96" s="29">
        <f t="shared" si="43"/>
        <v>1</v>
      </c>
      <c r="V96" s="29">
        <f t="shared" si="43"/>
        <v>1</v>
      </c>
      <c r="W96" s="29">
        <f t="shared" si="43"/>
        <v>1</v>
      </c>
    </row>
    <row r="98" spans="2:25" x14ac:dyDescent="0.2">
      <c r="H98" s="38"/>
      <c r="I98" s="38"/>
      <c r="J98" s="38"/>
      <c r="K98" s="38"/>
      <c r="L98" s="38"/>
      <c r="M98" s="38"/>
      <c r="N98" s="38"/>
      <c r="O98" s="38"/>
      <c r="P98" s="38"/>
      <c r="Q98" s="38"/>
      <c r="R98" s="38"/>
      <c r="S98" s="38"/>
      <c r="T98" s="38"/>
    </row>
    <row r="99" spans="2:25" x14ac:dyDescent="0.2">
      <c r="B99" s="51"/>
      <c r="C99" s="85">
        <v>2021</v>
      </c>
      <c r="D99" s="85">
        <v>2022</v>
      </c>
      <c r="E99" s="85">
        <v>2023</v>
      </c>
      <c r="F99" s="85">
        <v>2024</v>
      </c>
      <c r="G99" s="85">
        <v>2025</v>
      </c>
      <c r="H99" s="85">
        <v>2026</v>
      </c>
      <c r="I99" s="85">
        <v>2027</v>
      </c>
      <c r="J99" s="85">
        <v>2028</v>
      </c>
      <c r="K99" s="85">
        <v>2029</v>
      </c>
      <c r="L99" s="85">
        <v>2030</v>
      </c>
      <c r="M99" s="85">
        <v>2031</v>
      </c>
      <c r="N99" s="85">
        <v>2032</v>
      </c>
      <c r="O99" s="85">
        <v>2033</v>
      </c>
      <c r="P99" s="85">
        <v>2034</v>
      </c>
      <c r="Q99" s="85">
        <v>2035</v>
      </c>
      <c r="R99" s="85">
        <v>2036</v>
      </c>
      <c r="S99" s="85">
        <v>2037</v>
      </c>
      <c r="T99" s="85">
        <v>2038</v>
      </c>
      <c r="U99" s="85">
        <v>2039</v>
      </c>
      <c r="V99" s="85">
        <v>2040</v>
      </c>
      <c r="W99" s="85">
        <v>2041</v>
      </c>
    </row>
    <row r="100" spans="2:25" x14ac:dyDescent="0.2">
      <c r="B100" s="105" t="s">
        <v>101</v>
      </c>
      <c r="C100" s="109">
        <f>C57</f>
        <v>82.394589999999994</v>
      </c>
      <c r="D100" s="109">
        <f>D57</f>
        <v>78.375620315610604</v>
      </c>
      <c r="E100" s="109">
        <f>E57</f>
        <v>78.551901298157986</v>
      </c>
      <c r="F100" s="109">
        <f>F57</f>
        <v>79.538050043568091</v>
      </c>
      <c r="G100" s="109">
        <f>G57</f>
        <v>80.81308351777497</v>
      </c>
      <c r="H100" s="109">
        <f>G100*(1+H114/100)*H43-H60-H61+H62+H63+H64+H65+H66+H73</f>
        <v>80.673510410562542</v>
      </c>
      <c r="I100" s="109">
        <f t="shared" ref="I100:W100" si="44">H100*(1+I114/100)*I43-I60-I61+I62+I63+I64+I65+I66+I73</f>
        <v>79.48432826464655</v>
      </c>
      <c r="J100" s="109">
        <f t="shared" si="44"/>
        <v>77.440279840980196</v>
      </c>
      <c r="K100" s="109">
        <f t="shared" si="44"/>
        <v>74.56090054436207</v>
      </c>
      <c r="L100" s="109">
        <f t="shared" si="44"/>
        <v>71.405870602116863</v>
      </c>
      <c r="M100" s="109">
        <f t="shared" si="44"/>
        <v>68.033115547593226</v>
      </c>
      <c r="N100" s="109">
        <f t="shared" si="44"/>
        <v>65.291534886659576</v>
      </c>
      <c r="O100" s="109">
        <f t="shared" si="44"/>
        <v>62.645109416404111</v>
      </c>
      <c r="P100" s="109">
        <f t="shared" si="44"/>
        <v>60.093315951197539</v>
      </c>
      <c r="Q100" s="109">
        <f t="shared" si="44"/>
        <v>57.621896915828984</v>
      </c>
      <c r="R100" s="109">
        <f t="shared" si="44"/>
        <v>55.211522341537957</v>
      </c>
      <c r="S100" s="109">
        <f t="shared" si="44"/>
        <v>52.850051033444075</v>
      </c>
      <c r="T100" s="109">
        <f t="shared" si="44"/>
        <v>50.529230302824104</v>
      </c>
      <c r="U100" s="109">
        <f t="shared" si="44"/>
        <v>48.238332766270851</v>
      </c>
      <c r="V100" s="109">
        <f t="shared" si="44"/>
        <v>45.963463791879441</v>
      </c>
      <c r="W100" s="109">
        <f t="shared" si="44"/>
        <v>43.746386412174409</v>
      </c>
    </row>
    <row r="101" spans="2:25" x14ac:dyDescent="0.2">
      <c r="B101" s="26" t="s">
        <v>124</v>
      </c>
      <c r="C101" s="34"/>
      <c r="D101" s="34"/>
      <c r="E101" s="253">
        <f>'Input data'!$C$66*E$100</f>
        <v>60.525655589893695</v>
      </c>
      <c r="F101" s="34">
        <f t="shared" ref="F101:W101" si="45">IF(F100=0,0,IF(F95=1,E100*F43/((1+F24/100)*(1+F42/100))-F102-F103,IF(AND(F95=0,F96=1),(1-E106-F39*E107)*E100*F43/((1+F24/100)*(1+F42/100)),F100)))</f>
        <v>62.802647329605676</v>
      </c>
      <c r="G101" s="34">
        <f t="shared" si="45"/>
        <v>64.392644512026649</v>
      </c>
      <c r="H101" s="34">
        <f t="shared" si="45"/>
        <v>65.180577692643965</v>
      </c>
      <c r="I101" s="34">
        <f t="shared" si="45"/>
        <v>65.001306706845838</v>
      </c>
      <c r="J101" s="34">
        <f t="shared" si="45"/>
        <v>64.069197195735555</v>
      </c>
      <c r="K101" s="34">
        <f t="shared" si="45"/>
        <v>61.933911874122629</v>
      </c>
      <c r="L101" s="34">
        <f t="shared" si="45"/>
        <v>59.583577732048859</v>
      </c>
      <c r="M101" s="34">
        <f t="shared" si="45"/>
        <v>57.146010143346452</v>
      </c>
      <c r="N101" s="34">
        <f t="shared" si="45"/>
        <v>54.999554765384367</v>
      </c>
      <c r="O101" s="34">
        <f t="shared" si="45"/>
        <v>52.930402308396019</v>
      </c>
      <c r="P101" s="34">
        <f t="shared" si="45"/>
        <v>50.894316730030773</v>
      </c>
      <c r="Q101" s="34">
        <f t="shared" si="45"/>
        <v>48.905707228885397</v>
      </c>
      <c r="R101" s="34">
        <f t="shared" si="45"/>
        <v>46.969473721032301</v>
      </c>
      <c r="S101" s="34">
        <f t="shared" si="45"/>
        <v>45.075996975322106</v>
      </c>
      <c r="T101" s="34">
        <f t="shared" si="45"/>
        <v>43.226308081887829</v>
      </c>
      <c r="U101" s="34">
        <f t="shared" si="45"/>
        <v>41.409303568523015</v>
      </c>
      <c r="V101" s="34">
        <f t="shared" si="45"/>
        <v>39.619252907328807</v>
      </c>
      <c r="W101" s="34">
        <f t="shared" si="45"/>
        <v>37.876734143349182</v>
      </c>
    </row>
    <row r="102" spans="2:25" x14ac:dyDescent="0.2">
      <c r="B102" s="104" t="s">
        <v>125</v>
      </c>
      <c r="C102" s="34"/>
      <c r="D102" s="34"/>
      <c r="E102" s="253">
        <f>'Input data'!$C$67*E$100</f>
        <v>8.3684210076244501</v>
      </c>
      <c r="F102" s="34">
        <f t="shared" ref="F102:W102" si="46">IF(F100=0,0,IF(F95=1,F39*E100*E107*F43/((1+F24/100)*(1+F42/100)),IF(AND(F95=0,F96=1),(F39*E100*E107*F43/((1+F24/100)*(1+F42/100)))*(1-ABS(F100-E100*F43/((1+F24/100)*(1+F42/100)))/((F39*E100*E107*F43/((1+F24/100)*(1+F42/100)))+(E106*E100*F43/((1+F24/100)*(1+F42/100))))),0)))</f>
        <v>7.6131291238171945</v>
      </c>
      <c r="G102" s="34">
        <f t="shared" si="46"/>
        <v>7.772030499095739</v>
      </c>
      <c r="H102" s="34">
        <f t="shared" si="46"/>
        <v>7.8329070914089343</v>
      </c>
      <c r="I102" s="34">
        <f t="shared" si="46"/>
        <v>7.7772648000482922</v>
      </c>
      <c r="J102" s="34">
        <f t="shared" si="46"/>
        <v>7.6321614996297935</v>
      </c>
      <c r="K102" s="34">
        <f t="shared" si="46"/>
        <v>7.327544478051494</v>
      </c>
      <c r="L102" s="34">
        <f t="shared" si="46"/>
        <v>6.8554457548140997</v>
      </c>
      <c r="M102" s="34">
        <f t="shared" si="46"/>
        <v>6.3641164408632678</v>
      </c>
      <c r="N102" s="34">
        <f t="shared" si="46"/>
        <v>6.1271273553732888</v>
      </c>
      <c r="O102" s="34">
        <f t="shared" si="46"/>
        <v>5.8772664968885975</v>
      </c>
      <c r="P102" s="34">
        <f t="shared" si="46"/>
        <v>5.6510442415049518</v>
      </c>
      <c r="Q102" s="34">
        <f t="shared" si="46"/>
        <v>5.4350423067671629</v>
      </c>
      <c r="R102" s="34">
        <f t="shared" si="46"/>
        <v>5.2133384165335155</v>
      </c>
      <c r="S102" s="34">
        <f t="shared" si="46"/>
        <v>4.9883752245056909</v>
      </c>
      <c r="T102" s="34">
        <f t="shared" si="46"/>
        <v>4.7564960092529258</v>
      </c>
      <c r="U102" s="34">
        <f t="shared" si="46"/>
        <v>4.5207172267544538</v>
      </c>
      <c r="V102" s="34">
        <f t="shared" si="46"/>
        <v>4.276377356754379</v>
      </c>
      <c r="W102" s="34">
        <f t="shared" si="46"/>
        <v>4.0389884901269131</v>
      </c>
    </row>
    <row r="103" spans="2:25" x14ac:dyDescent="0.2">
      <c r="B103" s="104" t="s">
        <v>126</v>
      </c>
      <c r="C103" s="34"/>
      <c r="D103" s="34"/>
      <c r="E103" s="253">
        <f>'Input data'!$C$68*E$100</f>
        <v>5.2995447382705345</v>
      </c>
      <c r="F103" s="34">
        <f t="shared" ref="F103:W103" si="47">IF(F100=0,0,IF(F95=1,(1-E107)*E100*F43/((1+F24/100)*(1+F42/100)),IF(AND(F95=0,F96=1),(E106*E100*F43/((1+F24/100)*(1+F42/100)))*(1-ABS(F100-E100*F43/((1+F24/100)*(1+F42/100)))/((F39*E100*E107*F43/((1+F24/100)*(1+F42/100)))+(E106*E100*F43/((1+F24/100)*(1+F42/100))))),0)))</f>
        <v>5.4165985451724916</v>
      </c>
      <c r="G103" s="34">
        <f t="shared" si="47"/>
        <v>5.5444254320799606</v>
      </c>
      <c r="H103" s="34">
        <f t="shared" si="47"/>
        <v>5.6043092884990209</v>
      </c>
      <c r="I103" s="34">
        <f t="shared" si="47"/>
        <v>5.5828888382246653</v>
      </c>
      <c r="J103" s="34">
        <f t="shared" si="47"/>
        <v>5.4984513637899308</v>
      </c>
      <c r="K103" s="34">
        <f t="shared" si="47"/>
        <v>5.2994441921879458</v>
      </c>
      <c r="L103" s="34">
        <f t="shared" si="47"/>
        <v>4.9668471152539064</v>
      </c>
      <c r="M103" s="34">
        <f t="shared" si="47"/>
        <v>4.5229889633835088</v>
      </c>
      <c r="N103" s="34">
        <f t="shared" si="47"/>
        <v>4.164852765901915</v>
      </c>
      <c r="O103" s="34">
        <f t="shared" si="47"/>
        <v>3.8374406111194919</v>
      </c>
      <c r="P103" s="34">
        <f t="shared" si="47"/>
        <v>3.5479549796618191</v>
      </c>
      <c r="Q103" s="34">
        <f t="shared" si="47"/>
        <v>3.2811473801764204</v>
      </c>
      <c r="R103" s="34">
        <f t="shared" si="47"/>
        <v>3.0287102039721501</v>
      </c>
      <c r="S103" s="34">
        <f t="shared" si="47"/>
        <v>2.7856788336162754</v>
      </c>
      <c r="T103" s="34">
        <f t="shared" si="47"/>
        <v>2.5464262116833516</v>
      </c>
      <c r="U103" s="34">
        <f t="shared" si="47"/>
        <v>2.3083119709933793</v>
      </c>
      <c r="V103" s="34">
        <f t="shared" si="47"/>
        <v>2.0678335277962554</v>
      </c>
      <c r="W103" s="34">
        <f t="shared" si="47"/>
        <v>1.8306637786983104</v>
      </c>
    </row>
    <row r="104" spans="2:25" x14ac:dyDescent="0.2">
      <c r="B104" s="104" t="s">
        <v>127</v>
      </c>
      <c r="C104" s="34"/>
      <c r="D104" s="34"/>
      <c r="E104" s="253">
        <f>'Input data'!$C$69*E$100</f>
        <v>4.0469720364863182</v>
      </c>
      <c r="F104" s="34">
        <f>IF(F100=0,0,IF(F95=1,'Input data'!$C$58*(F100-E100*F43/((1+F24/100)*(1+F42/100))),0))</f>
        <v>3.4473554021277226</v>
      </c>
      <c r="G104" s="34">
        <f>IF(G100=0,0,IF(G95=1,'Input data'!$C$58*(G100-F100*G43/((1+G24/100)*(1+G42/100))),0))</f>
        <v>2.8876068976306266</v>
      </c>
      <c r="H104" s="34">
        <f>IF(H100=0,0,IF(H95=1,'Input data'!$C$58*(H100-G100*H43/((1+H24/100)*(1+H42/100))),0))</f>
        <v>1.9124139966609757</v>
      </c>
      <c r="I104" s="34">
        <f>IF(I100=0,0,IF(I95=1,'Input data'!$C$58*(I100-H100*I43/((1+I24/100)*(1+I42/100))),0))</f>
        <v>1.0445936951518187</v>
      </c>
      <c r="J104" s="34">
        <f>IF(J100=0,0,IF(J95=1,'Input data'!$C$58*(J100-I100*J43/((1+J24/100)*(1+J42/100))),0))</f>
        <v>0.22370682570973727</v>
      </c>
      <c r="K104" s="34">
        <f>IF(K100=0,0,IF(K95=1,'Input data'!$C$58*(K100-J100*K43/((1+K24/100)*(1+K42/100))),0))</f>
        <v>0</v>
      </c>
      <c r="L104" s="34">
        <f>IF(L100=0,0,IF(L95=1,'Input data'!$C$58*(L100-K100*L43/((1+L24/100)*(1+L42/100))),0))</f>
        <v>0</v>
      </c>
      <c r="M104" s="34">
        <f>IF(M100=0,0,IF(M95=1,'Input data'!$C$58*(M100-L100*M43/((1+M24/100)*(1+M42/100))),0))</f>
        <v>0</v>
      </c>
      <c r="N104" s="34">
        <f>IF(N100=0,0,IF(N95=1,'Input data'!$C$58*(N100-M100*N43/((1+N24/100)*(1+N42/100))),0))</f>
        <v>0</v>
      </c>
      <c r="O104" s="34">
        <f>IF(O100=0,0,IF(O95=1,'Input data'!$C$58*(O100-N100*O43/((1+O24/100)*(1+O42/100))),0))</f>
        <v>0</v>
      </c>
      <c r="P104" s="34">
        <f>IF(P100=0,0,IF(P95=1,'Input data'!$C$58*(P100-O100*P43/((1+P24/100)*(1+P42/100))),0))</f>
        <v>0</v>
      </c>
      <c r="Q104" s="34">
        <f>IF(Q100=0,0,IF(Q95=1,'Input data'!$C$58*(Q100-P100*Q43/((1+Q24/100)*(1+Q42/100))),0))</f>
        <v>0</v>
      </c>
      <c r="R104" s="34">
        <f>IF(R100=0,0,IF(R95=1,'Input data'!$C$58*(R100-Q100*R43/((1+R24/100)*(1+R42/100))),0))</f>
        <v>0</v>
      </c>
      <c r="S104" s="34">
        <f>IF(S100=0,0,IF(S95=1,'Input data'!$C$58*(S100-R100*S43/((1+S24/100)*(1+S42/100))),0))</f>
        <v>0</v>
      </c>
      <c r="T104" s="34">
        <f>IF(T100=0,0,IF(T95=1,'Input data'!$C$58*(T100-S100*T43/((1+T24/100)*(1+T42/100))),0))</f>
        <v>0</v>
      </c>
      <c r="U104" s="34">
        <f>IF(U100=0,0,IF(U95=1,'Input data'!$C$58*(U100-T100*U43/((1+U24/100)*(1+U42/100))),0))</f>
        <v>0</v>
      </c>
      <c r="V104" s="34">
        <f>IF(V100=0,0,IF(V95=1,'Input data'!$C$58*(V100-U100*V43/((1+V24/100)*(1+V42/100))),0))</f>
        <v>0</v>
      </c>
      <c r="W104" s="34">
        <f>IF(W100=0,0,IF(W95=1,'Input data'!$C$58*(W100-V100*W43/((1+W24/100)*(1+W42/100))),0))</f>
        <v>0</v>
      </c>
    </row>
    <row r="105" spans="2:25" x14ac:dyDescent="0.2">
      <c r="B105" s="106" t="s">
        <v>128</v>
      </c>
      <c r="C105" s="49"/>
      <c r="D105" s="49"/>
      <c r="E105" s="254">
        <f>'Input data'!$C$70*E$100</f>
        <v>0.31130552588356658</v>
      </c>
      <c r="F105" s="49">
        <f>IF(F100=0,0,IF(F95=1,'Input data'!$C$57*(F100-E100*F43/((1+F24/100)*(1+F42/100))),0))</f>
        <v>0.25831964284501346</v>
      </c>
      <c r="G105" s="49">
        <f>IF(G100=0,0,IF(G95=1,'Input data'!$C$57*(G100-F100*G43/((1+G24/100)*(1+G42/100))),0))</f>
        <v>0.21637617694199801</v>
      </c>
      <c r="H105" s="49">
        <f>IF(H100=0,0,IF(H95=1,'Input data'!$C$57*(H100-G100*H43/((1+H24/100)*(1+H42/100))),0))</f>
        <v>0.14330234134965034</v>
      </c>
      <c r="I105" s="49">
        <f>IF(I100=0,0,IF(I95=1,'Input data'!$C$57*(I100-H100*I43/((1+I24/100)*(1+I42/100))),0))</f>
        <v>7.8274224375944779E-2</v>
      </c>
      <c r="J105" s="49">
        <f>IF(J100=0,0,IF(J95=1,'Input data'!$C$57*(J100-I100*J43/((1+J24/100)*(1+J42/100))),0))</f>
        <v>1.6762956115190235E-2</v>
      </c>
      <c r="K105" s="49">
        <f>IF(K100=0,0,IF(K95=1,'Input data'!$C$57*(K100-J100*K43/((1+K24/100)*(1+K42/100))),0))</f>
        <v>0</v>
      </c>
      <c r="L105" s="49">
        <f>IF(L100=0,0,IF(L95=1,'Input data'!$C$57*(L100-K100*L43/((1+L24/100)*(1+L42/100))),0))</f>
        <v>0</v>
      </c>
      <c r="M105" s="49">
        <f>IF(M100=0,0,IF(M95=1,'Input data'!$C$57*(M100-L100*M43/((1+M24/100)*(1+M42/100))),0))</f>
        <v>0</v>
      </c>
      <c r="N105" s="49">
        <f>IF(N100=0,0,IF(N95=1,'Input data'!$C$57*(N100-M100*N43/((1+N24/100)*(1+N42/100))),0))</f>
        <v>0</v>
      </c>
      <c r="O105" s="49">
        <f>IF(O100=0,0,IF(O95=1,'Input data'!$C$57*(O100-N100*O43/((1+O24/100)*(1+O42/100))),0))</f>
        <v>0</v>
      </c>
      <c r="P105" s="49">
        <f>IF(P100=0,0,IF(P95=1,'Input data'!$C$57*(P100-O100*P43/((1+P24/100)*(1+P42/100))),0))</f>
        <v>0</v>
      </c>
      <c r="Q105" s="49">
        <f>IF(Q100=0,0,IF(Q95=1,'Input data'!$C$57*(Q100-P100*Q43/((1+Q24/100)*(1+Q42/100))),0))</f>
        <v>0</v>
      </c>
      <c r="R105" s="49">
        <f>IF(R100=0,0,IF(R95=1,'Input data'!$C$57*(R100-Q100*R43/((1+R24/100)*(1+R42/100))),0))</f>
        <v>0</v>
      </c>
      <c r="S105" s="49">
        <f>IF(S100=0,0,IF(S95=1,'Input data'!$C$57*(S100-R100*S43/((1+S24/100)*(1+S42/100))),0))</f>
        <v>0</v>
      </c>
      <c r="T105" s="49">
        <f>IF(T100=0,0,IF(T95=1,'Input data'!$C$57*(T100-S100*T43/((1+T24/100)*(1+T42/100))),0))</f>
        <v>0</v>
      </c>
      <c r="U105" s="49">
        <f>IF(U100=0,0,IF(U95=1,'Input data'!$C$57*(U100-T100*U43/((1+U24/100)*(1+U42/100))),0))</f>
        <v>0</v>
      </c>
      <c r="V105" s="49">
        <f>IF(V100=0,0,IF(V95=1,'Input data'!$C$57*(V100-U100*V43/((1+V24/100)*(1+V42/100))),0))</f>
        <v>0</v>
      </c>
      <c r="W105" s="49">
        <f>IF(W100=0,0,IF(W95=1,'Input data'!$C$57*(W100-V100*W43/((1+W24/100)*(1+W42/100))),0))</f>
        <v>0</v>
      </c>
    </row>
    <row r="106" spans="2:25" x14ac:dyDescent="0.2">
      <c r="B106" s="26" t="s">
        <v>73</v>
      </c>
      <c r="C106" s="36"/>
      <c r="D106" s="36"/>
      <c r="E106" s="259">
        <f>'Baseline NFPC'!E$93</f>
        <v>7.1428575793291621E-2</v>
      </c>
      <c r="F106" s="36">
        <f t="shared" ref="F106:G106" si="48">IF(F100&lt;&gt;0,(F103+F105)/(F101+F102+F103+F104+F105),0)</f>
        <v>7.1348470133590011E-2</v>
      </c>
      <c r="G106" s="36">
        <f t="shared" si="48"/>
        <v>7.1285506730539017E-2</v>
      </c>
      <c r="H106" s="36">
        <f t="shared" ref="H106:W106" si="49">IF(H100&lt;&gt;0,(H103+H105)/(H101+H102+H103+H104+H105),0)</f>
        <v>7.1245339400727734E-2</v>
      </c>
      <c r="I106" s="36">
        <f t="shared" si="49"/>
        <v>7.1223638498290123E-2</v>
      </c>
      <c r="J106" s="36">
        <f t="shared" si="49"/>
        <v>7.1218935820355281E-2</v>
      </c>
      <c r="K106" s="36">
        <f t="shared" si="49"/>
        <v>7.1075378026515312E-2</v>
      </c>
      <c r="L106" s="36">
        <f t="shared" si="49"/>
        <v>6.9557965939941374E-2</v>
      </c>
      <c r="M106" s="36">
        <f t="shared" si="49"/>
        <v>6.6482167206048465E-2</v>
      </c>
      <c r="N106" s="36">
        <f t="shared" si="49"/>
        <v>6.3788556558392093E-2</v>
      </c>
      <c r="O106" s="36">
        <f t="shared" si="49"/>
        <v>6.1256826699940738E-2</v>
      </c>
      <c r="P106" s="36">
        <f t="shared" si="49"/>
        <v>5.9040758918065914E-2</v>
      </c>
      <c r="Q106" s="36">
        <f t="shared" si="49"/>
        <v>5.6942717192551763E-2</v>
      </c>
      <c r="R106" s="36">
        <f t="shared" si="49"/>
        <v>5.4856487840284074E-2</v>
      </c>
      <c r="S106" s="36">
        <f t="shared" si="49"/>
        <v>5.2709103948707044E-2</v>
      </c>
      <c r="T106" s="36">
        <f t="shared" si="49"/>
        <v>5.0395111827797427E-2</v>
      </c>
      <c r="U106" s="36">
        <f>IF(U100&lt;&gt;0,(U103+U105)/(U101+U102+U103+U104+U105),0)</f>
        <v>4.7852233661926938E-2</v>
      </c>
      <c r="V106" s="36">
        <f t="shared" si="49"/>
        <v>4.4988635694631622E-2</v>
      </c>
      <c r="W106" s="34">
        <f t="shared" si="49"/>
        <v>4.1847199936697992E-2</v>
      </c>
    </row>
    <row r="107" spans="2:25" x14ac:dyDescent="0.2">
      <c r="B107" s="35" t="s">
        <v>74</v>
      </c>
      <c r="C107" s="107"/>
      <c r="D107" s="107"/>
      <c r="E107" s="260">
        <f>'Baseline NFPC'!E$94</f>
        <v>0.92857142420670824</v>
      </c>
      <c r="F107" s="107">
        <f t="shared" ref="F107:G107" si="50">IF(F100&lt;&gt;0,(F101+F102+F104)/(F101+F102+F103+F104+F105),1)</f>
        <v>0.92865152986641009</v>
      </c>
      <c r="G107" s="107">
        <f t="shared" si="50"/>
        <v>0.92871449326946109</v>
      </c>
      <c r="H107" s="107">
        <f t="shared" ref="H107:W107" si="51">IF(H100&lt;&gt;0,(H101+H102+H104)/(H101+H102+H103+H104+H105),1)</f>
        <v>0.92875466059927214</v>
      </c>
      <c r="I107" s="107">
        <f t="shared" si="51"/>
        <v>0.92877636150170995</v>
      </c>
      <c r="J107" s="107">
        <f t="shared" si="51"/>
        <v>0.92878106417964479</v>
      </c>
      <c r="K107" s="107">
        <f t="shared" si="51"/>
        <v>0.92892462197348469</v>
      </c>
      <c r="L107" s="107">
        <f t="shared" si="51"/>
        <v>0.93044203406005854</v>
      </c>
      <c r="M107" s="107">
        <f t="shared" si="51"/>
        <v>0.93351783279395162</v>
      </c>
      <c r="N107" s="107">
        <f t="shared" si="51"/>
        <v>0.93621144344160778</v>
      </c>
      <c r="O107" s="107">
        <f t="shared" si="51"/>
        <v>0.9387431733000593</v>
      </c>
      <c r="P107" s="107">
        <f t="shared" si="51"/>
        <v>0.94095924108193407</v>
      </c>
      <c r="Q107" s="107">
        <f t="shared" si="51"/>
        <v>0.94305728280744827</v>
      </c>
      <c r="R107" s="107">
        <f t="shared" si="51"/>
        <v>0.94514351215971593</v>
      </c>
      <c r="S107" s="107">
        <f t="shared" si="51"/>
        <v>0.94729089605129302</v>
      </c>
      <c r="T107" s="107">
        <f t="shared" si="51"/>
        <v>0.94960488817220257</v>
      </c>
      <c r="U107" s="107">
        <f t="shared" si="51"/>
        <v>0.95214776633807308</v>
      </c>
      <c r="V107" s="107">
        <f t="shared" si="51"/>
        <v>0.95501136430536848</v>
      </c>
      <c r="W107" s="49">
        <f t="shared" si="51"/>
        <v>0.95815280006330206</v>
      </c>
      <c r="X107" s="62"/>
      <c r="Y107" s="62"/>
    </row>
    <row r="108" spans="2:25" x14ac:dyDescent="0.2">
      <c r="C108" s="38"/>
      <c r="D108" s="38"/>
      <c r="E108" s="38"/>
      <c r="F108" s="38"/>
      <c r="G108" s="38"/>
      <c r="H108" s="38"/>
      <c r="I108" s="38"/>
      <c r="J108" s="38"/>
      <c r="K108" s="38"/>
      <c r="L108" s="38"/>
      <c r="M108" s="38"/>
      <c r="N108" s="38"/>
      <c r="O108" s="38"/>
      <c r="P108" s="38"/>
      <c r="Q108" s="38"/>
      <c r="R108" s="38"/>
      <c r="S108" s="38"/>
      <c r="T108" s="38"/>
      <c r="U108" s="38"/>
      <c r="V108" s="38"/>
      <c r="W108" s="38"/>
      <c r="X108" s="62"/>
      <c r="Y108" s="62"/>
    </row>
    <row r="109" spans="2:25" x14ac:dyDescent="0.2">
      <c r="B109" s="112" t="s">
        <v>129</v>
      </c>
      <c r="C109" s="114">
        <f>'Baseline NFPC'!C96</f>
        <v>1.419065</v>
      </c>
      <c r="D109" s="114">
        <f>'Baseline NFPC'!D96</f>
        <v>1.2721899999999999</v>
      </c>
      <c r="E109" s="114">
        <f>'Baseline NFPC'!E96</f>
        <v>1.6214710000000001</v>
      </c>
      <c r="F109" s="114">
        <f>'Baseline NFPC'!F96</f>
        <v>1.9528080000000001</v>
      </c>
      <c r="G109" s="114">
        <f>'Baseline NFPC'!G96</f>
        <v>1.9344650000000001</v>
      </c>
      <c r="H109" s="114">
        <f>H111+H112</f>
        <v>1.8809861130955123</v>
      </c>
      <c r="I109" s="114">
        <f t="shared" ref="I109:W109" si="52">I111+I112</f>
        <v>2.0239034219102687</v>
      </c>
      <c r="J109" s="114">
        <f t="shared" si="52"/>
        <v>2.1462506647711721</v>
      </c>
      <c r="K109" s="114">
        <f t="shared" si="52"/>
        <v>2.2522010843711691</v>
      </c>
      <c r="L109" s="114">
        <f t="shared" si="52"/>
        <v>2.3505639958723141</v>
      </c>
      <c r="M109" s="114">
        <f t="shared" si="52"/>
        <v>2.4431330671669667</v>
      </c>
      <c r="N109" s="114">
        <f t="shared" si="52"/>
        <v>2.5303991888294619</v>
      </c>
      <c r="O109" s="114">
        <f t="shared" si="52"/>
        <v>2.6153459556829768</v>
      </c>
      <c r="P109" s="114">
        <f t="shared" si="52"/>
        <v>2.6979396293414264</v>
      </c>
      <c r="Q109" s="114">
        <f t="shared" si="52"/>
        <v>2.768492171816276</v>
      </c>
      <c r="R109" s="114">
        <f t="shared" si="52"/>
        <v>2.8349289419580836</v>
      </c>
      <c r="S109" s="114">
        <f t="shared" si="52"/>
        <v>2.8975480905735478</v>
      </c>
      <c r="T109" s="114">
        <f t="shared" si="52"/>
        <v>2.9566930009413497</v>
      </c>
      <c r="U109" s="114">
        <f t="shared" si="52"/>
        <v>3.012683331736179</v>
      </c>
      <c r="V109" s="114">
        <f t="shared" si="52"/>
        <v>3.0658699192091419</v>
      </c>
      <c r="W109" s="114">
        <f t="shared" si="52"/>
        <v>3.116570593354127</v>
      </c>
      <c r="X109" s="62"/>
      <c r="Y109" s="62"/>
    </row>
    <row r="110" spans="2:25" x14ac:dyDescent="0.2">
      <c r="B110" s="33" t="s">
        <v>130</v>
      </c>
      <c r="C110" s="34"/>
      <c r="D110" s="34"/>
      <c r="E110" s="34"/>
      <c r="F110" s="265">
        <f>((F36*E100)-(F38*(E103+E105)))/(E101+E102+E104)</f>
        <v>1.8315432870429942</v>
      </c>
      <c r="G110" s="265">
        <f>((G36*F100)-(G38*(F103+F105)))/(F101+F102+F104)</f>
        <v>1.9243399338862257</v>
      </c>
      <c r="H110" s="34">
        <f>IF(G100&gt;0,(G110*G101+
('Baseline NFPC'!H97*(G101+G102+G104)-'Baseline NFPC'!G97*G101)/(G102+G104)
*(G104+G102))/(G101+G102+G104),H37)</f>
        <v>1.8721771606223445</v>
      </c>
      <c r="I110" s="34">
        <f t="shared" ref="I110:W110" si="53">IF(H100&gt;0,(H110*H101+I37*(H104+H102))/(H101+H102+H104),I37)</f>
        <v>2.0196550671025473</v>
      </c>
      <c r="J110" s="34">
        <f t="shared" si="53"/>
        <v>2.1449800377489825</v>
      </c>
      <c r="K110" s="34">
        <f t="shared" si="53"/>
        <v>2.2526493621447883</v>
      </c>
      <c r="L110" s="34">
        <f t="shared" si="53"/>
        <v>2.3521458379692772</v>
      </c>
      <c r="M110" s="34">
        <f t="shared" si="53"/>
        <v>2.4453539822250754</v>
      </c>
      <c r="N110" s="34">
        <f t="shared" si="53"/>
        <v>2.5327806213687216</v>
      </c>
      <c r="O110" s="34">
        <f t="shared" si="53"/>
        <v>2.6177205177258478</v>
      </c>
      <c r="P110" s="34">
        <f t="shared" si="53"/>
        <v>2.7001523711723201</v>
      </c>
      <c r="Q110" s="34">
        <f t="shared" si="53"/>
        <v>2.7771299186012852</v>
      </c>
      <c r="R110" s="34">
        <f t="shared" si="53"/>
        <v>2.8492574643251833</v>
      </c>
      <c r="S110" s="34">
        <f t="shared" si="53"/>
        <v>2.9168826520491526</v>
      </c>
      <c r="T110" s="34">
        <f t="shared" si="53"/>
        <v>2.9803669218995812</v>
      </c>
      <c r="U110" s="34">
        <f t="shared" si="53"/>
        <v>3.0399961546710461</v>
      </c>
      <c r="V110" s="34">
        <f t="shared" si="53"/>
        <v>3.0960769252444136</v>
      </c>
      <c r="W110" s="34">
        <f t="shared" si="53"/>
        <v>3.1488372410185366</v>
      </c>
      <c r="X110" s="62"/>
      <c r="Y110" s="62"/>
    </row>
    <row r="111" spans="2:25" x14ac:dyDescent="0.2">
      <c r="B111" s="26" t="s">
        <v>131</v>
      </c>
      <c r="C111" s="390"/>
      <c r="D111" s="390"/>
      <c r="E111" s="390"/>
      <c r="F111" s="390">
        <f t="shared" ref="F111:W111" si="54">(F110*(E101+E102+E104)+F38*(E103+E105))/E100</f>
        <v>1.9528080000000001</v>
      </c>
      <c r="G111" s="390">
        <f t="shared" si="54"/>
        <v>1.9344650000000001</v>
      </c>
      <c r="H111" s="390">
        <f t="shared" si="54"/>
        <v>1.8809861130955123</v>
      </c>
      <c r="I111" s="390">
        <f t="shared" si="54"/>
        <v>2.0239034219102687</v>
      </c>
      <c r="J111" s="390">
        <f t="shared" si="54"/>
        <v>2.1462506647711721</v>
      </c>
      <c r="K111" s="390">
        <f t="shared" si="54"/>
        <v>2.2522010843711691</v>
      </c>
      <c r="L111" s="390">
        <f t="shared" si="54"/>
        <v>2.3505639958723141</v>
      </c>
      <c r="M111" s="390">
        <f t="shared" si="54"/>
        <v>2.4431330671669667</v>
      </c>
      <c r="N111" s="390">
        <f t="shared" si="54"/>
        <v>2.5303991888294619</v>
      </c>
      <c r="O111" s="390">
        <f t="shared" si="54"/>
        <v>2.6153459556829768</v>
      </c>
      <c r="P111" s="390">
        <f t="shared" si="54"/>
        <v>2.6979396293414264</v>
      </c>
      <c r="Q111" s="390">
        <f t="shared" si="54"/>
        <v>2.768492171816276</v>
      </c>
      <c r="R111" s="390">
        <f t="shared" si="54"/>
        <v>2.8349289419580836</v>
      </c>
      <c r="S111" s="390">
        <f t="shared" si="54"/>
        <v>2.8975480905735478</v>
      </c>
      <c r="T111" s="390">
        <f t="shared" si="54"/>
        <v>2.9566930009413497</v>
      </c>
      <c r="U111" s="390">
        <f t="shared" si="54"/>
        <v>3.012683331736179</v>
      </c>
      <c r="V111" s="390">
        <f t="shared" si="54"/>
        <v>3.0658699192091419</v>
      </c>
      <c r="W111" s="390">
        <f t="shared" si="54"/>
        <v>3.116570593354127</v>
      </c>
      <c r="X111" s="62"/>
      <c r="Y111" s="62"/>
    </row>
    <row r="112" spans="2:25" x14ac:dyDescent="0.2">
      <c r="B112" s="35" t="s">
        <v>132</v>
      </c>
      <c r="C112" s="49"/>
      <c r="D112" s="49"/>
      <c r="E112" s="49"/>
      <c r="F112" s="49">
        <f>'Adjust. no safeguard'!F104</f>
        <v>0</v>
      </c>
      <c r="G112" s="49">
        <f>'Adjust. no safeguard'!G104</f>
        <v>0</v>
      </c>
      <c r="H112" s="49">
        <f>'Adjust. no safeguard'!H104</f>
        <v>0</v>
      </c>
      <c r="I112" s="49">
        <f>'Adjust. no safeguard'!I104</f>
        <v>0</v>
      </c>
      <c r="J112" s="49">
        <f>'Adjust. no safeguard'!J104</f>
        <v>0</v>
      </c>
      <c r="K112" s="49">
        <f>'Adjust. no safeguard'!K104</f>
        <v>0</v>
      </c>
      <c r="L112" s="49">
        <f>'Adjust. no safeguard'!L104</f>
        <v>0</v>
      </c>
      <c r="M112" s="49">
        <f>'Adjust. no safeguard'!M104</f>
        <v>0</v>
      </c>
      <c r="N112" s="49">
        <f>'Adjust. no safeguard'!N104</f>
        <v>0</v>
      </c>
      <c r="O112" s="49">
        <f>'Adjust. no safeguard'!O104</f>
        <v>0</v>
      </c>
      <c r="P112" s="49">
        <f>'Adjust. no safeguard'!P104</f>
        <v>0</v>
      </c>
      <c r="Q112" s="49">
        <f>'Adjust. no safeguard'!Q104</f>
        <v>0</v>
      </c>
      <c r="R112" s="49">
        <f>'Adjust. no safeguard'!R104</f>
        <v>0</v>
      </c>
      <c r="S112" s="49">
        <f>'Adjust. no safeguard'!S104</f>
        <v>0</v>
      </c>
      <c r="T112" s="49">
        <f>'Adjust. no safeguard'!T104</f>
        <v>0</v>
      </c>
      <c r="U112" s="49">
        <f>'Adjust. no safeguard'!U104</f>
        <v>0</v>
      </c>
      <c r="V112" s="49">
        <f>'Adjust. no safeguard'!V104</f>
        <v>0</v>
      </c>
      <c r="W112" s="49">
        <f>'Adjust. no safeguard'!W104</f>
        <v>0</v>
      </c>
      <c r="X112" s="62"/>
      <c r="Y112" s="62"/>
    </row>
    <row r="113" spans="2:25" x14ac:dyDescent="0.2">
      <c r="C113" s="38"/>
      <c r="D113" s="38"/>
      <c r="E113" s="38"/>
      <c r="F113" s="38"/>
      <c r="G113" s="34"/>
      <c r="H113" s="34"/>
      <c r="I113" s="34"/>
      <c r="J113" s="34"/>
      <c r="K113" s="34"/>
      <c r="L113" s="34"/>
      <c r="M113" s="34"/>
      <c r="N113" s="34"/>
      <c r="O113" s="34"/>
      <c r="P113" s="34"/>
      <c r="Q113" s="34"/>
      <c r="R113" s="34"/>
      <c r="S113" s="34"/>
      <c r="T113" s="34"/>
      <c r="U113" s="34"/>
      <c r="V113" s="34"/>
      <c r="W113" s="34"/>
      <c r="X113" s="62"/>
      <c r="Y113" s="62"/>
    </row>
    <row r="114" spans="2:25" x14ac:dyDescent="0.2">
      <c r="B114" s="112" t="s">
        <v>181</v>
      </c>
      <c r="C114" s="114">
        <f t="shared" ref="C114:W114" si="55">((1+C109/100)/((1+C24/100)*(1+C42/100))-1)*100</f>
        <v>-5.0506235421831196</v>
      </c>
      <c r="D114" s="114">
        <f t="shared" si="55"/>
        <v>-8.171145244432477</v>
      </c>
      <c r="E114" s="114">
        <f t="shared" si="55"/>
        <v>-3.794155520613518</v>
      </c>
      <c r="F114" s="114">
        <f t="shared" si="55"/>
        <v>-1.5755368351901722</v>
      </c>
      <c r="G114" s="114">
        <f t="shared" si="55"/>
        <v>-0.40998026742823379</v>
      </c>
      <c r="H114" s="114">
        <f t="shared" si="55"/>
        <v>-0.8866134357300326</v>
      </c>
      <c r="I114" s="114">
        <f t="shared" si="55"/>
        <v>-0.90003494872706868</v>
      </c>
      <c r="J114" s="114">
        <f t="shared" si="55"/>
        <v>-0.78961071018289752</v>
      </c>
      <c r="K114" s="114">
        <f t="shared" si="55"/>
        <v>-1.5091755812825292</v>
      </c>
      <c r="L114" s="114">
        <f t="shared" si="55"/>
        <v>-1.5542632696142089</v>
      </c>
      <c r="M114" s="114">
        <f t="shared" si="55"/>
        <v>-1.5276755893111393</v>
      </c>
      <c r="N114" s="114">
        <f t="shared" si="55"/>
        <v>-0.81761416602034176</v>
      </c>
      <c r="O114" s="114">
        <f t="shared" si="55"/>
        <v>-0.79135209472948054</v>
      </c>
      <c r="P114" s="114">
        <f t="shared" si="55"/>
        <v>-0.8124567102126945</v>
      </c>
      <c r="Q114" s="114">
        <f t="shared" si="55"/>
        <v>-0.80663439774706358</v>
      </c>
      <c r="R114" s="114">
        <f t="shared" si="55"/>
        <v>-0.80476730474888791</v>
      </c>
      <c r="S114" s="114">
        <f t="shared" si="55"/>
        <v>-0.80655665873062832</v>
      </c>
      <c r="T114" s="114">
        <f t="shared" si="55"/>
        <v>-0.79489229090897728</v>
      </c>
      <c r="U114" s="114">
        <f t="shared" si="55"/>
        <v>-0.78825671265143615</v>
      </c>
      <c r="V114" s="114">
        <f t="shared" si="55"/>
        <v>-0.78334258221002262</v>
      </c>
      <c r="W114" s="114">
        <f t="shared" si="55"/>
        <v>-0.70216579406472412</v>
      </c>
      <c r="X114" s="62"/>
      <c r="Y114" s="62"/>
    </row>
    <row r="115" spans="2:25" x14ac:dyDescent="0.2">
      <c r="F115" s="34"/>
      <c r="G115" s="34"/>
      <c r="H115" s="34"/>
      <c r="I115" s="34"/>
      <c r="J115" s="34"/>
      <c r="K115" s="34"/>
      <c r="L115" s="34"/>
      <c r="M115" s="34"/>
      <c r="N115" s="34"/>
      <c r="O115" s="34"/>
      <c r="P115" s="34"/>
      <c r="Q115" s="34"/>
      <c r="R115" s="34"/>
      <c r="S115" s="34"/>
      <c r="T115" s="34"/>
      <c r="U115" s="34"/>
      <c r="V115" s="34"/>
      <c r="W115" s="34"/>
      <c r="X115" s="62"/>
      <c r="Y115" s="62"/>
    </row>
    <row r="116" spans="2:25" x14ac:dyDescent="0.2">
      <c r="I116" s="252"/>
      <c r="J116" s="252"/>
      <c r="K116" s="252"/>
      <c r="L116" s="252"/>
      <c r="M116" s="252"/>
      <c r="N116" s="252"/>
      <c r="O116" s="252"/>
      <c r="P116" s="252"/>
      <c r="Q116" s="252"/>
      <c r="R116" s="252"/>
      <c r="S116" s="252"/>
      <c r="T116" s="252"/>
      <c r="U116" s="34"/>
      <c r="V116" s="34"/>
      <c r="W116" s="34"/>
      <c r="X116" s="62"/>
      <c r="Y116" s="62"/>
    </row>
    <row r="117" spans="2:25" x14ac:dyDescent="0.2">
      <c r="B117" s="396"/>
      <c r="C117" s="396"/>
      <c r="D117" s="396"/>
      <c r="E117" s="396"/>
      <c r="F117" s="397"/>
      <c r="G117" s="398"/>
      <c r="H117" s="398"/>
      <c r="T117" s="62"/>
      <c r="U117" s="62"/>
      <c r="V117" s="62"/>
      <c r="W117" s="62"/>
      <c r="X117" s="62"/>
      <c r="Y117" s="62"/>
    </row>
    <row r="118" spans="2:25" x14ac:dyDescent="0.2">
      <c r="T118" s="62"/>
      <c r="U118" s="115"/>
      <c r="V118" s="115"/>
      <c r="W118" s="115"/>
      <c r="X118" s="115"/>
      <c r="Y118" s="62"/>
    </row>
    <row r="119" spans="2:25" x14ac:dyDescent="0.2">
      <c r="H119" s="120"/>
      <c r="I119" s="120"/>
      <c r="J119" s="120"/>
      <c r="K119" s="120"/>
      <c r="L119" s="120"/>
      <c r="M119" s="120"/>
      <c r="N119" s="120"/>
      <c r="O119" s="120"/>
      <c r="P119" s="120"/>
      <c r="Q119" s="120"/>
      <c r="R119" s="120"/>
      <c r="S119" s="120"/>
      <c r="T119" s="120"/>
      <c r="U119" s="120"/>
      <c r="V119" s="120"/>
      <c r="W119" s="120"/>
    </row>
    <row r="120" spans="2:25" x14ac:dyDescent="0.2">
      <c r="E120" s="34"/>
      <c r="F120" s="34"/>
      <c r="G120" s="120"/>
      <c r="H120" s="120"/>
      <c r="I120" s="120"/>
      <c r="J120" s="120"/>
      <c r="K120" s="120"/>
      <c r="L120" s="120"/>
      <c r="M120" s="120"/>
      <c r="N120" s="120"/>
      <c r="O120" s="120"/>
      <c r="P120" s="120"/>
      <c r="Q120" s="120"/>
      <c r="R120" s="120"/>
      <c r="S120" s="120"/>
      <c r="T120" s="120"/>
      <c r="U120" s="120"/>
      <c r="V120" s="120"/>
      <c r="W120" s="120"/>
    </row>
    <row r="121" spans="2:25" x14ac:dyDescent="0.2">
      <c r="E121" s="34"/>
      <c r="F121" s="34"/>
      <c r="G121" s="120"/>
      <c r="H121" s="120"/>
      <c r="I121" s="120"/>
      <c r="J121" s="120"/>
      <c r="K121" s="120"/>
      <c r="L121" s="120"/>
      <c r="M121" s="120"/>
      <c r="N121" s="120"/>
      <c r="O121" s="120"/>
      <c r="P121" s="120"/>
      <c r="Q121" s="120"/>
      <c r="R121" s="120"/>
      <c r="S121" s="120"/>
      <c r="T121" s="120"/>
      <c r="U121" s="120"/>
      <c r="V121" s="120"/>
      <c r="W121" s="120"/>
    </row>
    <row r="124" spans="2:25" x14ac:dyDescent="0.2">
      <c r="E124" s="34"/>
      <c r="F124" s="34"/>
      <c r="G124" s="120"/>
      <c r="H124" s="120"/>
      <c r="I124" s="120"/>
      <c r="J124" s="120"/>
      <c r="K124" s="120"/>
      <c r="L124" s="120"/>
      <c r="M124" s="120"/>
      <c r="N124" s="120"/>
      <c r="O124" s="120"/>
      <c r="P124" s="120"/>
      <c r="Q124" s="120"/>
      <c r="R124" s="120"/>
      <c r="S124" s="120"/>
      <c r="T124" s="120"/>
      <c r="U124" s="120"/>
      <c r="V124" s="120"/>
      <c r="W124" s="120"/>
    </row>
    <row r="125" spans="2:25" x14ac:dyDescent="0.2">
      <c r="E125" s="34"/>
      <c r="F125" s="34"/>
      <c r="G125" s="120"/>
      <c r="H125" s="120"/>
      <c r="I125" s="120"/>
      <c r="J125" s="120"/>
      <c r="K125" s="120"/>
      <c r="L125" s="120"/>
      <c r="M125" s="120"/>
      <c r="N125" s="120"/>
      <c r="O125" s="120"/>
      <c r="P125" s="120"/>
      <c r="Q125" s="120"/>
      <c r="R125" s="120"/>
      <c r="S125" s="120"/>
      <c r="T125" s="120"/>
      <c r="U125" s="120"/>
      <c r="V125" s="120"/>
      <c r="W125" s="120"/>
      <c r="X125" s="53"/>
    </row>
    <row r="126" spans="2:25" x14ac:dyDescent="0.2">
      <c r="G126" s="53"/>
      <c r="H126" s="53"/>
      <c r="I126" s="53"/>
      <c r="J126" s="53"/>
      <c r="K126" s="53"/>
      <c r="L126" s="53"/>
      <c r="M126" s="53"/>
      <c r="N126" s="53"/>
      <c r="O126" s="53"/>
      <c r="P126" s="53"/>
      <c r="Q126" s="53"/>
      <c r="R126" s="53"/>
      <c r="S126" s="53"/>
      <c r="T126" s="53"/>
      <c r="U126" s="53"/>
      <c r="V126" s="53"/>
      <c r="W126" s="53"/>
      <c r="X126" s="53"/>
    </row>
    <row r="127" spans="2:25" x14ac:dyDescent="0.2">
      <c r="E127" s="34"/>
      <c r="F127" s="34"/>
      <c r="G127" s="120"/>
      <c r="H127" s="120"/>
      <c r="I127" s="120"/>
      <c r="J127" s="120"/>
      <c r="K127" s="120"/>
      <c r="L127" s="120"/>
      <c r="M127" s="120"/>
      <c r="N127" s="120"/>
      <c r="O127" s="120"/>
      <c r="P127" s="120"/>
      <c r="Q127" s="120"/>
      <c r="R127" s="120"/>
      <c r="S127" s="120"/>
      <c r="T127" s="120"/>
      <c r="U127" s="120"/>
      <c r="V127" s="120"/>
      <c r="W127" s="120"/>
      <c r="X127" s="53"/>
    </row>
    <row r="128" spans="2:25" x14ac:dyDescent="0.2">
      <c r="E128" s="34"/>
      <c r="F128" s="34"/>
      <c r="G128" s="120"/>
      <c r="H128" s="120"/>
      <c r="I128" s="120"/>
      <c r="J128" s="120"/>
      <c r="K128" s="120"/>
      <c r="L128" s="120"/>
      <c r="M128" s="120"/>
      <c r="N128" s="120"/>
      <c r="O128" s="120"/>
      <c r="P128" s="120"/>
      <c r="Q128" s="120"/>
      <c r="R128" s="120"/>
      <c r="S128" s="120"/>
      <c r="T128" s="120"/>
      <c r="U128" s="120"/>
      <c r="V128" s="120"/>
      <c r="W128" s="120"/>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0"/>
      <c r="H130" s="120"/>
      <c r="I130" s="120"/>
      <c r="J130" s="120"/>
      <c r="K130" s="120"/>
      <c r="L130" s="120"/>
      <c r="M130" s="120"/>
      <c r="N130" s="120"/>
      <c r="O130" s="120"/>
      <c r="P130" s="120"/>
      <c r="Q130" s="120"/>
      <c r="R130" s="120"/>
      <c r="S130" s="120"/>
      <c r="T130" s="120"/>
      <c r="U130" s="120"/>
      <c r="V130" s="120"/>
      <c r="W130" s="120"/>
      <c r="X130" s="120"/>
    </row>
    <row r="131" spans="5:24" x14ac:dyDescent="0.2">
      <c r="E131" s="34"/>
      <c r="F131" s="34"/>
      <c r="G131" s="120"/>
      <c r="H131" s="120"/>
      <c r="I131" s="120"/>
      <c r="J131" s="120"/>
      <c r="K131" s="120"/>
      <c r="L131" s="120"/>
      <c r="M131" s="120"/>
      <c r="N131" s="120"/>
      <c r="O131" s="120"/>
      <c r="P131" s="120"/>
      <c r="Q131" s="120"/>
      <c r="R131" s="120"/>
      <c r="S131" s="120"/>
      <c r="T131" s="120"/>
      <c r="U131" s="120"/>
      <c r="V131" s="120"/>
      <c r="W131" s="120"/>
      <c r="X131" s="120"/>
    </row>
    <row r="132" spans="5:24" x14ac:dyDescent="0.2">
      <c r="G132" s="120"/>
      <c r="H132" s="120"/>
      <c r="I132" s="120"/>
      <c r="J132" s="120"/>
      <c r="K132" s="120"/>
      <c r="L132" s="120"/>
      <c r="M132" s="120"/>
      <c r="N132" s="120"/>
      <c r="O132" s="120"/>
      <c r="P132" s="120"/>
      <c r="Q132" s="120"/>
      <c r="R132" s="120"/>
      <c r="S132" s="120"/>
      <c r="T132" s="120"/>
      <c r="U132" s="120"/>
      <c r="V132" s="120"/>
      <c r="W132" s="120"/>
      <c r="X132" s="120"/>
    </row>
    <row r="133" spans="5:24" x14ac:dyDescent="0.2">
      <c r="E133" s="34"/>
      <c r="F133" s="34"/>
      <c r="G133" s="120"/>
      <c r="H133" s="120"/>
      <c r="I133" s="120"/>
      <c r="J133" s="120"/>
      <c r="K133" s="120"/>
      <c r="L133" s="120"/>
      <c r="M133" s="120"/>
      <c r="N133" s="120"/>
      <c r="O133" s="120"/>
      <c r="P133" s="120"/>
      <c r="Q133" s="120"/>
      <c r="R133" s="120"/>
      <c r="S133" s="120"/>
      <c r="T133" s="120"/>
      <c r="U133" s="120"/>
      <c r="V133" s="120"/>
      <c r="W133" s="120"/>
      <c r="X133" s="120"/>
    </row>
    <row r="134" spans="5:24" x14ac:dyDescent="0.2">
      <c r="E134" s="34"/>
      <c r="F134" s="34"/>
      <c r="G134" s="120"/>
      <c r="H134" s="120"/>
      <c r="I134" s="120"/>
      <c r="J134" s="120"/>
      <c r="K134" s="120"/>
      <c r="L134" s="120"/>
      <c r="M134" s="120"/>
      <c r="N134" s="120"/>
      <c r="O134" s="120"/>
      <c r="P134" s="120"/>
      <c r="Q134" s="120"/>
      <c r="R134" s="120"/>
      <c r="S134" s="120"/>
      <c r="T134" s="120"/>
      <c r="U134" s="120"/>
      <c r="V134" s="120"/>
      <c r="W134" s="120"/>
      <c r="X134" s="120"/>
    </row>
    <row r="135" spans="5:24" x14ac:dyDescent="0.2">
      <c r="G135" s="120"/>
      <c r="H135" s="120"/>
      <c r="I135" s="120"/>
      <c r="J135" s="120"/>
      <c r="K135" s="120"/>
      <c r="L135" s="120"/>
      <c r="M135" s="120"/>
      <c r="N135" s="120"/>
      <c r="O135" s="120"/>
      <c r="P135" s="120"/>
      <c r="Q135" s="120"/>
      <c r="R135" s="120"/>
      <c r="S135" s="120"/>
      <c r="T135" s="120"/>
      <c r="U135" s="120"/>
      <c r="V135" s="120"/>
      <c r="W135" s="120"/>
      <c r="X135" s="120"/>
    </row>
    <row r="136" spans="5:24" x14ac:dyDescent="0.2">
      <c r="G136" s="120"/>
      <c r="H136" s="120"/>
      <c r="I136" s="120"/>
      <c r="J136" s="120"/>
      <c r="K136" s="120"/>
      <c r="L136" s="120"/>
      <c r="M136" s="120"/>
      <c r="N136" s="120"/>
      <c r="O136" s="120"/>
      <c r="P136" s="120"/>
      <c r="Q136" s="120"/>
      <c r="R136" s="120"/>
      <c r="S136" s="120"/>
      <c r="T136" s="120"/>
      <c r="U136" s="120"/>
      <c r="V136" s="120"/>
      <c r="W136" s="120"/>
      <c r="X136" s="120"/>
    </row>
  </sheetData>
  <conditionalFormatting sqref="G12:M12">
    <cfRule type="expression" dxfId="37" priority="4">
      <formula>AND(G10&gt;$C$5,G10&lt;=$C$6)</formula>
    </cfRule>
  </conditionalFormatting>
  <conditionalFormatting sqref="U10:W44 U46:W53 U55:W92 U94:W131">
    <cfRule type="expression" dxfId="36" priority="1">
      <formula>U$10&gt;$C$7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48" id="{3F484ED4-3931-4998-AB2F-E78A0CF23E03}">
            <xm:f>OR('Criteria results'!#REF!=7,'Criteria results'!#REF!=10)</xm:f>
            <x14:dxf>
              <font>
                <color theme="0"/>
              </font>
            </x14:dxf>
          </x14:cfRule>
          <xm:sqref>K83:M83</xm:sqref>
        </x14:conditionalFormatting>
        <x14:conditionalFormatting xmlns:xm="http://schemas.microsoft.com/office/excel/2006/main">
          <x14:cfRule type="expression" priority="49" id="{2AB03453-3383-4490-89FD-BF0D6B58ED6B}">
            <xm:f>'Criteria results'!#REF!=10</xm:f>
            <x14:dxf>
              <font>
                <color theme="0"/>
              </font>
            </x14:dxf>
          </x14:cfRule>
          <xm:sqref>N83:P83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33203125" defaultRowHeight="10.199999999999999" outlineLevelRow="1" x14ac:dyDescent="0.2"/>
  <cols>
    <col min="1" max="1" width="9.33203125" style="26" customWidth="1"/>
    <col min="2" max="2" width="57.44140625" style="26" customWidth="1"/>
    <col min="3" max="38" width="9.33203125" style="26" customWidth="1"/>
    <col min="39" max="48" width="11.44140625" style="26" bestFit="1" customWidth="1"/>
    <col min="49" max="16384" width="9.33203125" style="26"/>
  </cols>
  <sheetData>
    <row r="1" spans="1:51" ht="24.75" customHeight="1" x14ac:dyDescent="0.2">
      <c r="B1" s="39"/>
    </row>
    <row r="2" spans="1:51" ht="11.25" customHeight="1" x14ac:dyDescent="0.2">
      <c r="B2" s="27"/>
    </row>
    <row r="3" spans="1:51" ht="11.25" customHeight="1" x14ac:dyDescent="0.2">
      <c r="B3" s="19" t="s">
        <v>15</v>
      </c>
      <c r="C3" s="20" t="str">
        <f>'Input data'!C3</f>
        <v>AT</v>
      </c>
    </row>
    <row r="4" spans="1:51" x14ac:dyDescent="0.2">
      <c r="B4" s="64" t="s">
        <v>38</v>
      </c>
      <c r="C4" s="21"/>
    </row>
    <row r="5" spans="1:51" x14ac:dyDescent="0.2">
      <c r="A5" s="29"/>
      <c r="B5" s="22" t="str">
        <f>'Input data'!B5</f>
        <v>Last year before the adjustment</v>
      </c>
      <c r="C5" s="23">
        <f>+'Input data'!C5</f>
        <v>2024</v>
      </c>
      <c r="J5" s="53"/>
      <c r="M5" s="38"/>
    </row>
    <row r="6" spans="1:51" x14ac:dyDescent="0.2">
      <c r="A6" s="29"/>
      <c r="B6" s="65" t="s">
        <v>44</v>
      </c>
      <c r="C6" s="23">
        <f>+C5+'Criteria results'!$F$5</f>
        <v>2028</v>
      </c>
      <c r="E6" s="43"/>
      <c r="F6" s="29"/>
    </row>
    <row r="7" spans="1:51" x14ac:dyDescent="0.2">
      <c r="A7" s="29"/>
      <c r="B7" s="24" t="s">
        <v>39</v>
      </c>
      <c r="C7" s="66">
        <f>C5+'Criteria results'!$F$5+10</f>
        <v>2038</v>
      </c>
      <c r="E7" s="43"/>
      <c r="F7" s="29"/>
      <c r="G7" s="53"/>
      <c r="H7" s="53"/>
      <c r="I7" s="53"/>
      <c r="J7" s="53"/>
      <c r="K7" s="53"/>
      <c r="L7" s="53"/>
      <c r="M7" s="53"/>
    </row>
    <row r="8" spans="1:51" x14ac:dyDescent="0.2">
      <c r="A8" s="29"/>
      <c r="C8" s="29"/>
      <c r="E8" s="43"/>
      <c r="F8" s="29"/>
      <c r="G8" s="29"/>
      <c r="H8" s="29"/>
      <c r="I8" s="29"/>
      <c r="J8" s="29"/>
      <c r="K8" s="29"/>
      <c r="L8" s="29"/>
      <c r="M8" s="29"/>
      <c r="N8" s="29"/>
      <c r="O8" s="29"/>
      <c r="P8" s="29"/>
      <c r="Q8" s="29"/>
      <c r="R8" s="29"/>
      <c r="S8" s="29"/>
      <c r="T8" s="29"/>
      <c r="U8" s="29"/>
      <c r="V8" s="29"/>
      <c r="W8" s="29"/>
    </row>
    <row r="9" spans="1:51" s="67" customFormat="1" ht="13.2" x14ac:dyDescent="0.25">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62"/>
      <c r="G11" s="395"/>
      <c r="H11" s="395"/>
      <c r="I11" s="395"/>
      <c r="J11" s="395"/>
      <c r="K11" s="395"/>
      <c r="L11" s="395"/>
      <c r="M11" s="395"/>
      <c r="N11" s="262"/>
      <c r="O11" s="262"/>
      <c r="P11" s="262"/>
      <c r="Q11" s="262"/>
      <c r="R11" s="262"/>
      <c r="S11" s="262"/>
      <c r="T11" s="262"/>
      <c r="U11" s="262"/>
      <c r="V11" s="262"/>
      <c r="W11" s="262"/>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-3.4934150000000002</v>
      </c>
      <c r="D12" s="2">
        <f>'Input data'!D13</f>
        <v>-3.493954</v>
      </c>
      <c r="E12" s="2">
        <f>'Input data'!E13</f>
        <v>-1.399295</v>
      </c>
      <c r="F12" s="2">
        <f>'Input data'!F13</f>
        <v>-1.3351299999999999</v>
      </c>
      <c r="G12" s="3">
        <f>IF(G10&lt;=$C$6,F12+'Criteria results'!$F$6,F12)</f>
        <v>-0.35512999999999995</v>
      </c>
      <c r="H12" s="3">
        <f>IF(H10&lt;=$C$6,G12+'Criteria results'!$F$6,G12)</f>
        <v>0.62487000000000004</v>
      </c>
      <c r="I12" s="3">
        <f>IF(I10&lt;=$C$6,H12+'Criteria results'!$F$6,H12)</f>
        <v>1.60487</v>
      </c>
      <c r="J12" s="3">
        <f>IF(J10&lt;=$C$6,I12+'Criteria results'!$F$6,I12)</f>
        <v>2.58487</v>
      </c>
      <c r="K12" s="118">
        <f>IF(K10&lt;=$C$6,J12+'Criteria results'!$F$6,J12)</f>
        <v>2.58487</v>
      </c>
      <c r="L12" s="118">
        <f>IF(L10&lt;=$C$6,K12+'Criteria results'!$F$6,K12)</f>
        <v>2.58487</v>
      </c>
      <c r="M12" s="118">
        <f>IF(M10&lt;=$C$6,L12+'Criteria results'!$F$6,L12)</f>
        <v>2.58487</v>
      </c>
      <c r="N12" s="118">
        <f>M12</f>
        <v>2.58487</v>
      </c>
      <c r="O12" s="118">
        <f t="shared" ref="O12:W12" si="0">N12</f>
        <v>2.58487</v>
      </c>
      <c r="P12" s="118">
        <f t="shared" si="0"/>
        <v>2.58487</v>
      </c>
      <c r="Q12" s="118">
        <f t="shared" si="0"/>
        <v>2.58487</v>
      </c>
      <c r="R12" s="118">
        <f t="shared" si="0"/>
        <v>2.58487</v>
      </c>
      <c r="S12" s="118">
        <f t="shared" si="0"/>
        <v>2.58487</v>
      </c>
      <c r="T12" s="118">
        <f t="shared" si="0"/>
        <v>2.58487</v>
      </c>
      <c r="U12" s="118">
        <f t="shared" si="0"/>
        <v>2.58487</v>
      </c>
      <c r="V12" s="118">
        <f t="shared" si="0"/>
        <v>2.58487</v>
      </c>
      <c r="W12" s="118">
        <f t="shared" si="0"/>
        <v>2.58487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304" t="s">
        <v>187</v>
      </c>
      <c r="C13" s="29"/>
      <c r="D13" s="29"/>
      <c r="E13" s="29"/>
      <c r="F13" s="262"/>
      <c r="G13" s="262">
        <f>G12-F12</f>
        <v>0.98</v>
      </c>
      <c r="H13" s="262">
        <f t="shared" ref="H13:W13" si="1">H12-G12</f>
        <v>0.98</v>
      </c>
      <c r="I13" s="262">
        <f t="shared" si="1"/>
        <v>0.98</v>
      </c>
      <c r="J13" s="262">
        <f t="shared" si="1"/>
        <v>0.98</v>
      </c>
      <c r="K13" s="262">
        <f t="shared" si="1"/>
        <v>0</v>
      </c>
      <c r="L13" s="262">
        <f t="shared" si="1"/>
        <v>0</v>
      </c>
      <c r="M13" s="262">
        <f t="shared" si="1"/>
        <v>0</v>
      </c>
      <c r="N13" s="262">
        <f t="shared" si="1"/>
        <v>0</v>
      </c>
      <c r="O13" s="262">
        <f t="shared" si="1"/>
        <v>0</v>
      </c>
      <c r="P13" s="262">
        <f t="shared" si="1"/>
        <v>0</v>
      </c>
      <c r="Q13" s="262">
        <f t="shared" si="1"/>
        <v>0</v>
      </c>
      <c r="R13" s="262">
        <f t="shared" si="1"/>
        <v>0</v>
      </c>
      <c r="S13" s="262">
        <f t="shared" si="1"/>
        <v>0</v>
      </c>
      <c r="T13" s="262">
        <f t="shared" si="1"/>
        <v>0</v>
      </c>
      <c r="U13" s="262">
        <f t="shared" si="1"/>
        <v>0</v>
      </c>
      <c r="V13" s="262">
        <f t="shared" si="1"/>
        <v>0</v>
      </c>
      <c r="W13" s="262">
        <f t="shared" si="1"/>
        <v>0</v>
      </c>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row>
    <row r="14" spans="1:51" x14ac:dyDescent="0.2">
      <c r="B14" s="26" t="s">
        <v>49</v>
      </c>
      <c r="C14" s="1">
        <f>'Input data'!C14</f>
        <v>2.1047099999999999E-2</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2">
        <f>'Input data'!V14</f>
        <v>0</v>
      </c>
      <c r="W14" s="2">
        <f>'Input data'!W14</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x14ac:dyDescent="0.2">
      <c r="B15" s="26" t="s">
        <v>84</v>
      </c>
      <c r="C15" s="1">
        <f>'Input data'!C15</f>
        <v>-1.168344</v>
      </c>
      <c r="D15" s="2">
        <f>'Input data'!D15</f>
        <v>0.33345029999999998</v>
      </c>
      <c r="E15" s="2">
        <f>'Input data'!E15</f>
        <v>1.738494</v>
      </c>
      <c r="F15" s="2">
        <f>'Input data'!F15</f>
        <v>0.1010605</v>
      </c>
      <c r="G15" s="2">
        <f>'Input data'!G15</f>
        <v>9.9622799999999997E-2</v>
      </c>
      <c r="H15" s="2">
        <f>'Input data'!H15</f>
        <v>0.1</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60"/>
    </row>
    <row r="16" spans="1:51" ht="5.7"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52</v>
      </c>
      <c r="C18" s="1">
        <f>'Input data'!C20</f>
        <v>0</v>
      </c>
      <c r="D18" s="100">
        <f>'Input data'!D20</f>
        <v>25.324309999999997</v>
      </c>
      <c r="E18" s="100">
        <f>'Input data'!E20</f>
        <v>25.242449999999998</v>
      </c>
      <c r="F18" s="100">
        <f>'Input data'!F20</f>
        <v>25.614070000000002</v>
      </c>
      <c r="G18" s="100">
        <f>'Input data'!G20</f>
        <v>25.90615</v>
      </c>
      <c r="H18" s="100">
        <f>'Input data'!H20</f>
        <v>26.090959999999999</v>
      </c>
      <c r="I18" s="100">
        <f>'Input data'!I20</f>
        <v>26.301199999999998</v>
      </c>
      <c r="J18" s="100">
        <f>'Input data'!J20</f>
        <v>26.42249</v>
      </c>
      <c r="K18" s="100">
        <f>'Input data'!K20</f>
        <v>26.510670000000001</v>
      </c>
      <c r="L18" s="100">
        <f>'Input data'!L20</f>
        <v>26.607600000000001</v>
      </c>
      <c r="M18" s="100">
        <f>'Input data'!M20</f>
        <v>26.704270000000001</v>
      </c>
      <c r="N18" s="100">
        <f>'Input data'!N20</f>
        <v>26.793779999999998</v>
      </c>
      <c r="O18" s="100">
        <f>'Input data'!O20</f>
        <v>26.842309999999998</v>
      </c>
      <c r="P18" s="100">
        <f>'Input data'!P20</f>
        <v>26.922160000000002</v>
      </c>
      <c r="Q18" s="100">
        <f>'Input data'!Q20</f>
        <v>26.971239999999998</v>
      </c>
      <c r="R18" s="100">
        <f>'Input data'!R20</f>
        <v>27.00421</v>
      </c>
      <c r="S18" s="100">
        <f>'Input data'!S20</f>
        <v>27.027639999999998</v>
      </c>
      <c r="T18" s="100">
        <f>'Input data'!T20</f>
        <v>27.036020000000001</v>
      </c>
      <c r="U18" s="100">
        <f>'Input data'!U20</f>
        <v>27.037079999999996</v>
      </c>
      <c r="V18" s="100">
        <f>'Input data'!V20</f>
        <v>27.02562</v>
      </c>
      <c r="W18" s="100">
        <f>'Input data'!W20</f>
        <v>27.02122</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61"/>
      <c r="B19" s="26" t="s">
        <v>58</v>
      </c>
      <c r="C19" s="1">
        <f>'Input data'!C26</f>
        <v>0.69878779999999996</v>
      </c>
      <c r="D19" s="100">
        <f>'Input data'!D26</f>
        <v>0.67838160000000003</v>
      </c>
      <c r="E19" s="100">
        <f>'Input data'!E26</f>
        <v>0.90806710000000002</v>
      </c>
      <c r="F19" s="100">
        <f>'Input data'!F26</f>
        <v>0.90100539999999996</v>
      </c>
      <c r="G19" s="100">
        <f>'Input data'!G26</f>
        <v>0.89394379999999996</v>
      </c>
      <c r="H19" s="100">
        <f>'Input data'!H26</f>
        <v>0.88688210000000001</v>
      </c>
      <c r="I19" s="100">
        <f>'Input data'!I26</f>
        <v>0.87982050000000001</v>
      </c>
      <c r="J19" s="100">
        <f>'Input data'!J26</f>
        <v>0.8727589</v>
      </c>
      <c r="K19" s="100">
        <f>'Input data'!K26</f>
        <v>0.8656973</v>
      </c>
      <c r="L19" s="100">
        <f>'Input data'!L26</f>
        <v>0.85863560000000005</v>
      </c>
      <c r="M19" s="100">
        <f>'Input data'!M26</f>
        <v>0.85157389999999999</v>
      </c>
      <c r="N19" s="100">
        <f>'Input data'!N26</f>
        <v>0.84451229999999999</v>
      </c>
      <c r="O19" s="100">
        <f>'Input data'!O26</f>
        <v>0.83745069999999999</v>
      </c>
      <c r="P19" s="100">
        <f>'Input data'!P26</f>
        <v>0.83038909999999999</v>
      </c>
      <c r="Q19" s="100">
        <f>'Input data'!Q26</f>
        <v>0.82332740000000004</v>
      </c>
      <c r="R19" s="100">
        <f>'Input data'!R26</f>
        <v>0.81626580000000004</v>
      </c>
      <c r="S19" s="100">
        <f>'Input data'!S26</f>
        <v>0.80920420000000004</v>
      </c>
      <c r="T19" s="100">
        <f>'Input data'!T26</f>
        <v>0.80214260000000004</v>
      </c>
      <c r="U19" s="100">
        <f>'Input data'!U26</f>
        <v>0.79508089999999998</v>
      </c>
      <c r="V19" s="100">
        <f>'Input data'!V26</f>
        <v>0.78801929999999998</v>
      </c>
      <c r="W19" s="100">
        <f>'Input data'!W26</f>
        <v>0.78095769999999998</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28" t="s">
        <v>85</v>
      </c>
    </row>
    <row r="22" spans="1:50" ht="10.5" customHeight="1" x14ac:dyDescent="0.2">
      <c r="B22" s="30" t="s">
        <v>86</v>
      </c>
    </row>
    <row r="23" spans="1:50" x14ac:dyDescent="0.2">
      <c r="B23" s="26" t="s">
        <v>61</v>
      </c>
      <c r="C23" s="34">
        <f>'Input data'!C31</f>
        <v>331.5462</v>
      </c>
      <c r="D23" s="99">
        <f>'Baseline NFPC'!D22</f>
        <v>349.04485699702803</v>
      </c>
      <c r="E23" s="99">
        <f>'Baseline NFPC'!E22</f>
        <v>345.71160461789975</v>
      </c>
      <c r="F23" s="99">
        <f>'Baseline NFPC'!F22</f>
        <v>343.56249568773626</v>
      </c>
      <c r="G23" s="34">
        <f>IF(AND(G50&gt;1,F50&gt;1),
G27*(1+('Baseline NFPC'!G$29+G51)/100)-F23*$C$47*(G12-F12)/100,
IF(G50=1,G27,F23*(1+G52/100)))</f>
        <v>343.78779984965831</v>
      </c>
      <c r="H23" s="34">
        <f>IF(AND(H50&gt;1,G50&gt;1),
H27*(1+('Baseline NFPC'!H$29+H51)/100)-G23*$C$47*(H12-G12)/100,
IF(H50=1,H27,G23*(1+H52/100)))</f>
        <v>346.87073120317223</v>
      </c>
      <c r="I23" s="34">
        <f>IF(AND(I50&gt;1,H50&gt;1),
I27*(1+I51/100)-H23*$C$47*(I12-H12)/100,
IF(I50=1,I27,H23*(1+I52/100)))</f>
        <v>350.31717286119243</v>
      </c>
      <c r="J23" s="34">
        <f t="shared" ref="J23:W23" si="2">IF(AND(J50&gt;1,I50&gt;1),
J27*(1+J51/100)-I23*$C$47*(J12-I12)/100,
IF(J50=1,J27,I23*(1+J52/100)))</f>
        <v>353.62352785907694</v>
      </c>
      <c r="K23" s="34">
        <f t="shared" si="2"/>
        <v>359.73421808673697</v>
      </c>
      <c r="L23" s="34">
        <f t="shared" si="2"/>
        <v>366.25889653340869</v>
      </c>
      <c r="M23" s="34">
        <f t="shared" si="2"/>
        <v>372.92328113935895</v>
      </c>
      <c r="N23" s="34">
        <f t="shared" si="2"/>
        <v>377.09427141112462</v>
      </c>
      <c r="O23" s="34">
        <f t="shared" si="2"/>
        <v>381.30710073436086</v>
      </c>
      <c r="P23" s="34">
        <f t="shared" si="2"/>
        <v>385.73730584502999</v>
      </c>
      <c r="Q23" s="34">
        <f t="shared" si="2"/>
        <v>390.53091349061594</v>
      </c>
      <c r="R23" s="34">
        <f t="shared" si="2"/>
        <v>395.69991817663163</v>
      </c>
      <c r="S23" s="34">
        <f t="shared" si="2"/>
        <v>401.25734941945848</v>
      </c>
      <c r="T23" s="34">
        <f t="shared" si="2"/>
        <v>407.14849345900365</v>
      </c>
      <c r="U23" s="34">
        <f t="shared" si="2"/>
        <v>413.39388263065905</v>
      </c>
      <c r="V23" s="34">
        <f t="shared" si="2"/>
        <v>420.00286023954129</v>
      </c>
      <c r="W23" s="34">
        <f t="shared" si="2"/>
        <v>426.65141731653256</v>
      </c>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row>
    <row r="24" spans="1:50" x14ac:dyDescent="0.2">
      <c r="A24" s="61"/>
      <c r="B24" s="62" t="s">
        <v>60</v>
      </c>
      <c r="C24" s="34">
        <f>+'Input data'!C30</f>
        <v>4.7953340000000004</v>
      </c>
      <c r="D24" s="99">
        <f>'Baseline NFPC'!D23</f>
        <v>5.2778939999999999</v>
      </c>
      <c r="E24" s="99">
        <f>'Baseline NFPC'!E23</f>
        <v>-0.95496389999999998</v>
      </c>
      <c r="F24" s="99">
        <f>'Baseline NFPC'!F23</f>
        <v>-0.62164790000000003</v>
      </c>
      <c r="G24" s="34">
        <f t="shared" ref="G24:S24" si="3">100*(G23/F23-1)</f>
        <v>6.5578799999999049E-2</v>
      </c>
      <c r="H24" s="34">
        <f t="shared" si="3"/>
        <v>0.89675414743108917</v>
      </c>
      <c r="I24" s="34">
        <f t="shared" si="3"/>
        <v>0.99358099372228725</v>
      </c>
      <c r="J24" s="34">
        <f t="shared" si="3"/>
        <v>0.94381756134878092</v>
      </c>
      <c r="K24" s="34">
        <f t="shared" si="3"/>
        <v>1.7280213974040892</v>
      </c>
      <c r="L24" s="34">
        <f t="shared" si="3"/>
        <v>1.8137497403982072</v>
      </c>
      <c r="M24" s="34">
        <f t="shared" si="3"/>
        <v>1.8195829968985722</v>
      </c>
      <c r="N24" s="34">
        <f t="shared" si="3"/>
        <v>1.1184580000000111</v>
      </c>
      <c r="O24" s="34">
        <f t="shared" si="3"/>
        <v>1.1171819999999943</v>
      </c>
      <c r="P24" s="34">
        <f t="shared" si="3"/>
        <v>1.1618469999999936</v>
      </c>
      <c r="Q24" s="34">
        <f t="shared" si="3"/>
        <v>1.2427130000000064</v>
      </c>
      <c r="R24" s="34">
        <f t="shared" si="3"/>
        <v>1.323584000000011</v>
      </c>
      <c r="S24" s="34">
        <f t="shared" si="3"/>
        <v>1.4044560000000095</v>
      </c>
      <c r="T24" s="34">
        <f>100*(T23/S23-1)</f>
        <v>1.468171000000007</v>
      </c>
      <c r="U24" s="34">
        <f t="shared" ref="U24:W24" si="4">100*(U23/T23-1)</f>
        <v>1.5339339999999924</v>
      </c>
      <c r="V24" s="34">
        <f t="shared" si="4"/>
        <v>1.598711999999991</v>
      </c>
      <c r="W24" s="34">
        <f t="shared" si="4"/>
        <v>1.5829789999999955</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row>
    <row r="26" spans="1:50" ht="14.4" x14ac:dyDescent="0.2">
      <c r="A26" s="223"/>
      <c r="B26" s="30" t="s">
        <v>87</v>
      </c>
      <c r="C26" s="222"/>
      <c r="D26" s="222"/>
      <c r="E26" s="222"/>
      <c r="F26" s="222"/>
    </row>
    <row r="27" spans="1:50" x14ac:dyDescent="0.2">
      <c r="B27" s="26" t="s">
        <v>61</v>
      </c>
      <c r="C27" s="34">
        <f>'Input data'!C34</f>
        <v>338.15530000000001</v>
      </c>
      <c r="D27" s="99">
        <f>+C27*(1+'Input data'!D33/100)</f>
        <v>342.225837660644</v>
      </c>
      <c r="E27" s="99">
        <f>+D27*(1+'Input data'!E33/100)</f>
        <v>345.81733013623199</v>
      </c>
      <c r="F27" s="99">
        <f>+E27*(1+'Input data'!F33/100)</f>
        <v>348.37401022216329</v>
      </c>
      <c r="G27" s="34">
        <f>+F27*(1+'Input data'!G33/100)</f>
        <v>350.82887192869305</v>
      </c>
      <c r="H27" s="34">
        <f>+G27*(1+'Input data'!H33/100)</f>
        <v>353.69561041475009</v>
      </c>
      <c r="I27" s="34">
        <f>+H27*(1+'Input data'!I33/100)</f>
        <v>357.46508247622813</v>
      </c>
      <c r="J27" s="34">
        <f>+I27*(1+'Input data'!J33/100)</f>
        <v>361.01090052490298</v>
      </c>
      <c r="K27" s="34">
        <f>+J27*(1+'Input data'!K33/100)</f>
        <v>364.70959077481382</v>
      </c>
      <c r="L27" s="34">
        <f>+K27*(1+'Input data'!L33/100)</f>
        <v>368.77430834076637</v>
      </c>
      <c r="M27" s="34">
        <f>+L27*(1+'Input data'!M33/100)</f>
        <v>372.92328113935895</v>
      </c>
      <c r="N27" s="34">
        <f>+M27*(1+'Input data'!N33/100)</f>
        <v>377.0942788695902</v>
      </c>
      <c r="O27" s="34">
        <f>+N27*(1+'Input data'!O33/100)</f>
        <v>381.30711581803666</v>
      </c>
      <c r="P27" s="34">
        <f>+O27*(1+'Input data'!P33/100)</f>
        <v>385.73731347781273</v>
      </c>
      <c r="Q27" s="34">
        <f>+P27*(1+'Input data'!Q33/100)</f>
        <v>390.53093279037171</v>
      </c>
      <c r="R27" s="34">
        <f>+Q27*(1+'Input data'!R33/100)</f>
        <v>395.6999494477638</v>
      </c>
      <c r="S27" s="34">
        <f>+R27*(1+'Input data'!S33/100)</f>
        <v>401.25739300077834</v>
      </c>
      <c r="T27" s="34">
        <f>+S27*(1+'Input data'!T33/100)</f>
        <v>407.14852162987609</v>
      </c>
      <c r="U27" s="34">
        <f>+T27*(1+'Input data'!U33/100)</f>
        <v>413.39391530513939</v>
      </c>
      <c r="V27" s="34">
        <f>+U27*(1+'Input data'!V33/100)</f>
        <v>420.00288103457507</v>
      </c>
      <c r="W27" s="34">
        <f>+V27*(1+'Input data'!W33/100)</f>
        <v>426.65142584066092</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x14ac:dyDescent="0.2">
      <c r="B30" s="26" t="s">
        <v>88</v>
      </c>
      <c r="C30" s="34">
        <f>100*(C23/C27-1)</f>
        <v>-1.9544570201916134</v>
      </c>
      <c r="D30" s="99">
        <f t="shared" ref="D30:W30" si="5">100*(D23/D27-1)</f>
        <v>1.9925495348325661</v>
      </c>
      <c r="E30" s="99">
        <f t="shared" si="5"/>
        <v>-3.0572648944626746E-2</v>
      </c>
      <c r="F30" s="99">
        <f t="shared" si="5"/>
        <v>-1.3811347555343301</v>
      </c>
      <c r="G30" s="34">
        <f t="shared" si="5"/>
        <v>-2.0069819340484241</v>
      </c>
      <c r="H30" s="34">
        <f t="shared" si="5"/>
        <v>-1.9295911542625221</v>
      </c>
      <c r="I30" s="34">
        <f t="shared" si="5"/>
        <v>-1.9996105816883603</v>
      </c>
      <c r="J30" s="34">
        <f t="shared" si="5"/>
        <v>-2.0463018305222791</v>
      </c>
      <c r="K30" s="34">
        <f t="shared" si="5"/>
        <v>-1.3642012203481713</v>
      </c>
      <c r="L30" s="34">
        <f t="shared" si="5"/>
        <v>-0.68210061017409673</v>
      </c>
      <c r="M30" s="34">
        <f>100*(M23/M27-1)</f>
        <v>0</v>
      </c>
      <c r="N30" s="34">
        <f t="shared" si="5"/>
        <v>-1.9778782056611988E-6</v>
      </c>
      <c r="O30" s="34">
        <f t="shared" si="5"/>
        <v>-3.9557813580337609E-6</v>
      </c>
      <c r="P30" s="34">
        <f t="shared" si="5"/>
        <v>-1.9787514626834479E-6</v>
      </c>
      <c r="Q30" s="34">
        <f t="shared" si="5"/>
        <v>-4.9419275560680376E-6</v>
      </c>
      <c r="R30" s="34">
        <f t="shared" si="5"/>
        <v>-7.902738485832117E-6</v>
      </c>
      <c r="S30" s="34">
        <f t="shared" si="5"/>
        <v>-1.0861188004529509E-5</v>
      </c>
      <c r="T30" s="34">
        <f t="shared" si="5"/>
        <v>-6.9190653873008046E-6</v>
      </c>
      <c r="U30" s="34">
        <f t="shared" si="5"/>
        <v>-7.9039577327577604E-6</v>
      </c>
      <c r="V30" s="34">
        <f t="shared" si="5"/>
        <v>-4.9511645561217676E-6</v>
      </c>
      <c r="W30" s="34">
        <f t="shared" si="5"/>
        <v>-1.9979139564973991E-6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ht="4.9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6">100*((1+C24/100)*(1+C42/100)-1)</f>
        <v>6.8138294147275458</v>
      </c>
      <c r="D33" s="2">
        <f t="shared" si="6"/>
        <v>10.283625195554279</v>
      </c>
      <c r="E33" s="2">
        <f t="shared" si="6"/>
        <v>5.6292074041030871</v>
      </c>
      <c r="F33" s="2">
        <f>100*((1+F24/100)*(1+F42/100)-1)</f>
        <v>3.584825074719511</v>
      </c>
      <c r="G33" s="1">
        <f>100*((1+G24/100)*(1+G42/100)-1)</f>
        <v>2.3540965989601759</v>
      </c>
      <c r="H33" s="1">
        <f t="shared" si="6"/>
        <v>2.7923569608136578</v>
      </c>
      <c r="I33" s="1">
        <f t="shared" si="6"/>
        <v>2.9504938464151254</v>
      </c>
      <c r="J33" s="1">
        <f t="shared" si="6"/>
        <v>2.9592277542402456</v>
      </c>
      <c r="K33" s="1">
        <f t="shared" si="6"/>
        <v>3.8190122662216996</v>
      </c>
      <c r="L33" s="1">
        <f t="shared" si="6"/>
        <v>3.9664767568154957</v>
      </c>
      <c r="M33" s="1">
        <f t="shared" si="6"/>
        <v>4.0324108121155389</v>
      </c>
      <c r="N33" s="1">
        <f t="shared" si="6"/>
        <v>3.3756128436494892</v>
      </c>
      <c r="O33" s="1">
        <f t="shared" si="6"/>
        <v>3.4338720689605085</v>
      </c>
      <c r="P33" s="1">
        <f t="shared" si="6"/>
        <v>3.5391504044999911</v>
      </c>
      <c r="Q33" s="1">
        <f t="shared" si="6"/>
        <v>3.6041992807250178</v>
      </c>
      <c r="R33" s="1">
        <f t="shared" si="6"/>
        <v>3.6692249696000045</v>
      </c>
      <c r="S33" s="1">
        <f t="shared" si="6"/>
        <v>3.7342233766000099</v>
      </c>
      <c r="T33" s="1">
        <f t="shared" si="6"/>
        <v>3.7816452988000071</v>
      </c>
      <c r="U33" s="1">
        <f>100*((1+U24/100)*(1+U42/100)-1)</f>
        <v>3.8311392567499825</v>
      </c>
      <c r="V33" s="1">
        <f t="shared" si="6"/>
        <v>3.8796030844000073</v>
      </c>
      <c r="W33" s="1">
        <f t="shared" si="6"/>
        <v>3.8457398572250057</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138</v>
      </c>
    </row>
    <row r="36" spans="2:51" x14ac:dyDescent="0.2">
      <c r="B36" s="26" t="s">
        <v>63</v>
      </c>
      <c r="C36" s="34">
        <f>'Input data'!C37</f>
        <v>1.419065</v>
      </c>
      <c r="D36" s="99">
        <f>'Input data'!D37</f>
        <v>1.2721899999999999</v>
      </c>
      <c r="E36" s="99">
        <f>'Input data'!E37</f>
        <v>1.6214710000000001</v>
      </c>
      <c r="F36" s="99">
        <f>'Input data'!F37</f>
        <v>1.9528080000000001</v>
      </c>
      <c r="G36" s="99">
        <f>'Input data'!G37</f>
        <v>1.9344650000000001</v>
      </c>
      <c r="H36" s="34">
        <f t="shared" ref="H36:W36" si="7">H101</f>
        <v>1.8809861130955123</v>
      </c>
      <c r="I36" s="34">
        <f t="shared" si="7"/>
        <v>2.0239034219102687</v>
      </c>
      <c r="J36" s="34">
        <f t="shared" si="7"/>
        <v>2.1462506647711721</v>
      </c>
      <c r="K36" s="34">
        <f t="shared" si="7"/>
        <v>2.2522010843711691</v>
      </c>
      <c r="L36" s="34">
        <f t="shared" si="7"/>
        <v>2.3505639958723141</v>
      </c>
      <c r="M36" s="34">
        <f t="shared" si="7"/>
        <v>2.4431330671669667</v>
      </c>
      <c r="N36" s="34">
        <f t="shared" si="7"/>
        <v>2.5303991888294619</v>
      </c>
      <c r="O36" s="34">
        <f t="shared" si="7"/>
        <v>2.6153459556829768</v>
      </c>
      <c r="P36" s="34">
        <f t="shared" si="7"/>
        <v>2.6979396293414264</v>
      </c>
      <c r="Q36" s="34">
        <f t="shared" si="7"/>
        <v>2.768492171816276</v>
      </c>
      <c r="R36" s="34">
        <f t="shared" si="7"/>
        <v>2.8349289419580836</v>
      </c>
      <c r="S36" s="34">
        <f t="shared" si="7"/>
        <v>2.8975480905735478</v>
      </c>
      <c r="T36" s="34">
        <f t="shared" si="7"/>
        <v>2.9566930009413497</v>
      </c>
      <c r="U36" s="34">
        <f t="shared" si="7"/>
        <v>3.012683331736179</v>
      </c>
      <c r="V36" s="34">
        <f t="shared" si="7"/>
        <v>3.0658699192091419</v>
      </c>
      <c r="W36" s="34">
        <f t="shared" si="7"/>
        <v>3.116570593354127</v>
      </c>
    </row>
    <row r="37" spans="2:51" x14ac:dyDescent="0.2">
      <c r="B37" s="32" t="s">
        <v>91</v>
      </c>
      <c r="C37" s="1"/>
      <c r="D37" s="2">
        <f>'Input data'!D$39</f>
        <v>1.71</v>
      </c>
      <c r="E37" s="2">
        <f>'Input data'!E$39</f>
        <v>3.08</v>
      </c>
      <c r="F37" s="165">
        <f>'Input data'!F$39</f>
        <v>2.8521350000000001</v>
      </c>
      <c r="G37" s="165">
        <f>'Input data'!G$39</f>
        <v>2.809685</v>
      </c>
      <c r="H37" s="165">
        <f>'Input data'!H$39</f>
        <v>2.9436909999999998</v>
      </c>
      <c r="I37" s="1">
        <f>'Baseline NFPC'!I36</f>
        <v>3.0060458749999999</v>
      </c>
      <c r="J37" s="1">
        <f>'Baseline NFPC'!J36</f>
        <v>3.0684007499999999</v>
      </c>
      <c r="K37" s="1">
        <f>'Baseline NFPC'!K36</f>
        <v>3.1307556249999999</v>
      </c>
      <c r="L37" s="1">
        <f>'Baseline NFPC'!L36</f>
        <v>3.1931105</v>
      </c>
      <c r="M37" s="1">
        <f>'Baseline NFPC'!M36</f>
        <v>3.255465375</v>
      </c>
      <c r="N37" s="1">
        <f>'Baseline NFPC'!N36</f>
        <v>3.31782025</v>
      </c>
      <c r="O37" s="1">
        <f>'Baseline NFPC'!O36</f>
        <v>3.3801751250000001</v>
      </c>
      <c r="P37" s="251">
        <f>'Baseline NFPC'!P36</f>
        <v>3.4425300000000001</v>
      </c>
      <c r="Q37" s="1">
        <f>'Baseline NFPC'!Q36</f>
        <v>3.4704035000000002</v>
      </c>
      <c r="R37" s="1">
        <f>'Baseline NFPC'!R36</f>
        <v>3.4982769999999999</v>
      </c>
      <c r="S37" s="1">
        <f>'Baseline NFPC'!S36</f>
        <v>3.5261505</v>
      </c>
      <c r="T37" s="1">
        <f>'Baseline NFPC'!T36</f>
        <v>3.5540240000000001</v>
      </c>
      <c r="U37" s="1">
        <f>'Baseline NFPC'!U36</f>
        <v>3.5818975000000002</v>
      </c>
      <c r="V37" s="1">
        <f>'Baseline NFPC'!V36</f>
        <v>3.6097710000000003</v>
      </c>
      <c r="W37" s="1">
        <f>'Baseline NFPC'!W36</f>
        <v>3.6376444999999999</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92</v>
      </c>
      <c r="C38" s="1"/>
      <c r="D38" s="2">
        <f>'Input data'!D$38</f>
        <v>0.35</v>
      </c>
      <c r="E38" s="2">
        <f>'Input data'!E$38</f>
        <v>3.43</v>
      </c>
      <c r="F38" s="165">
        <f>'Input data'!F$38</f>
        <v>3.5292500000000002</v>
      </c>
      <c r="G38" s="165">
        <f>'Input data'!G$38</f>
        <v>2.0662500000000001</v>
      </c>
      <c r="H38" s="165">
        <f>'Input data'!H$38</f>
        <v>1.9957499999999999</v>
      </c>
      <c r="I38" s="1">
        <f>'Baseline NFPC'!I37</f>
        <v>2.079285</v>
      </c>
      <c r="J38" s="1">
        <f>'Baseline NFPC'!J37</f>
        <v>2.16282</v>
      </c>
      <c r="K38" s="1">
        <f>'Baseline NFPC'!K37</f>
        <v>2.2463549999999999</v>
      </c>
      <c r="L38" s="1">
        <f>'Baseline NFPC'!L37</f>
        <v>2.3298899999999998</v>
      </c>
      <c r="M38" s="1">
        <f>'Baseline NFPC'!M37</f>
        <v>2.4134249999999997</v>
      </c>
      <c r="N38" s="1">
        <f>'Baseline NFPC'!N37</f>
        <v>2.4969599999999996</v>
      </c>
      <c r="O38" s="1">
        <f>'Baseline NFPC'!O37</f>
        <v>2.5804949999999995</v>
      </c>
      <c r="P38" s="251">
        <f>'Baseline NFPC'!P37</f>
        <v>2.6640299999999999</v>
      </c>
      <c r="Q38" s="1">
        <f>'Baseline NFPC'!Q37</f>
        <v>2.6308284999999998</v>
      </c>
      <c r="R38" s="1">
        <f>'Baseline NFPC'!R37</f>
        <v>2.5976270000000001</v>
      </c>
      <c r="S38" s="1">
        <f>'Baseline NFPC'!S37</f>
        <v>2.5644255</v>
      </c>
      <c r="T38" s="1">
        <f>'Baseline NFPC'!T37</f>
        <v>2.5312239999999999</v>
      </c>
      <c r="U38" s="1">
        <f>'Baseline NFPC'!U37</f>
        <v>2.4980224999999998</v>
      </c>
      <c r="V38" s="1">
        <f>'Baseline NFPC'!V37</f>
        <v>2.4648209999999997</v>
      </c>
      <c r="W38" s="1">
        <f>'Baseline NFPC'!W37</f>
        <v>2.4316195</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3.2" x14ac:dyDescent="0.25">
      <c r="B39" s="26" t="s">
        <v>93</v>
      </c>
      <c r="C39" s="34">
        <f>'Baseline NFPC'!C38</f>
        <v>7.7717170000000002E-2</v>
      </c>
      <c r="D39" s="34">
        <f>'Baseline NFPC'!D38</f>
        <v>0.11443643000000001</v>
      </c>
      <c r="E39" s="34">
        <f>'Baseline NFPC'!E38</f>
        <v>0.12146793</v>
      </c>
      <c r="F39" s="34">
        <f>'Baseline NFPC'!F38</f>
        <v>0.10811680999999999</v>
      </c>
      <c r="G39" s="34">
        <f>'Baseline NFPC'!G38</f>
        <v>0.10769854499999999</v>
      </c>
      <c r="H39" s="34">
        <f>'Baseline NFPC'!H38</f>
        <v>0.10728027999999999</v>
      </c>
      <c r="I39" s="34">
        <f>'Baseline NFPC'!I38</f>
        <v>0.10686201499999999</v>
      </c>
      <c r="J39" s="34">
        <f>'Baseline NFPC'!J38</f>
        <v>0.10644374999999999</v>
      </c>
      <c r="K39" s="34">
        <f>'Baseline NFPC'!K38</f>
        <v>0.106025485</v>
      </c>
      <c r="L39" s="34">
        <f>'Baseline NFPC'!L38</f>
        <v>0.10560722</v>
      </c>
      <c r="M39" s="34">
        <f>'Baseline NFPC'!M38</f>
        <v>0.105188955</v>
      </c>
      <c r="N39" s="34">
        <f>'Baseline NFPC'!N38</f>
        <v>0.10477069</v>
      </c>
      <c r="O39" s="34">
        <f>'Baseline NFPC'!O38</f>
        <v>0.104352425</v>
      </c>
      <c r="P39" s="34">
        <f>'Baseline NFPC'!P38</f>
        <v>0.10393416</v>
      </c>
      <c r="Q39" s="34">
        <f>'Baseline NFPC'!Q38</f>
        <v>0.10393416</v>
      </c>
      <c r="R39" s="34">
        <f>'Baseline NFPC'!R38</f>
        <v>0.10393416</v>
      </c>
      <c r="S39" s="34">
        <f>'Baseline NFPC'!S38</f>
        <v>0.10393416</v>
      </c>
      <c r="T39" s="34">
        <f>'Baseline NFPC'!T38</f>
        <v>0.10393416</v>
      </c>
      <c r="U39" s="34">
        <f>'Baseline NFPC'!U38</f>
        <v>0.10393416</v>
      </c>
      <c r="V39" s="34">
        <f>'Baseline NFPC'!V38</f>
        <v>0.10393416</v>
      </c>
      <c r="W39" s="34">
        <f>'Baseline NFPC'!W38</f>
        <v>0.10393416</v>
      </c>
    </row>
    <row r="40" spans="2:51" x14ac:dyDescent="0.2">
      <c r="C40" s="1"/>
      <c r="D40" s="1"/>
      <c r="E40" s="103"/>
      <c r="F40" s="103"/>
      <c r="G40" s="103"/>
      <c r="H40" s="103"/>
      <c r="I40" s="103"/>
      <c r="J40" s="103"/>
      <c r="K40" s="103"/>
      <c r="L40" s="103"/>
      <c r="M40" s="103"/>
      <c r="N40" s="103"/>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94</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139</v>
      </c>
      <c r="C42" s="1">
        <f>'Input data'!C42</f>
        <v>1.926131</v>
      </c>
      <c r="D42" s="2">
        <f>'Input data'!D42</f>
        <v>4.7547790000000001</v>
      </c>
      <c r="E42" s="2">
        <f>'Input data'!E42</f>
        <v>6.6476540000000002</v>
      </c>
      <c r="F42" s="2">
        <f>'Input data'!F42</f>
        <v>4.2327859999999999</v>
      </c>
      <c r="G42" s="2">
        <f>'Input data'!G42</f>
        <v>2.2870180000000002</v>
      </c>
      <c r="H42" s="2">
        <f>'Input data'!H42</f>
        <v>1.878755</v>
      </c>
      <c r="I42" s="1">
        <f>'Baseline NFPC'!I41</f>
        <v>1.9376606249999999</v>
      </c>
      <c r="J42" s="1">
        <f>'Baseline NFPC'!J41</f>
        <v>1.9965662499999999</v>
      </c>
      <c r="K42" s="1">
        <f>'Baseline NFPC'!K41</f>
        <v>2.0554718749999998</v>
      </c>
      <c r="L42" s="1">
        <f>'Baseline NFPC'!L41</f>
        <v>2.1143774999999998</v>
      </c>
      <c r="M42" s="1">
        <f>'Baseline NFPC'!M41</f>
        <v>2.1732831250000002</v>
      </c>
      <c r="N42" s="1">
        <f>'Baseline NFPC'!N41</f>
        <v>2.2321887500000002</v>
      </c>
      <c r="O42" s="1">
        <f>'Baseline NFPC'!O41</f>
        <v>2.2910943750000001</v>
      </c>
      <c r="P42" s="251">
        <f>'Baseline NFPC'!P41</f>
        <v>2.35</v>
      </c>
      <c r="Q42" s="1">
        <f>'Baseline NFPC'!Q41</f>
        <v>2.3325</v>
      </c>
      <c r="R42" s="1">
        <f>'Baseline NFPC'!R41</f>
        <v>2.3149999999999999</v>
      </c>
      <c r="S42" s="1">
        <f>'Baseline NFPC'!S41</f>
        <v>2.2974999999999999</v>
      </c>
      <c r="T42" s="1">
        <f>'Baseline NFPC'!T41</f>
        <v>2.2800000000000002</v>
      </c>
      <c r="U42" s="1">
        <f>'Baseline NFPC'!U41</f>
        <v>2.2625000000000002</v>
      </c>
      <c r="V42" s="1">
        <f>'Baseline NFPC'!V41</f>
        <v>2.2450000000000001</v>
      </c>
      <c r="W42" s="1">
        <f>'Baseline NFPC'!W41</f>
        <v>2.2275</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95</v>
      </c>
      <c r="C43" s="1">
        <f>'Baseline NFPC'!C42</f>
        <v>0.9999093</v>
      </c>
      <c r="D43" s="1">
        <f>'Baseline NFPC'!D42</f>
        <v>1.0003169999999999</v>
      </c>
      <c r="E43" s="1">
        <f>'Baseline NFPC'!E42</f>
        <v>0.99993010000000004</v>
      </c>
      <c r="F43" s="1">
        <f>'Baseline NFPC'!F42</f>
        <v>0.99998640000000005</v>
      </c>
      <c r="G43" s="1">
        <f>'Baseline NFPC'!G42</f>
        <v>1.000005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1"/>
      <c r="D44" s="1"/>
      <c r="E44" s="1"/>
      <c r="F44" s="1"/>
      <c r="G44" s="1"/>
      <c r="H44" s="1"/>
      <c r="I44" s="1"/>
      <c r="J44" s="1"/>
      <c r="K44" s="1"/>
      <c r="L44" s="1"/>
      <c r="M44" s="1"/>
      <c r="N44" s="1"/>
      <c r="O44" s="1"/>
      <c r="P44" s="1"/>
      <c r="Q44" s="1"/>
      <c r="R44" s="1"/>
      <c r="S44" s="1"/>
      <c r="T44" s="1"/>
      <c r="U44" s="1"/>
      <c r="V44" s="1"/>
      <c r="W44" s="1"/>
    </row>
    <row r="45" spans="2:51" s="67" customFormat="1" ht="13.2" x14ac:dyDescent="0.2">
      <c r="B45" s="75" t="s">
        <v>96</v>
      </c>
      <c r="C45" s="68"/>
    </row>
    <row r="46" spans="2:51" x14ac:dyDescent="0.2">
      <c r="C46" s="36"/>
    </row>
    <row r="47" spans="2:51" x14ac:dyDescent="0.2">
      <c r="B47" s="54" t="s">
        <v>68</v>
      </c>
      <c r="C47" s="55">
        <f>'Input data'!C49</f>
        <v>0.75</v>
      </c>
    </row>
    <row r="48" spans="2:51" x14ac:dyDescent="0.2">
      <c r="B48" s="56" t="s">
        <v>247</v>
      </c>
      <c r="C48" s="57">
        <f>'Input data'!C50</f>
        <v>0.57099999999999995</v>
      </c>
    </row>
    <row r="49" spans="2:48" x14ac:dyDescent="0.2">
      <c r="C49" s="58"/>
    </row>
    <row r="50" spans="2:48" outlineLevel="1" x14ac:dyDescent="0.2">
      <c r="B50" s="26" t="s">
        <v>97</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4</v>
      </c>
      <c r="J50" s="34">
        <f>IF(AND(ABS((J12-I12)-('Baseline NFPC'!J12-'Baseline NFPC'!I12))&gt;0.0001,ABS(J12-I12)&gt;0.0001,J$10&gt;$C$5),4,IF(I50=4,3,IF(I50=3,2,IF(I50=2,1,0))))</f>
        <v>4</v>
      </c>
      <c r="K50" s="34">
        <f>IF(AND(ABS((K12-J12)-('Baseline NFPC'!K12-'Baseline NFPC'!J12))&gt;0.0001,ABS(K12-J12)&gt;0.0001,K$10&gt;$C$5),4,IF(J50=4,3,IF(J50=3,2,IF(J50=2,1,0))))</f>
        <v>3</v>
      </c>
      <c r="L50" s="34">
        <f>IF(AND(ABS((L12-K12)-('Baseline NFPC'!L12-'Baseline NFPC'!K12))&gt;0.0001,ABS(L12-K12)&gt;0.0001,L$10&gt;$C$5),4,IF(K50=4,3,IF(K50=3,2,IF(K50=2,1,0))))</f>
        <v>2</v>
      </c>
      <c r="M50" s="34">
        <f>IF(AND(ABS((M12-L12)-('Baseline NFPC'!M12-'Baseline NFPC'!L12))&gt;0.0001,ABS(M12-L12)&gt;0.0001,M$10&gt;$C$5),4,IF(L50=4,3,IF(L50=3,2,IF(L50=2,1,0))))</f>
        <v>1</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f>IF(AND(ABS((V12-U12)-('Baseline NFPC'!V12-'Baseline NFPC'!U12))&gt;0.0001,ABS(V12-U12)&gt;0.0001,V$10&gt;$C$5),4,IF(U50=4,3,IF(U50=3,2,IF(U50=2,1,0))))</f>
        <v>0</v>
      </c>
      <c r="W50" s="34">
        <f>IF(AND(ABS((W12-V12)-('Baseline NFPC'!W12-'Baseline NFPC'!V12))&gt;0.0001,ABS(W12-V12)&gt;0.0001,W$10&gt;$C$5),4,IF(V50=4,3,IF(V50=3,2,IF(V50=2,1,0))))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98</v>
      </c>
      <c r="C51" s="34">
        <v>0</v>
      </c>
      <c r="D51" s="34">
        <v>0</v>
      </c>
      <c r="E51" s="34">
        <f>IF(D50=4,2/3*(D30-'Baseline NFPC'!D29),IF(D50=3,1/3*(C30-'Baseline NFPC'!C29),0))</f>
        <v>0</v>
      </c>
      <c r="F51" s="34">
        <f>IF(E50=4,2/3*(E30-'Baseline NFPC'!E29),IF(E50=3,1/3*(D30-'Baseline NFPC'!D29),0))</f>
        <v>0</v>
      </c>
      <c r="G51" s="34">
        <f>IF(F50=4,2/3*(F30-'Baseline NFPC'!F29),IF(F50=3,1/3*(E30-'Baseline NFPC'!E29),0))</f>
        <v>0</v>
      </c>
      <c r="H51" s="34">
        <f>IF(G50=4,2/3*(G30-'Baseline NFPC'!G29),IF(G50=3,1/3*(F30-'Baseline NFPC'!F29),0))</f>
        <v>-0.4798511079248039</v>
      </c>
      <c r="I51" s="34">
        <f>IF(H50=4,2/3*H30,IF(H50=3,1/3*G30,0))</f>
        <v>-1.2863941028416814</v>
      </c>
      <c r="J51" s="34">
        <f t="shared" ref="J51:W51" si="8">IF(I50=4,2/3*I30,IF(I50=3,1/3*H30,0))</f>
        <v>-1.3330737211255734</v>
      </c>
      <c r="K51" s="34">
        <f t="shared" si="8"/>
        <v>-1.3642012203481859</v>
      </c>
      <c r="L51" s="34">
        <f t="shared" si="8"/>
        <v>-0.68210061017409296</v>
      </c>
      <c r="M51" s="34">
        <f t="shared" si="8"/>
        <v>0</v>
      </c>
      <c r="N51" s="34">
        <f t="shared" si="8"/>
        <v>0</v>
      </c>
      <c r="O51" s="34">
        <f t="shared" si="8"/>
        <v>0</v>
      </c>
      <c r="P51" s="34">
        <f t="shared" si="8"/>
        <v>0</v>
      </c>
      <c r="Q51" s="34">
        <f t="shared" si="8"/>
        <v>0</v>
      </c>
      <c r="R51" s="34">
        <f t="shared" si="8"/>
        <v>0</v>
      </c>
      <c r="S51" s="34">
        <f t="shared" si="8"/>
        <v>0</v>
      </c>
      <c r="T51" s="34">
        <f t="shared" si="8"/>
        <v>0</v>
      </c>
      <c r="U51" s="34">
        <f t="shared" si="8"/>
        <v>0</v>
      </c>
      <c r="V51" s="34">
        <f t="shared" si="8"/>
        <v>0</v>
      </c>
      <c r="W51" s="34">
        <f t="shared" si="8"/>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99</v>
      </c>
      <c r="C52" s="34"/>
      <c r="D52" s="34">
        <f>'Input data'!D30-$C$47*((D12-C12)-('Input data'!D13-'Input data'!C13))</f>
        <v>5.2778939999999999</v>
      </c>
      <c r="E52" s="34">
        <f>'Input data'!E30-$C$47*((E12-D12)-('Input data'!E13-'Input data'!D13))</f>
        <v>-0.95496389999999998</v>
      </c>
      <c r="F52" s="34">
        <f>'Input data'!F30-$C$47*((F12-E12)-('Input data'!F13-'Input data'!E13))</f>
        <v>-0.62164790000000003</v>
      </c>
      <c r="G52" s="34">
        <f>'Input data'!G30-$C$47*(G12-F12)</f>
        <v>6.5578800000000048E-2</v>
      </c>
      <c r="H52" s="34">
        <f>'Input data'!H30-$C$47*(H12-G12)</f>
        <v>0.64577399999999996</v>
      </c>
      <c r="I52" s="34">
        <f>'Input data'!I30-$C$47*(I12-H12)</f>
        <v>0.58029199999999992</v>
      </c>
      <c r="J52" s="34">
        <f>'Input data'!J30-$C$47*(J12-I12)</f>
        <v>0.50570900000000008</v>
      </c>
      <c r="K52" s="34">
        <f>'Input data'!K30-$C$47*(K12-J12)</f>
        <v>1.2727729999999999</v>
      </c>
      <c r="L52" s="34">
        <f>'Input data'!L30-$C$47*(L12-K12)</f>
        <v>1.114511</v>
      </c>
      <c r="M52" s="34">
        <f>'Input data'!M30-$C$47*(M12-L12)</f>
        <v>1.125075</v>
      </c>
      <c r="N52" s="34">
        <f>'Input data'!N30-$C$47*(N12-M12)</f>
        <v>1.118458</v>
      </c>
      <c r="O52" s="34">
        <f>'Input data'!O30-$C$47*(O12-N12)</f>
        <v>1.1171819999999999</v>
      </c>
      <c r="P52" s="34">
        <f>'Input data'!P30-$C$47*(P12-O12)</f>
        <v>1.1618470000000001</v>
      </c>
      <c r="Q52" s="34">
        <f>'Input data'!Q30-$C$47*(Q12-P12)</f>
        <v>1.242713</v>
      </c>
      <c r="R52" s="34">
        <f>'Input data'!R30-$C$47*(R12-Q12)</f>
        <v>1.3235840000000001</v>
      </c>
      <c r="S52" s="34">
        <f>'Input data'!S30-$C$47*(S12-R12)</f>
        <v>1.4044559999999999</v>
      </c>
      <c r="T52" s="34">
        <f>'Input data'!T30-$C$47*(T12-S12)</f>
        <v>1.4681709999999999</v>
      </c>
      <c r="U52" s="34">
        <f>'Input data'!U30-$C$47*(U12-T12)</f>
        <v>1.5339339999999999</v>
      </c>
      <c r="V52" s="34">
        <f>'Input data'!V30-$C$47*(V12-U12)</f>
        <v>1.5987119999999999</v>
      </c>
      <c r="W52" s="34">
        <f>'Input data'!W30-$C$47*(W12-V12)</f>
        <v>1.5829789999999999</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3.2" outlineLevel="1" x14ac:dyDescent="0.2">
      <c r="B54" s="72" t="s">
        <v>100</v>
      </c>
      <c r="C54" s="69"/>
      <c r="E54" s="70"/>
      <c r="F54" s="69"/>
    </row>
    <row r="55" spans="2:48" outlineLevel="1" x14ac:dyDescent="0.2">
      <c r="B55" s="43"/>
      <c r="C55" s="29"/>
      <c r="E55" s="44"/>
      <c r="F55" s="29"/>
    </row>
    <row r="56" spans="2:48" outlineLevel="1" x14ac:dyDescent="0.2">
      <c r="B56" s="84"/>
      <c r="C56" s="85">
        <v>2021</v>
      </c>
      <c r="D56" s="85">
        <v>2022</v>
      </c>
      <c r="E56" s="85">
        <v>2023</v>
      </c>
      <c r="F56" s="85">
        <v>2024</v>
      </c>
      <c r="G56" s="85">
        <v>2025</v>
      </c>
      <c r="H56" s="85">
        <v>2026</v>
      </c>
      <c r="I56" s="85">
        <v>2027</v>
      </c>
      <c r="J56" s="85">
        <v>2028</v>
      </c>
      <c r="K56" s="85">
        <v>2029</v>
      </c>
      <c r="L56" s="85">
        <v>2030</v>
      </c>
      <c r="M56" s="85">
        <v>2031</v>
      </c>
      <c r="N56" s="85">
        <v>2032</v>
      </c>
      <c r="O56" s="85">
        <v>2033</v>
      </c>
      <c r="P56" s="85">
        <v>2034</v>
      </c>
      <c r="Q56" s="85">
        <v>2035</v>
      </c>
      <c r="R56" s="85">
        <v>2036</v>
      </c>
      <c r="S56" s="85">
        <v>2037</v>
      </c>
      <c r="T56" s="85">
        <v>2038</v>
      </c>
      <c r="U56" s="85">
        <v>2039</v>
      </c>
      <c r="V56" s="85">
        <v>2040</v>
      </c>
      <c r="W56" s="85">
        <v>2041</v>
      </c>
    </row>
    <row r="57" spans="2:48" ht="10.5" customHeight="1" outlineLevel="1" x14ac:dyDescent="0.2">
      <c r="B57" s="86" t="s">
        <v>101</v>
      </c>
      <c r="C57" s="45">
        <f>+'Input data'!C12</f>
        <v>82.394589999999994</v>
      </c>
      <c r="D57" s="45">
        <f>+C57+D58</f>
        <v>78.375620315610604</v>
      </c>
      <c r="E57" s="45">
        <f>+D57+E58</f>
        <v>78.551901298157986</v>
      </c>
      <c r="F57" s="45">
        <f>+E57+F58</f>
        <v>79.538050043568091</v>
      </c>
      <c r="G57" s="45">
        <f>+F57+G58</f>
        <v>80.81308351777497</v>
      </c>
      <c r="H57" s="45">
        <f t="shared" ref="H57:S57" si="9">+G57+H58</f>
        <v>80.673518010562546</v>
      </c>
      <c r="I57" s="45">
        <f t="shared" si="9"/>
        <v>79.484335796243897</v>
      </c>
      <c r="J57" s="45">
        <f t="shared" si="9"/>
        <v>77.440287313107248</v>
      </c>
      <c r="K57" s="45">
        <f t="shared" si="9"/>
        <v>74.560907903721599</v>
      </c>
      <c r="L57" s="45">
        <f t="shared" si="9"/>
        <v>71.405877847092583</v>
      </c>
      <c r="M57" s="45">
        <f t="shared" si="9"/>
        <v>68.033122681889225</v>
      </c>
      <c r="N57" s="45">
        <f t="shared" si="9"/>
        <v>65.291541962624549</v>
      </c>
      <c r="O57" s="45">
        <f t="shared" si="9"/>
        <v>62.645116436373293</v>
      </c>
      <c r="P57" s="45">
        <f t="shared" si="9"/>
        <v>60.093322914132514</v>
      </c>
      <c r="Q57" s="45">
        <f t="shared" si="9"/>
        <v>57.62190382259854</v>
      </c>
      <c r="R57" s="45">
        <f t="shared" si="9"/>
        <v>55.211529192724086</v>
      </c>
      <c r="S57" s="45">
        <f t="shared" si="9"/>
        <v>52.850057829371522</v>
      </c>
      <c r="T57" s="45">
        <f>+S57+T58</f>
        <v>50.529237044731246</v>
      </c>
      <c r="U57" s="45">
        <f>+T57+U58</f>
        <v>48.238339455034449</v>
      </c>
      <c r="V57" s="45">
        <f t="shared" ref="V57:W57" si="10">+U57+V58</f>
        <v>45.963470428247113</v>
      </c>
      <c r="W57" s="45">
        <f t="shared" si="10"/>
        <v>43.74639300194378</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7" t="s">
        <v>102</v>
      </c>
      <c r="C58" s="47"/>
      <c r="D58" s="47">
        <f>-D59+D67+D72</f>
        <v>-4.0189696843893961</v>
      </c>
      <c r="E58" s="47">
        <f>-E59+E67+E72</f>
        <v>0.17628098254738189</v>
      </c>
      <c r="F58" s="47">
        <f>-F59+F67+F72</f>
        <v>0.98614874541010267</v>
      </c>
      <c r="G58" s="47">
        <f>-G59+G67+G72</f>
        <v>1.2750334742068725</v>
      </c>
      <c r="H58" s="47">
        <f t="shared" ref="H58:S58" si="11">-H59+H67+H72</f>
        <v>-0.1395655072124222</v>
      </c>
      <c r="I58" s="47">
        <f t="shared" si="11"/>
        <v>-1.1891822143186457</v>
      </c>
      <c r="J58" s="47">
        <f t="shared" si="11"/>
        <v>-2.0440484831366503</v>
      </c>
      <c r="K58" s="47">
        <f t="shared" si="11"/>
        <v>-2.8793794093856482</v>
      </c>
      <c r="L58" s="47">
        <f t="shared" si="11"/>
        <v>-3.1550300566290139</v>
      </c>
      <c r="M58" s="47">
        <f t="shared" si="11"/>
        <v>-3.3727551652033627</v>
      </c>
      <c r="N58" s="47">
        <f t="shared" si="11"/>
        <v>-2.7415807192646726</v>
      </c>
      <c r="O58" s="47">
        <f t="shared" si="11"/>
        <v>-2.6464255262512539</v>
      </c>
      <c r="P58" s="47">
        <f t="shared" si="11"/>
        <v>-2.551793522240779</v>
      </c>
      <c r="Q58" s="47">
        <f t="shared" si="11"/>
        <v>-2.4714190915339707</v>
      </c>
      <c r="R58" s="47">
        <f t="shared" si="11"/>
        <v>-2.4103746298744553</v>
      </c>
      <c r="S58" s="47">
        <f t="shared" si="11"/>
        <v>-2.3614713633525666</v>
      </c>
      <c r="T58" s="47">
        <f>-T59+T67+T72</f>
        <v>-2.3208207846402722</v>
      </c>
      <c r="U58" s="47">
        <f t="shared" ref="U58:W58" si="12">-U59+U67+U72</f>
        <v>-2.2908975896967987</v>
      </c>
      <c r="V58" s="47">
        <f t="shared" si="12"/>
        <v>-2.2748690267873353</v>
      </c>
      <c r="W58" s="47">
        <f t="shared" si="12"/>
        <v>-2.2170774263033359</v>
      </c>
    </row>
    <row r="59" spans="2:48" outlineLevel="1" x14ac:dyDescent="0.2">
      <c r="B59" s="83" t="s">
        <v>103</v>
      </c>
      <c r="C59" s="48"/>
      <c r="D59" s="48">
        <f>D60+D61-D62-D63-D64-D65-D66</f>
        <v>-2.3562082156106046</v>
      </c>
      <c r="E59" s="48">
        <f>E60+E61-E62-E63-E64-E65-E66</f>
        <v>-1.4167519825473818</v>
      </c>
      <c r="F59" s="48">
        <f t="shared" ref="F59:R59" si="13">F60+F61-F62-F63-F64-F65-F66</f>
        <v>-2.1237579454101025</v>
      </c>
      <c r="G59" s="48">
        <f t="shared" si="13"/>
        <v>-1.5011166843416499</v>
      </c>
      <c r="H59" s="48">
        <f t="shared" si="13"/>
        <v>-0.47692654908390009</v>
      </c>
      <c r="I59" s="48">
        <f t="shared" si="13"/>
        <v>0.46309235785594649</v>
      </c>
      <c r="J59" s="48">
        <f t="shared" si="13"/>
        <v>1.4164316547717788</v>
      </c>
      <c r="K59" s="48">
        <f t="shared" si="13"/>
        <v>1.7106695031811929</v>
      </c>
      <c r="L59" s="48">
        <f t="shared" si="13"/>
        <v>1.996157251590589</v>
      </c>
      <c r="M59" s="48">
        <f t="shared" si="13"/>
        <v>2.2819049999999987</v>
      </c>
      <c r="N59" s="48">
        <f t="shared" si="13"/>
        <v>2.1853322706315459</v>
      </c>
      <c r="O59" s="48">
        <f t="shared" si="13"/>
        <v>2.1297395412488465</v>
      </c>
      <c r="P59" s="48">
        <f t="shared" si="13"/>
        <v>2.042829070132913</v>
      </c>
      <c r="Q59" s="48">
        <f t="shared" si="13"/>
        <v>1.9866856781593674</v>
      </c>
      <c r="R59" s="48">
        <f t="shared" si="13"/>
        <v>1.9466523875363237</v>
      </c>
      <c r="S59" s="48">
        <f>S60+S61-S62-S63-S64-S65-S66</f>
        <v>1.9161590982616512</v>
      </c>
      <c r="T59" s="48">
        <f>T60+T61-T62-T63-T64-T65-T66</f>
        <v>1.9007197492136629</v>
      </c>
      <c r="U59" s="48">
        <f>U60+U61-U62-U63-U64-U65-U66</f>
        <v>1.8925974868401383</v>
      </c>
      <c r="V59" s="48">
        <f t="shared" ref="V59:W59" si="14">V60+V61-V62-V63-V64-V65-V66</f>
        <v>1.8969975728850381</v>
      </c>
      <c r="W59" s="48">
        <f t="shared" si="14"/>
        <v>1.8943376591911312</v>
      </c>
    </row>
    <row r="60" spans="2:48" outlineLevel="1" x14ac:dyDescent="0.2">
      <c r="B60" s="78" t="s">
        <v>104</v>
      </c>
      <c r="C60" s="1"/>
      <c r="D60" s="1">
        <f>D12</f>
        <v>-3.493954</v>
      </c>
      <c r="E60" s="1">
        <f>E12</f>
        <v>-1.399295</v>
      </c>
      <c r="F60" s="1">
        <f>F12</f>
        <v>-1.3351299999999999</v>
      </c>
      <c r="G60" s="1">
        <f t="shared" ref="G60:W60" si="15">IF(G12="",F60,G12)</f>
        <v>-0.35512999999999995</v>
      </c>
      <c r="H60" s="1">
        <f t="shared" si="15"/>
        <v>0.62487000000000004</v>
      </c>
      <c r="I60" s="1">
        <f t="shared" si="15"/>
        <v>1.60487</v>
      </c>
      <c r="J60" s="1">
        <f t="shared" si="15"/>
        <v>2.58487</v>
      </c>
      <c r="K60" s="1">
        <f t="shared" si="15"/>
        <v>2.58487</v>
      </c>
      <c r="L60" s="1">
        <f t="shared" si="15"/>
        <v>2.58487</v>
      </c>
      <c r="M60" s="1">
        <f t="shared" si="15"/>
        <v>2.58487</v>
      </c>
      <c r="N60" s="1">
        <f t="shared" si="15"/>
        <v>2.58487</v>
      </c>
      <c r="O60" s="1">
        <f t="shared" si="15"/>
        <v>2.58487</v>
      </c>
      <c r="P60" s="1">
        <f t="shared" si="15"/>
        <v>2.58487</v>
      </c>
      <c r="Q60" s="1">
        <f t="shared" si="15"/>
        <v>2.58487</v>
      </c>
      <c r="R60" s="1">
        <f t="shared" si="15"/>
        <v>2.58487</v>
      </c>
      <c r="S60" s="1">
        <f t="shared" si="15"/>
        <v>2.58487</v>
      </c>
      <c r="T60" s="1">
        <f t="shared" si="15"/>
        <v>2.58487</v>
      </c>
      <c r="U60" s="1">
        <f t="shared" si="15"/>
        <v>2.58487</v>
      </c>
      <c r="V60" s="1">
        <f t="shared" si="15"/>
        <v>2.58487</v>
      </c>
      <c r="W60" s="1">
        <f t="shared" si="15"/>
        <v>2.58487</v>
      </c>
    </row>
    <row r="61" spans="2:48" outlineLevel="1" x14ac:dyDescent="0.2">
      <c r="B61" s="78"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8" t="s">
        <v>106</v>
      </c>
      <c r="C62" s="1"/>
      <c r="D62" s="1">
        <f t="shared" ref="D62:W62" si="16">-$C$48*D30</f>
        <v>-1.1377457843893952</v>
      </c>
      <c r="E62" s="1">
        <f t="shared" si="16"/>
        <v>1.7456982547381872E-2</v>
      </c>
      <c r="F62" s="1">
        <f t="shared" si="16"/>
        <v>0.78862794541010239</v>
      </c>
      <c r="G62" s="1">
        <f t="shared" si="16"/>
        <v>1.14598668434165</v>
      </c>
      <c r="H62" s="1">
        <f t="shared" si="16"/>
        <v>1.1017965490839001</v>
      </c>
      <c r="I62" s="1">
        <f t="shared" si="16"/>
        <v>1.1417776421440535</v>
      </c>
      <c r="J62" s="1">
        <f t="shared" si="16"/>
        <v>1.1684383452282212</v>
      </c>
      <c r="K62" s="1">
        <f t="shared" si="16"/>
        <v>0.7789588968188057</v>
      </c>
      <c r="L62" s="1">
        <f t="shared" si="16"/>
        <v>0.38947944840940918</v>
      </c>
      <c r="M62" s="1">
        <f>-$C$48*M30</f>
        <v>0</v>
      </c>
      <c r="N62" s="1">
        <f t="shared" si="16"/>
        <v>1.1293684554325443E-6</v>
      </c>
      <c r="O62" s="1">
        <f t="shared" si="16"/>
        <v>2.2587511554372772E-6</v>
      </c>
      <c r="P62" s="1">
        <f t="shared" si="16"/>
        <v>1.1298670851922486E-6</v>
      </c>
      <c r="Q62" s="1">
        <f t="shared" si="16"/>
        <v>2.8218406345148491E-6</v>
      </c>
      <c r="R62" s="1">
        <f t="shared" si="16"/>
        <v>4.5124636754101385E-6</v>
      </c>
      <c r="S62" s="1">
        <f t="shared" si="16"/>
        <v>6.2017383505863491E-6</v>
      </c>
      <c r="T62" s="1">
        <f t="shared" si="16"/>
        <v>3.9507863361487592E-6</v>
      </c>
      <c r="U62" s="1">
        <f>-$C$48*U30</f>
        <v>4.5131598654046808E-6</v>
      </c>
      <c r="V62" s="1">
        <f t="shared" si="16"/>
        <v>2.827114961545529E-6</v>
      </c>
      <c r="W62" s="1">
        <f t="shared" si="16"/>
        <v>1.1408088691600147E-6</v>
      </c>
    </row>
    <row r="63" spans="2:48" outlineLevel="1" x14ac:dyDescent="0.2">
      <c r="B63" s="78" t="s">
        <v>107</v>
      </c>
      <c r="C63" s="1"/>
      <c r="D63" s="1">
        <f t="shared" ref="D63:W63" si="17">-D14</f>
        <v>0</v>
      </c>
      <c r="E63" s="1">
        <f t="shared" si="17"/>
        <v>0</v>
      </c>
      <c r="F63" s="1">
        <f t="shared" si="17"/>
        <v>0</v>
      </c>
      <c r="G63" s="1">
        <f t="shared" si="17"/>
        <v>0</v>
      </c>
      <c r="H63" s="1">
        <f t="shared" si="17"/>
        <v>0</v>
      </c>
      <c r="I63" s="1">
        <f t="shared" si="17"/>
        <v>0</v>
      </c>
      <c r="J63" s="1">
        <f t="shared" si="17"/>
        <v>0</v>
      </c>
      <c r="K63" s="1">
        <f t="shared" si="17"/>
        <v>0</v>
      </c>
      <c r="L63" s="1">
        <f t="shared" si="17"/>
        <v>0</v>
      </c>
      <c r="M63" s="1">
        <f t="shared" si="17"/>
        <v>0</v>
      </c>
      <c r="N63" s="1">
        <f t="shared" si="17"/>
        <v>0</v>
      </c>
      <c r="O63" s="1">
        <f t="shared" si="17"/>
        <v>0</v>
      </c>
      <c r="P63" s="1">
        <f t="shared" si="17"/>
        <v>0</v>
      </c>
      <c r="Q63" s="1">
        <f t="shared" si="17"/>
        <v>0</v>
      </c>
      <c r="R63" s="1">
        <f t="shared" si="17"/>
        <v>0</v>
      </c>
      <c r="S63" s="1">
        <f t="shared" si="17"/>
        <v>0</v>
      </c>
      <c r="T63" s="1">
        <f t="shared" si="17"/>
        <v>0</v>
      </c>
      <c r="U63" s="1">
        <f t="shared" si="17"/>
        <v>0</v>
      </c>
      <c r="V63" s="1">
        <f t="shared" si="17"/>
        <v>0</v>
      </c>
      <c r="W63" s="1">
        <f t="shared" si="17"/>
        <v>0</v>
      </c>
    </row>
    <row r="64" spans="2:48" outlineLevel="1" x14ac:dyDescent="0.2">
      <c r="B64" s="78" t="s">
        <v>108</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8.8180000000001257E-2</v>
      </c>
      <c r="L64" s="1">
        <f>IF(L$56&lt;=$C$6,0,HLOOKUP(L$56,'Input data'!$C$9:$BB$26,12,FALSE)-HLOOKUP($C$6,'Input data'!$C$9:$BB$26,12,FALSE))</f>
        <v>0.18511000000000166</v>
      </c>
      <c r="M64" s="1">
        <f>IF(M$56&lt;=$C$6,0,HLOOKUP(M$56,'Input data'!$C$9:$BB$26,12,FALSE)-HLOOKUP($C$6,'Input data'!$C$9:$BB$26,12,FALSE))</f>
        <v>0.28178000000000125</v>
      </c>
      <c r="N64" s="1">
        <f>IF(N$56&lt;=$C$6,0,HLOOKUP(N$56,'Input data'!$C$9:$BB$26,12,FALSE)-HLOOKUP($C$6,'Input data'!$C$9:$BB$26,12,FALSE))</f>
        <v>0.37128999999999834</v>
      </c>
      <c r="O64" s="1">
        <f>IF(O$56&lt;=$C$6,0,HLOOKUP(O$56,'Input data'!$C$9:$BB$26,12,FALSE)-HLOOKUP($C$6,'Input data'!$C$9:$BB$26,12,FALSE))</f>
        <v>0.41981999999999786</v>
      </c>
      <c r="P64" s="1">
        <f>IF(P$56&lt;=$C$6,0,HLOOKUP(P$56,'Input data'!$C$9:$BB$26,12,FALSE)-HLOOKUP($C$6,'Input data'!$C$9:$BB$26,12,FALSE))</f>
        <v>0.49967000000000183</v>
      </c>
      <c r="Q64" s="1">
        <f>IF(Q$56&lt;=$C$6,0,HLOOKUP(Q$56,'Input data'!$C$9:$BB$26,12,FALSE)-HLOOKUP($C$6,'Input data'!$C$9:$BB$26,12,FALSE))</f>
        <v>0.54874999999999829</v>
      </c>
      <c r="R64" s="1">
        <f>IF(R$56&lt;=$C$6,0,HLOOKUP(R$56,'Input data'!$C$9:$BB$26,12,FALSE)-HLOOKUP($C$6,'Input data'!$C$9:$BB$26,12,FALSE))</f>
        <v>0.58172000000000068</v>
      </c>
      <c r="S64" s="1">
        <f>IF(S$56&lt;=$C$6,0,HLOOKUP(S$56,'Input data'!$C$9:$BB$26,12,FALSE)-HLOOKUP($C$6,'Input data'!$C$9:$BB$26,12,FALSE))</f>
        <v>0.6051499999999983</v>
      </c>
      <c r="T64" s="1">
        <f>IF(T$56&lt;=$C$6,0,HLOOKUP(T$56,'Input data'!$C$9:$BB$26,12,FALSE)-HLOOKUP($C$6,'Input data'!$C$9:$BB$26,12,FALSE))</f>
        <v>0.6135300000000008</v>
      </c>
      <c r="U64" s="1">
        <f>IF(U$56&lt;=$C$6,0,HLOOKUP(U$56,'Input data'!$C$9:$BB$26,12,FALSE)-HLOOKUP($C$6,'Input data'!$C$9:$BB$26,12,FALSE))</f>
        <v>0.61458999999999619</v>
      </c>
      <c r="V64" s="1">
        <f>IF(V$56&lt;=$C$6,0,HLOOKUP(V$56,'Input data'!$C$9:$BB$26,12,FALSE)-HLOOKUP($C$6,'Input data'!$C$9:$BB$26,12,FALSE))</f>
        <v>0.60313000000000017</v>
      </c>
      <c r="W64" s="1">
        <f>IF(W$56&lt;=$C$6,0,HLOOKUP(W$56,'Input data'!$C$9:$BB$26,12,FALSE)-HLOOKUP($C$6,'Input data'!$C$9:$BB$26,12,FALSE))</f>
        <v>0.59872999999999976</v>
      </c>
    </row>
    <row r="65" spans="2:23" outlineLevel="1" x14ac:dyDescent="0.2">
      <c r="B65" s="78" t="s">
        <v>109</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7.0616000000000012E-3</v>
      </c>
      <c r="L65" s="1">
        <f>IF(L$56&lt;=$C$6,0,-HLOOKUP(L$56,'Input data'!$C$9:$BB$26,18,FALSE)+HLOOKUP($C$6,'Input data'!$C$9:$BB$26,18,FALSE))</f>
        <v>1.412329999999995E-2</v>
      </c>
      <c r="M65" s="1">
        <f>IF(M$56&lt;=$C$6,0,-HLOOKUP(M$56,'Input data'!$C$9:$BB$26,18,FALSE)+HLOOKUP($C$6,'Input data'!$C$9:$BB$26,18,FALSE))</f>
        <v>2.1185000000000009E-2</v>
      </c>
      <c r="N65" s="1">
        <f>IF(N$56&lt;=$C$6,0,-HLOOKUP(N$56,'Input data'!$C$9:$BB$26,18,FALSE)+HLOOKUP($C$6,'Input data'!$C$9:$BB$26,18,FALSE))</f>
        <v>2.8246600000000011E-2</v>
      </c>
      <c r="O65" s="1">
        <f>IF(O$56&lt;=$C$6,0,-HLOOKUP(O$56,'Input data'!$C$9:$BB$26,18,FALSE)+HLOOKUP($C$6,'Input data'!$C$9:$BB$26,18,FALSE))</f>
        <v>3.5308200000000012E-2</v>
      </c>
      <c r="P65" s="1">
        <f>IF(P$56&lt;=$C$6,0,-HLOOKUP(P$56,'Input data'!$C$9:$BB$26,18,FALSE)+HLOOKUP($C$6,'Input data'!$C$9:$BB$26,18,FALSE))</f>
        <v>4.2369800000000013E-2</v>
      </c>
      <c r="Q65" s="1">
        <f>IF(Q$56&lt;=$C$6,0,-HLOOKUP(Q$56,'Input data'!$C$9:$BB$26,18,FALSE)+HLOOKUP($C$6,'Input data'!$C$9:$BB$26,18,FALSE))</f>
        <v>4.9431499999999962E-2</v>
      </c>
      <c r="R65" s="1">
        <f>IF(R$56&lt;=$C$6,0,-HLOOKUP(R$56,'Input data'!$C$9:$BB$26,18,FALSE)+HLOOKUP($C$6,'Input data'!$C$9:$BB$26,18,FALSE))</f>
        <v>5.6493099999999963E-2</v>
      </c>
      <c r="S65" s="1">
        <f>IF(S$56&lt;=$C$6,0,-HLOOKUP(S$56,'Input data'!$C$9:$BB$26,18,FALSE)+HLOOKUP($C$6,'Input data'!$C$9:$BB$26,18,FALSE))</f>
        <v>6.3554699999999964E-2</v>
      </c>
      <c r="T65" s="1">
        <f>IF(T$56&lt;=$C$6,0,-HLOOKUP(T$56,'Input data'!$C$9:$BB$26,18,FALSE)+HLOOKUP($C$6,'Input data'!$C$9:$BB$26,18,FALSE))</f>
        <v>7.0616299999999965E-2</v>
      </c>
      <c r="U65" s="263">
        <f>IF(U$56&lt;=$C$6,0,-HLOOKUP(U$56,'Input data'!$C$9:$BB$26,18,FALSE)+HLOOKUP($C$6,'Input data'!$C$9:$BB$26,18,FALSE))</f>
        <v>7.7678000000000025E-2</v>
      </c>
      <c r="V65" s="263">
        <f>IF(V$56&lt;=$C$6,0,-HLOOKUP(V$56,'Input data'!$C$9:$BB$26,18,FALSE)+HLOOKUP($C$6,'Input data'!$C$9:$BB$26,18,FALSE))</f>
        <v>8.4739600000000026E-2</v>
      </c>
      <c r="W65" s="263">
        <f>IF(W$56&lt;=$C$6,0,-HLOOKUP(W$56,'Input data'!$C$9:$BB$26,18,FALSE)+HLOOKUP($C$6,'Input data'!$C$9:$BB$26,18,FALSE))</f>
        <v>9.1801200000000027E-2</v>
      </c>
    </row>
    <row r="66" spans="2:23" outlineLevel="1" x14ac:dyDescent="0.2">
      <c r="B66" s="78"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264">
        <v>0</v>
      </c>
      <c r="V66" s="264">
        <v>0</v>
      </c>
      <c r="W66" s="264">
        <v>0</v>
      </c>
    </row>
    <row r="67" spans="2:23" outlineLevel="1" x14ac:dyDescent="0.2">
      <c r="B67" s="83" t="s">
        <v>111</v>
      </c>
      <c r="C67" s="48"/>
      <c r="D67" s="48">
        <f t="shared" ref="D67:O67" si="18">SUM(D68:D71)</f>
        <v>-6.7322810000000004</v>
      </c>
      <c r="E67" s="48">
        <f t="shared" si="18"/>
        <v>-2.9737779999999998</v>
      </c>
      <c r="F67" s="48">
        <f t="shared" si="18"/>
        <v>-1.2376339999999999</v>
      </c>
      <c r="G67" s="48">
        <f t="shared" si="18"/>
        <v>-0.32608321013477748</v>
      </c>
      <c r="H67" s="48">
        <f t="shared" si="18"/>
        <v>-0.71649965629632228</v>
      </c>
      <c r="I67" s="48">
        <f t="shared" si="18"/>
        <v>-0.7260898564626993</v>
      </c>
      <c r="J67" s="48">
        <f t="shared" si="18"/>
        <v>-0.62761682836487154</v>
      </c>
      <c r="K67" s="48">
        <f t="shared" si="18"/>
        <v>-1.1687099062044555</v>
      </c>
      <c r="L67" s="48">
        <f t="shared" si="18"/>
        <v>-1.1588728050384249</v>
      </c>
      <c r="M67" s="48">
        <f t="shared" si="18"/>
        <v>-1.0908501652033638</v>
      </c>
      <c r="N67" s="48">
        <f t="shared" si="18"/>
        <v>-0.5562484486331265</v>
      </c>
      <c r="O67" s="48">
        <f t="shared" si="18"/>
        <v>-0.51668598500240726</v>
      </c>
      <c r="P67" s="48">
        <f t="shared" ref="P67:W67" si="19">SUM(P68:P71)</f>
        <v>-0.50896445210786601</v>
      </c>
      <c r="Q67" s="48">
        <f t="shared" si="19"/>
        <v>-0.48473341337460341</v>
      </c>
      <c r="R67" s="48">
        <f t="shared" si="19"/>
        <v>-0.46372224233813153</v>
      </c>
      <c r="S67" s="48">
        <f t="shared" si="19"/>
        <v>-0.44531226509091559</v>
      </c>
      <c r="T67" s="48">
        <f t="shared" si="19"/>
        <v>-0.42010103542660937</v>
      </c>
      <c r="U67" s="48">
        <f t="shared" si="19"/>
        <v>-0.3983001028566604</v>
      </c>
      <c r="V67" s="48">
        <f t="shared" si="19"/>
        <v>-0.37787145390229726</v>
      </c>
      <c r="W67" s="48">
        <f t="shared" si="19"/>
        <v>-0.32273976711220465</v>
      </c>
    </row>
    <row r="68" spans="2:23" outlineLevel="1" x14ac:dyDescent="0.2">
      <c r="B68" s="78" t="s">
        <v>112</v>
      </c>
      <c r="C68" s="34"/>
      <c r="D68" s="34">
        <f t="shared" ref="D68:E68" si="20">C57*D36/100*(1/(1+D33/100))</f>
        <v>0.95047268591534773</v>
      </c>
      <c r="E68" s="34">
        <f t="shared" si="20"/>
        <v>1.2031122695315895</v>
      </c>
      <c r="F68" s="34">
        <f>E57*F36/100*(1/(1+F33/100))</f>
        <v>1.4808808255417976</v>
      </c>
      <c r="G68" s="34">
        <f>F57*G36/100*(1/(1+G33/100))</f>
        <v>1.5032478336494259</v>
      </c>
      <c r="H68" s="34">
        <f t="shared" ref="H68:W68" si="21">G57*H36/100*(1/(1+H33/100))</f>
        <v>1.4787897889267285</v>
      </c>
      <c r="I68" s="34">
        <f t="shared" si="21"/>
        <v>1.5859604267920924</v>
      </c>
      <c r="J68" s="34">
        <f>I57*J36/100*(1/(1+J33/100))</f>
        <v>1.6569015935976448</v>
      </c>
      <c r="K68" s="34">
        <f t="shared" si="21"/>
        <v>1.6799533655103076</v>
      </c>
      <c r="L68" s="34">
        <f t="shared" si="21"/>
        <v>1.6857374712041526</v>
      </c>
      <c r="M68" s="34">
        <f t="shared" si="21"/>
        <v>1.6769202981692344</v>
      </c>
      <c r="N68" s="34">
        <f t="shared" si="21"/>
        <v>1.6652956506111125</v>
      </c>
      <c r="O68" s="34">
        <f t="shared" si="21"/>
        <v>1.6509095791986585</v>
      </c>
      <c r="P68" s="34">
        <f t="shared" si="21"/>
        <v>1.6323558920283925</v>
      </c>
      <c r="Q68" s="34">
        <f t="shared" si="21"/>
        <v>1.6058026143845245</v>
      </c>
      <c r="R68" s="34">
        <f t="shared" si="21"/>
        <v>1.5757231992938281</v>
      </c>
      <c r="S68" s="34">
        <f t="shared" si="21"/>
        <v>1.5421917259575364</v>
      </c>
      <c r="T68" s="34">
        <f t="shared" si="21"/>
        <v>1.5056746848978233</v>
      </c>
      <c r="U68" s="34">
        <f t="shared" si="21"/>
        <v>1.4661169211827929</v>
      </c>
      <c r="V68" s="34">
        <f t="shared" si="21"/>
        <v>1.4236911722470684</v>
      </c>
      <c r="W68" s="34">
        <f t="shared" si="21"/>
        <v>1.3794345391744114</v>
      </c>
    </row>
    <row r="69" spans="2:23" outlineLevel="1" x14ac:dyDescent="0.2">
      <c r="B69" s="78" t="s">
        <v>113</v>
      </c>
      <c r="C69" s="34"/>
      <c r="D69" s="34">
        <f t="shared" ref="D69:W69" si="22">-C57*(D24/100)*(1/(1+D33/100))</f>
        <v>-3.9431956595763977</v>
      </c>
      <c r="E69" s="34">
        <f t="shared" si="22"/>
        <v>0.7085718986338565</v>
      </c>
      <c r="F69" s="34">
        <f t="shared" si="22"/>
        <v>0.47141677796707349</v>
      </c>
      <c r="G69" s="34">
        <f t="shared" si="22"/>
        <v>-5.0960440759242234E-2</v>
      </c>
      <c r="H69" s="34">
        <f t="shared" si="22"/>
        <v>-0.70500832896444232</v>
      </c>
      <c r="I69" s="34">
        <f t="shared" si="22"/>
        <v>-0.7785846497403538</v>
      </c>
      <c r="J69" s="34">
        <f t="shared" si="22"/>
        <v>-0.72862543370765498</v>
      </c>
      <c r="K69" s="34">
        <f t="shared" si="22"/>
        <v>-1.2889592241064753</v>
      </c>
      <c r="L69" s="34">
        <f t="shared" si="22"/>
        <v>-1.3007541620416063</v>
      </c>
      <c r="M69" s="34">
        <f t="shared" si="22"/>
        <v>-1.2489273313471523</v>
      </c>
      <c r="N69" s="34">
        <f t="shared" si="22"/>
        <v>-0.73607486558388668</v>
      </c>
      <c r="O69" s="34">
        <f t="shared" si="22"/>
        <v>-0.70520936685283186</v>
      </c>
      <c r="P69" s="34">
        <f t="shared" si="22"/>
        <v>-0.70296153978376941</v>
      </c>
      <c r="Q69" s="34">
        <f t="shared" si="22"/>
        <v>-0.72080817299926092</v>
      </c>
      <c r="R69" s="34">
        <f t="shared" si="22"/>
        <v>-0.73568052593713884</v>
      </c>
      <c r="S69" s="34">
        <f t="shared" si="22"/>
        <v>-0.74750801538645062</v>
      </c>
      <c r="T69" s="34">
        <f t="shared" si="22"/>
        <v>-0.74765554188322125</v>
      </c>
      <c r="U69" s="34">
        <f t="shared" si="22"/>
        <v>-0.74648622033619483</v>
      </c>
      <c r="V69" s="34">
        <f t="shared" si="22"/>
        <v>-0.74239032357660106</v>
      </c>
      <c r="W69" s="34">
        <f t="shared" si="22"/>
        <v>-0.70064702273844703</v>
      </c>
    </row>
    <row r="70" spans="2:23" outlineLevel="1" x14ac:dyDescent="0.2">
      <c r="B70" s="78" t="s">
        <v>114</v>
      </c>
      <c r="C70" s="34"/>
      <c r="D70" s="34">
        <f t="shared" ref="D70:W70" si="23">-C57*D42/100*(1/(1+D42/100))</f>
        <v>-3.7398586487935788</v>
      </c>
      <c r="E70" s="34">
        <f t="shared" si="23"/>
        <v>-4.8853770931852853</v>
      </c>
      <c r="F70" s="34">
        <f t="shared" si="23"/>
        <v>-3.1899117432035724</v>
      </c>
      <c r="G70" s="34">
        <f t="shared" si="23"/>
        <v>-1.7783777031660166</v>
      </c>
      <c r="H70" s="34">
        <f t="shared" si="23"/>
        <v>-1.4902811162586085</v>
      </c>
      <c r="I70" s="34">
        <f t="shared" si="23"/>
        <v>-1.5334656335144379</v>
      </c>
      <c r="J70" s="34">
        <f t="shared" si="23"/>
        <v>-1.5558929882548613</v>
      </c>
      <c r="K70" s="34">
        <f t="shared" si="23"/>
        <v>-1.5597040476082877</v>
      </c>
      <c r="L70" s="34">
        <f t="shared" si="23"/>
        <v>-1.5438561142009712</v>
      </c>
      <c r="M70" s="34">
        <f t="shared" si="23"/>
        <v>-1.5188431320254459</v>
      </c>
      <c r="N70" s="34">
        <f t="shared" si="23"/>
        <v>-1.4854692336603523</v>
      </c>
      <c r="O70" s="34">
        <f t="shared" si="23"/>
        <v>-1.4623861973482339</v>
      </c>
      <c r="P70" s="34">
        <f t="shared" si="23"/>
        <v>-1.4383588043524891</v>
      </c>
      <c r="Q70" s="34">
        <f t="shared" si="23"/>
        <v>-1.369727854759867</v>
      </c>
      <c r="R70" s="34">
        <f t="shared" si="23"/>
        <v>-1.3037649156948208</v>
      </c>
      <c r="S70" s="34">
        <f t="shared" si="23"/>
        <v>-1.2399959756620014</v>
      </c>
      <c r="T70" s="34">
        <f t="shared" si="23"/>
        <v>-1.1781201784412114</v>
      </c>
      <c r="U70" s="34">
        <f t="shared" si="23"/>
        <v>-1.1179308037032585</v>
      </c>
      <c r="V70" s="34">
        <f t="shared" si="23"/>
        <v>-1.0591723025727646</v>
      </c>
      <c r="W70" s="34">
        <f t="shared" si="23"/>
        <v>-1.001527283548169</v>
      </c>
    </row>
    <row r="71" spans="2:23" outlineLevel="1" x14ac:dyDescent="0.2">
      <c r="B71" s="78" t="s">
        <v>115</v>
      </c>
      <c r="C71" s="49"/>
      <c r="D71" s="49">
        <f>'Baseline NFPC'!D70</f>
        <v>3.0062245462847415E-4</v>
      </c>
      <c r="E71" s="49">
        <f>'Baseline NFPC'!E70</f>
        <v>-8.5074980160637637E-5</v>
      </c>
      <c r="F71" s="49">
        <f>'Baseline NFPC'!F70</f>
        <v>-1.9860305298546876E-5</v>
      </c>
      <c r="G71" s="49">
        <f>'Baseline NFPC'!G70</f>
        <v>7.1001410555382449E-6</v>
      </c>
      <c r="H71" s="49">
        <v>0</v>
      </c>
      <c r="I71" s="49">
        <v>0</v>
      </c>
      <c r="J71" s="49">
        <v>0</v>
      </c>
      <c r="K71" s="49">
        <v>0</v>
      </c>
      <c r="L71" s="49">
        <v>0</v>
      </c>
      <c r="M71" s="49">
        <v>0</v>
      </c>
      <c r="N71" s="49">
        <v>0</v>
      </c>
      <c r="O71" s="49">
        <v>0</v>
      </c>
      <c r="P71" s="49">
        <v>0</v>
      </c>
      <c r="Q71" s="49">
        <v>0</v>
      </c>
      <c r="R71" s="49">
        <v>0</v>
      </c>
      <c r="S71" s="49">
        <v>0</v>
      </c>
      <c r="T71" s="49">
        <v>0</v>
      </c>
      <c r="U71" s="49">
        <v>0</v>
      </c>
      <c r="V71" s="49">
        <v>0</v>
      </c>
      <c r="W71" s="49">
        <v>0</v>
      </c>
    </row>
    <row r="72" spans="2:23" outlineLevel="1" x14ac:dyDescent="0.2">
      <c r="B72" s="83" t="s">
        <v>116</v>
      </c>
      <c r="C72" s="50"/>
      <c r="D72" s="50">
        <f>'Input data'!D16</f>
        <v>0.35710310000000001</v>
      </c>
      <c r="E72" s="50">
        <f>'Input data'!E16</f>
        <v>1.7333069999999999</v>
      </c>
      <c r="F72" s="50">
        <f>'Input data'!F16</f>
        <v>0.1000248</v>
      </c>
      <c r="G72" s="50">
        <f>'Input data'!G16</f>
        <v>0.1</v>
      </c>
      <c r="H72" s="50">
        <f>'Input data'!H16</f>
        <v>0.1000076</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8" t="s">
        <v>117</v>
      </c>
      <c r="C73" s="34"/>
      <c r="D73" s="34">
        <f t="shared" ref="D73:W73" si="24">D15</f>
        <v>0.33345029999999998</v>
      </c>
      <c r="E73" s="34">
        <f t="shared" si="24"/>
        <v>1.738494</v>
      </c>
      <c r="F73" s="34">
        <f t="shared" si="24"/>
        <v>0.1010605</v>
      </c>
      <c r="G73" s="34">
        <f t="shared" si="24"/>
        <v>9.9622799999999997E-2</v>
      </c>
      <c r="H73" s="34">
        <f t="shared" si="24"/>
        <v>0.1</v>
      </c>
      <c r="I73" s="34">
        <f t="shared" si="24"/>
        <v>0</v>
      </c>
      <c r="J73" s="34">
        <f t="shared" si="24"/>
        <v>0</v>
      </c>
      <c r="K73" s="34">
        <f t="shared" si="24"/>
        <v>0</v>
      </c>
      <c r="L73" s="34">
        <f t="shared" si="24"/>
        <v>0</v>
      </c>
      <c r="M73" s="34">
        <f t="shared" si="24"/>
        <v>0</v>
      </c>
      <c r="N73" s="34">
        <f t="shared" si="24"/>
        <v>0</v>
      </c>
      <c r="O73" s="34">
        <f t="shared" si="24"/>
        <v>0</v>
      </c>
      <c r="P73" s="34">
        <f t="shared" si="24"/>
        <v>0</v>
      </c>
      <c r="Q73" s="34">
        <f t="shared" si="24"/>
        <v>0</v>
      </c>
      <c r="R73" s="34">
        <f t="shared" si="24"/>
        <v>0</v>
      </c>
      <c r="S73" s="34">
        <f t="shared" si="24"/>
        <v>0</v>
      </c>
      <c r="T73" s="34">
        <f t="shared" si="24"/>
        <v>0</v>
      </c>
      <c r="U73" s="34">
        <f t="shared" si="24"/>
        <v>0</v>
      </c>
      <c r="V73" s="34">
        <f t="shared" si="24"/>
        <v>0</v>
      </c>
      <c r="W73" s="34">
        <f t="shared" si="24"/>
        <v>0</v>
      </c>
    </row>
    <row r="74" spans="2:23" outlineLevel="1" x14ac:dyDescent="0.2">
      <c r="B74" s="88" t="s">
        <v>118</v>
      </c>
      <c r="C74" s="49"/>
      <c r="D74" s="49">
        <f>+D72-D73</f>
        <v>2.3652800000000029E-2</v>
      </c>
      <c r="E74" s="49">
        <f t="shared" ref="E74:W74" si="25">+E72-E73</f>
        <v>-5.1870000000000527E-3</v>
      </c>
      <c r="F74" s="49">
        <f t="shared" si="25"/>
        <v>-1.0357000000000005E-3</v>
      </c>
      <c r="G74" s="49">
        <f t="shared" si="25"/>
        <v>3.7720000000000808E-4</v>
      </c>
      <c r="H74" s="49">
        <f t="shared" si="25"/>
        <v>7.5999999999964984E-6</v>
      </c>
      <c r="I74" s="49">
        <f t="shared" si="25"/>
        <v>0</v>
      </c>
      <c r="J74" s="49">
        <f t="shared" si="25"/>
        <v>0</v>
      </c>
      <c r="K74" s="49">
        <f t="shared" si="25"/>
        <v>0</v>
      </c>
      <c r="L74" s="49">
        <f t="shared" si="25"/>
        <v>0</v>
      </c>
      <c r="M74" s="49">
        <f t="shared" si="25"/>
        <v>0</v>
      </c>
      <c r="N74" s="49">
        <f t="shared" si="25"/>
        <v>0</v>
      </c>
      <c r="O74" s="49">
        <f t="shared" si="25"/>
        <v>0</v>
      </c>
      <c r="P74" s="49">
        <f t="shared" si="25"/>
        <v>0</v>
      </c>
      <c r="Q74" s="49">
        <f t="shared" si="25"/>
        <v>0</v>
      </c>
      <c r="R74" s="49">
        <f t="shared" si="25"/>
        <v>0</v>
      </c>
      <c r="S74" s="49">
        <f t="shared" si="25"/>
        <v>0</v>
      </c>
      <c r="T74" s="49">
        <f t="shared" si="25"/>
        <v>0</v>
      </c>
      <c r="U74" s="49">
        <f t="shared" si="25"/>
        <v>0</v>
      </c>
      <c r="V74" s="49">
        <f t="shared" si="25"/>
        <v>0</v>
      </c>
      <c r="W74" s="49">
        <f t="shared" si="25"/>
        <v>0</v>
      </c>
    </row>
    <row r="75" spans="2:23" ht="10.5" customHeight="1" outlineLevel="1" x14ac:dyDescent="0.2"/>
    <row r="76" spans="2:23" ht="10.5" customHeight="1" outlineLevel="1" x14ac:dyDescent="0.2">
      <c r="B76" s="90" t="s">
        <v>119</v>
      </c>
    </row>
    <row r="77" spans="2:23" x14ac:dyDescent="0.2">
      <c r="B77" s="76" t="s">
        <v>41</v>
      </c>
      <c r="C77" s="76"/>
      <c r="D77" s="77">
        <f>D59-D68</f>
        <v>-3.3066809015259522</v>
      </c>
      <c r="E77" s="77">
        <f t="shared" ref="E77:W77" si="26">E59-E68</f>
        <v>-2.6198642520789712</v>
      </c>
      <c r="F77" s="77">
        <f t="shared" si="26"/>
        <v>-3.6046387709519001</v>
      </c>
      <c r="G77" s="77">
        <f>G59-G68</f>
        <v>-3.0043645179910756</v>
      </c>
      <c r="H77" s="77">
        <f t="shared" si="26"/>
        <v>-1.9557163380106286</v>
      </c>
      <c r="I77" s="77">
        <f t="shared" si="26"/>
        <v>-1.1228680689361459</v>
      </c>
      <c r="J77" s="77">
        <f t="shared" si="26"/>
        <v>-0.24046993882586598</v>
      </c>
      <c r="K77" s="77">
        <f t="shared" si="26"/>
        <v>3.0716137670885324E-2</v>
      </c>
      <c r="L77" s="77">
        <f t="shared" si="26"/>
        <v>0.31041978038643636</v>
      </c>
      <c r="M77" s="77">
        <f t="shared" si="26"/>
        <v>0.60498470183076436</v>
      </c>
      <c r="N77" s="77">
        <f t="shared" si="26"/>
        <v>0.52003662002043338</v>
      </c>
      <c r="O77" s="77">
        <f t="shared" si="26"/>
        <v>0.47882996205018791</v>
      </c>
      <c r="P77" s="77">
        <f t="shared" si="26"/>
        <v>0.41047317810452055</v>
      </c>
      <c r="Q77" s="77">
        <f t="shared" si="26"/>
        <v>0.38088306377484282</v>
      </c>
      <c r="R77" s="77">
        <f t="shared" si="26"/>
        <v>0.37092918824249566</v>
      </c>
      <c r="S77" s="77">
        <f t="shared" si="26"/>
        <v>0.37396737230411481</v>
      </c>
      <c r="T77" s="77">
        <f t="shared" si="26"/>
        <v>0.39504506431583963</v>
      </c>
      <c r="U77" s="77">
        <f t="shared" si="26"/>
        <v>0.42648056565734538</v>
      </c>
      <c r="V77" s="77">
        <f t="shared" si="26"/>
        <v>0.47330640063796969</v>
      </c>
      <c r="W77" s="77">
        <f t="shared" si="26"/>
        <v>0.51490312001671978</v>
      </c>
    </row>
    <row r="78" spans="2:23" x14ac:dyDescent="0.2">
      <c r="B78" s="26" t="s">
        <v>42</v>
      </c>
      <c r="D78" s="34">
        <f>D60-D68-D64-D65-D66</f>
        <v>-4.4444266859153476</v>
      </c>
      <c r="E78" s="34">
        <f t="shared" ref="E78:W78" si="27">E60-E68-E64-E65-E66</f>
        <v>-2.6024072695315894</v>
      </c>
      <c r="F78" s="34">
        <f t="shared" si="27"/>
        <v>-2.8160108255417975</v>
      </c>
      <c r="G78" s="34">
        <f t="shared" si="27"/>
        <v>-1.8583778336494259</v>
      </c>
      <c r="H78" s="34">
        <f t="shared" si="27"/>
        <v>-0.85391978892672848</v>
      </c>
      <c r="I78" s="34">
        <f t="shared" si="27"/>
        <v>1.8909573207907648E-2</v>
      </c>
      <c r="J78" s="34">
        <f t="shared" si="27"/>
        <v>0.92796840640235523</v>
      </c>
      <c r="K78" s="34">
        <f t="shared" si="27"/>
        <v>0.80967503448969114</v>
      </c>
      <c r="L78" s="34">
        <f t="shared" si="27"/>
        <v>0.69989922879584576</v>
      </c>
      <c r="M78" s="34">
        <f t="shared" si="27"/>
        <v>0.60498470183076436</v>
      </c>
      <c r="N78" s="34">
        <f t="shared" si="27"/>
        <v>0.52003774938888914</v>
      </c>
      <c r="O78" s="34">
        <f t="shared" si="27"/>
        <v>0.47883222080134358</v>
      </c>
      <c r="P78" s="34">
        <f t="shared" si="27"/>
        <v>0.41047430797160567</v>
      </c>
      <c r="Q78" s="34">
        <f t="shared" si="27"/>
        <v>0.3808858856154772</v>
      </c>
      <c r="R78" s="34">
        <f t="shared" si="27"/>
        <v>0.37093370070617127</v>
      </c>
      <c r="S78" s="34">
        <f t="shared" si="27"/>
        <v>0.37397357404246534</v>
      </c>
      <c r="T78" s="34">
        <f t="shared" si="27"/>
        <v>0.39504901510217594</v>
      </c>
      <c r="U78" s="34">
        <f t="shared" si="27"/>
        <v>0.42648507881721087</v>
      </c>
      <c r="V78" s="34">
        <f t="shared" si="27"/>
        <v>0.47330922775293138</v>
      </c>
      <c r="W78" s="34">
        <f t="shared" si="27"/>
        <v>0.51490426082558882</v>
      </c>
    </row>
    <row r="79" spans="2:23" x14ac:dyDescent="0.2">
      <c r="B79" s="35" t="s">
        <v>120</v>
      </c>
      <c r="C79" s="35"/>
      <c r="D79" s="284">
        <f>'Input data'!D45</f>
        <v>13.450314009208972</v>
      </c>
      <c r="E79" s="284">
        <f>'Input data'!E45</f>
        <v>7.2602828363552012</v>
      </c>
      <c r="F79" s="284">
        <f>'Input data'!F45</f>
        <v>6.7125514564843431</v>
      </c>
      <c r="G79" s="49">
        <f>'Input data'!G33+G42-(G$12-F$12)/'Input data'!$C$64*100</f>
        <v>1.1375734655168435</v>
      </c>
      <c r="H79" s="49">
        <f>'Input data'!H33+H42-(H$12-G$12)/'Input data'!$C$64*100</f>
        <v>0.84178076551684322</v>
      </c>
      <c r="I79" s="49">
        <f>'Input data'!I33+I42-(I$12-H$12)/'Input data'!$C$64*100</f>
        <v>1.1492923905168433</v>
      </c>
      <c r="J79" s="49">
        <f>'Input data'!J33+J42-(J$12-I$12)/'Input data'!$C$64*100</f>
        <v>1.134393115516843</v>
      </c>
      <c r="K79" s="49">
        <f>'Input data'!K33+K42-(K$12-J$12)/'Input data'!$C$64*100</f>
        <v>3.0800088749999999</v>
      </c>
      <c r="L79" s="49">
        <f>'Input data'!L33+L42-(L$12-K$12)/'Input data'!$C$64*100</f>
        <v>3.2288854999999996</v>
      </c>
      <c r="M79" s="49">
        <f>'Input data'!M33+M42-(M$12-L$12)/'Input data'!$C$64*100</f>
        <v>3.2983541250000004</v>
      </c>
      <c r="N79" s="49">
        <f>'Input data'!N33+N42-(N$12-M$12)/'Input data'!$C$64*100</f>
        <v>3.3506487500000004</v>
      </c>
      <c r="O79" s="49">
        <f>'Input data'!O33+O42-(O$12-N$12)/'Input data'!$C$64*100</f>
        <v>3.4082783750000001</v>
      </c>
      <c r="P79" s="49">
        <f>'Input data'!P33+P42-(P$12-O$12)/'Input data'!$C$64*100</f>
        <v>3.5118450000000001</v>
      </c>
      <c r="Q79" s="49">
        <f>'Input data'!Q33+Q42-(Q$12-P$12)/'Input data'!$C$64*100</f>
        <v>3.5752160000000002</v>
      </c>
      <c r="R79" s="49">
        <f>'Input data'!R33+R42-(R$12-Q$12)/'Input data'!$C$64*100</f>
        <v>3.6385870000000002</v>
      </c>
      <c r="S79" s="49">
        <f>'Input data'!S33+S42-(S$12-R$12)/'Input data'!$C$64*100</f>
        <v>3.7019589999999996</v>
      </c>
      <c r="T79" s="49">
        <f>'Input data'!T33+T42-(T$12-S$12)/'Input data'!$C$64*100</f>
        <v>3.7481670000000005</v>
      </c>
      <c r="U79" s="49">
        <f>'Input data'!U33+U42-(U$12-T$12)/'Input data'!$C$64*100</f>
        <v>3.7964350000000002</v>
      </c>
      <c r="V79" s="49">
        <f>'Input data'!V33+V42-(V$12-U$12)/'Input data'!$C$64*100</f>
        <v>3.843709</v>
      </c>
      <c r="W79" s="49">
        <f>'Input data'!W33+W42-(W$12-V$12)/'Input data'!$C$64*100</f>
        <v>3.810476</v>
      </c>
    </row>
    <row r="80" spans="2:23" x14ac:dyDescent="0.2">
      <c r="D80" s="34"/>
      <c r="E80" s="34"/>
      <c r="F80" s="34"/>
      <c r="G80" s="34"/>
      <c r="H80" s="34"/>
      <c r="I80" s="34"/>
      <c r="J80" s="34"/>
      <c r="K80" s="34"/>
      <c r="L80" s="34"/>
      <c r="M80" s="34"/>
      <c r="N80" s="34"/>
      <c r="O80" s="34"/>
      <c r="P80" s="34"/>
      <c r="Q80" s="34"/>
      <c r="R80" s="34"/>
      <c r="S80" s="34"/>
      <c r="T80" s="34"/>
      <c r="U80" s="34"/>
      <c r="V80" s="34"/>
      <c r="W80" s="34"/>
    </row>
    <row r="81" spans="2:23" x14ac:dyDescent="0.2">
      <c r="B81" s="112" t="s">
        <v>140</v>
      </c>
      <c r="C81" s="51"/>
      <c r="D81" s="214">
        <f ca="1">AVERAGE(OFFSET($G$79,0,0,1,'Criteria results'!F5))</f>
        <v>1.0657599342668433</v>
      </c>
      <c r="E81" s="34"/>
      <c r="F81" s="34"/>
      <c r="G81" s="34"/>
      <c r="H81" s="34"/>
      <c r="I81" s="36"/>
      <c r="J81" s="36"/>
      <c r="K81" s="36"/>
      <c r="L81" s="36"/>
      <c r="M81" s="34"/>
      <c r="N81" s="34"/>
      <c r="O81" s="34"/>
      <c r="P81" s="34"/>
      <c r="Q81" s="34"/>
      <c r="R81" s="34"/>
      <c r="S81" s="34"/>
      <c r="T81" s="34"/>
      <c r="U81" s="34"/>
      <c r="V81" s="34"/>
      <c r="W81" s="34"/>
    </row>
    <row r="82" spans="2:23" x14ac:dyDescent="0.2">
      <c r="B82" s="86"/>
      <c r="C82" s="76"/>
      <c r="D82" s="329"/>
      <c r="E82" s="34"/>
      <c r="F82" s="34"/>
      <c r="G82" s="34"/>
      <c r="H82" s="34"/>
      <c r="I82" s="36"/>
      <c r="J82" s="36"/>
      <c r="K82" s="36"/>
      <c r="L82" s="36"/>
      <c r="M82" s="34"/>
      <c r="N82" s="34"/>
      <c r="O82" s="34"/>
      <c r="P82" s="34"/>
      <c r="Q82" s="34"/>
      <c r="R82" s="34"/>
      <c r="S82" s="34"/>
      <c r="T82" s="34"/>
      <c r="U82" s="34"/>
      <c r="V82" s="34"/>
      <c r="W82" s="34"/>
    </row>
    <row r="83" spans="2:23" x14ac:dyDescent="0.2">
      <c r="B83" s="51" t="s">
        <v>213</v>
      </c>
      <c r="C83" s="51"/>
      <c r="D83" s="51"/>
      <c r="E83" s="51"/>
      <c r="F83" s="51"/>
      <c r="G83" s="257"/>
      <c r="H83" s="257"/>
      <c r="I83" s="257"/>
      <c r="J83" s="257"/>
      <c r="K83" s="257">
        <f t="shared" ref="K83:W83" si="28">IF(K57&lt;J57,0,1)</f>
        <v>0</v>
      </c>
      <c r="L83" s="257">
        <f t="shared" si="28"/>
        <v>0</v>
      </c>
      <c r="M83" s="257">
        <f t="shared" si="28"/>
        <v>0</v>
      </c>
      <c r="N83" s="257">
        <f t="shared" si="28"/>
        <v>0</v>
      </c>
      <c r="O83" s="257">
        <f t="shared" si="28"/>
        <v>0</v>
      </c>
      <c r="P83" s="257">
        <f t="shared" si="28"/>
        <v>0</v>
      </c>
      <c r="Q83" s="257">
        <f t="shared" si="28"/>
        <v>0</v>
      </c>
      <c r="R83" s="257">
        <f t="shared" si="28"/>
        <v>0</v>
      </c>
      <c r="S83" s="257">
        <f t="shared" si="28"/>
        <v>0</v>
      </c>
      <c r="T83" s="257">
        <f t="shared" si="28"/>
        <v>0</v>
      </c>
      <c r="U83" s="77">
        <f t="shared" si="28"/>
        <v>0</v>
      </c>
      <c r="V83" s="77">
        <f t="shared" si="28"/>
        <v>0</v>
      </c>
      <c r="W83" s="77">
        <f t="shared" si="28"/>
        <v>0</v>
      </c>
    </row>
    <row r="84" spans="2:23" x14ac:dyDescent="0.2">
      <c r="B84" s="76"/>
      <c r="C84" s="76"/>
      <c r="D84" s="77"/>
      <c r="E84" s="34"/>
      <c r="F84" s="34"/>
      <c r="G84" s="34"/>
      <c r="H84" s="34"/>
      <c r="I84" s="34"/>
      <c r="J84" s="34"/>
      <c r="K84" s="34"/>
      <c r="L84" s="34"/>
      <c r="M84" s="34"/>
      <c r="N84" s="34"/>
      <c r="O84" s="34"/>
      <c r="P84" s="34"/>
      <c r="Q84" s="34"/>
      <c r="R84" s="34"/>
      <c r="S84" s="34"/>
      <c r="T84" s="34"/>
      <c r="U84" s="34"/>
      <c r="V84" s="34"/>
      <c r="W84" s="34"/>
    </row>
    <row r="85" spans="2:23" s="92" customFormat="1" ht="13.2" outlineLevel="1" x14ac:dyDescent="0.25">
      <c r="B85" s="93" t="s">
        <v>121</v>
      </c>
      <c r="C85" s="94"/>
      <c r="E85" s="95"/>
      <c r="F85" s="94"/>
    </row>
    <row r="86" spans="2:23" x14ac:dyDescent="0.2">
      <c r="C86" s="34"/>
      <c r="D86" s="34"/>
      <c r="E86" s="34"/>
      <c r="F86" s="34"/>
      <c r="G86" s="34"/>
      <c r="H86" s="34"/>
      <c r="I86" s="34"/>
      <c r="J86" s="34"/>
      <c r="K86" s="34"/>
      <c r="L86" s="34"/>
      <c r="M86" s="34"/>
      <c r="N86" s="34"/>
      <c r="O86" s="34"/>
      <c r="P86" s="34"/>
      <c r="Q86" s="34"/>
      <c r="R86" s="34"/>
      <c r="S86" s="34"/>
      <c r="T86" s="34"/>
      <c r="U86" s="34"/>
      <c r="V86" s="34"/>
      <c r="W86" s="34"/>
    </row>
    <row r="87" spans="2:23" x14ac:dyDescent="0.2">
      <c r="B87" s="26" t="s">
        <v>122</v>
      </c>
      <c r="D87" s="29"/>
      <c r="E87" s="29"/>
      <c r="F87" s="29">
        <f t="shared" ref="F87:W87" si="29">IF((F92-E92*F43/((1+F24/100)*(1+F42/100)))&gt;0,1,0)</f>
        <v>1</v>
      </c>
      <c r="G87" s="29">
        <f t="shared" si="29"/>
        <v>1</v>
      </c>
      <c r="H87" s="29">
        <f t="shared" si="29"/>
        <v>1</v>
      </c>
      <c r="I87" s="29">
        <f t="shared" si="29"/>
        <v>1</v>
      </c>
      <c r="J87" s="29">
        <f t="shared" si="29"/>
        <v>1</v>
      </c>
      <c r="K87" s="29">
        <f t="shared" si="29"/>
        <v>0</v>
      </c>
      <c r="L87" s="29">
        <f t="shared" si="29"/>
        <v>0</v>
      </c>
      <c r="M87" s="29">
        <f t="shared" si="29"/>
        <v>0</v>
      </c>
      <c r="N87" s="29">
        <f t="shared" si="29"/>
        <v>0</v>
      </c>
      <c r="O87" s="29">
        <f t="shared" si="29"/>
        <v>0</v>
      </c>
      <c r="P87" s="29">
        <f t="shared" si="29"/>
        <v>0</v>
      </c>
      <c r="Q87" s="29">
        <f t="shared" si="29"/>
        <v>0</v>
      </c>
      <c r="R87" s="29">
        <f t="shared" si="29"/>
        <v>0</v>
      </c>
      <c r="S87" s="29">
        <f t="shared" si="29"/>
        <v>0</v>
      </c>
      <c r="T87" s="29">
        <f t="shared" si="29"/>
        <v>0</v>
      </c>
      <c r="U87" s="29">
        <f t="shared" si="29"/>
        <v>0</v>
      </c>
      <c r="V87" s="29">
        <f t="shared" si="29"/>
        <v>0</v>
      </c>
      <c r="W87" s="29">
        <f t="shared" si="29"/>
        <v>0</v>
      </c>
    </row>
    <row r="88" spans="2:23" x14ac:dyDescent="0.2">
      <c r="B88" s="26" t="s">
        <v>123</v>
      </c>
      <c r="D88" s="29"/>
      <c r="E88" s="29"/>
      <c r="F88" s="29">
        <f t="shared" ref="F88:W88" si="30">IF(AND(F87=0,ABS(F92-E92*F43/((1+F24/100)*(1+F42/100)))&lt;((E98*E92*F43/((1+F24/100)*(1+F42/100))+(F39*E92*E99*F43/((1+F24/100)*(1+F42/100)))))),1,0)</f>
        <v>0</v>
      </c>
      <c r="G88" s="29">
        <f t="shared" si="30"/>
        <v>0</v>
      </c>
      <c r="H88" s="29">
        <f t="shared" si="30"/>
        <v>0</v>
      </c>
      <c r="I88" s="29">
        <f t="shared" si="30"/>
        <v>0</v>
      </c>
      <c r="J88" s="29">
        <f t="shared" si="30"/>
        <v>0</v>
      </c>
      <c r="K88" s="29">
        <f t="shared" si="30"/>
        <v>1</v>
      </c>
      <c r="L88" s="29">
        <f t="shared" si="30"/>
        <v>1</v>
      </c>
      <c r="M88" s="29">
        <f t="shared" si="30"/>
        <v>1</v>
      </c>
      <c r="N88" s="29">
        <f t="shared" si="30"/>
        <v>1</v>
      </c>
      <c r="O88" s="29">
        <f t="shared" si="30"/>
        <v>1</v>
      </c>
      <c r="P88" s="29">
        <f t="shared" si="30"/>
        <v>1</v>
      </c>
      <c r="Q88" s="29">
        <f t="shared" si="30"/>
        <v>1</v>
      </c>
      <c r="R88" s="29">
        <f t="shared" si="30"/>
        <v>1</v>
      </c>
      <c r="S88" s="29">
        <f t="shared" si="30"/>
        <v>1</v>
      </c>
      <c r="T88" s="29">
        <f t="shared" si="30"/>
        <v>1</v>
      </c>
      <c r="U88" s="29">
        <f t="shared" si="30"/>
        <v>1</v>
      </c>
      <c r="V88" s="29">
        <f t="shared" si="30"/>
        <v>1</v>
      </c>
      <c r="W88" s="29">
        <f t="shared" si="30"/>
        <v>1</v>
      </c>
    </row>
    <row r="90" spans="2:23" x14ac:dyDescent="0.2">
      <c r="H90" s="38"/>
      <c r="I90" s="38"/>
      <c r="J90" s="38"/>
      <c r="K90" s="38"/>
      <c r="L90" s="38"/>
      <c r="M90" s="38"/>
      <c r="N90" s="38"/>
      <c r="O90" s="38"/>
      <c r="P90" s="38"/>
      <c r="Q90" s="38"/>
      <c r="R90" s="38"/>
      <c r="S90" s="38"/>
      <c r="T90" s="38"/>
    </row>
    <row r="91" spans="2:23" x14ac:dyDescent="0.2">
      <c r="B91" s="51"/>
      <c r="C91" s="85">
        <v>2021</v>
      </c>
      <c r="D91" s="85">
        <v>2022</v>
      </c>
      <c r="E91" s="85">
        <v>2023</v>
      </c>
      <c r="F91" s="85">
        <v>2024</v>
      </c>
      <c r="G91" s="85">
        <v>2025</v>
      </c>
      <c r="H91" s="85">
        <v>2026</v>
      </c>
      <c r="I91" s="85">
        <v>2027</v>
      </c>
      <c r="J91" s="85">
        <v>2028</v>
      </c>
      <c r="K91" s="85">
        <v>2029</v>
      </c>
      <c r="L91" s="85">
        <v>2030</v>
      </c>
      <c r="M91" s="85">
        <v>2031</v>
      </c>
      <c r="N91" s="85">
        <v>2032</v>
      </c>
      <c r="O91" s="85">
        <v>2033</v>
      </c>
      <c r="P91" s="85">
        <v>2034</v>
      </c>
      <c r="Q91" s="85">
        <v>2035</v>
      </c>
      <c r="R91" s="85">
        <v>2036</v>
      </c>
      <c r="S91" s="85">
        <v>2037</v>
      </c>
      <c r="T91" s="85">
        <v>2038</v>
      </c>
      <c r="U91" s="85">
        <v>2039</v>
      </c>
      <c r="V91" s="85">
        <v>2040</v>
      </c>
      <c r="W91" s="85">
        <v>2041</v>
      </c>
    </row>
    <row r="92" spans="2:23" x14ac:dyDescent="0.2">
      <c r="B92" s="105" t="s">
        <v>101</v>
      </c>
      <c r="C92" s="109">
        <f>C57</f>
        <v>82.394589999999994</v>
      </c>
      <c r="D92" s="109">
        <f>D57</f>
        <v>78.375620315610604</v>
      </c>
      <c r="E92" s="109">
        <f>E57</f>
        <v>78.551901298157986</v>
      </c>
      <c r="F92" s="109">
        <f>F57</f>
        <v>79.538050043568091</v>
      </c>
      <c r="G92" s="109">
        <f>G57</f>
        <v>80.81308351777497</v>
      </c>
      <c r="H92" s="109">
        <f>G92*(1+H106/100)*H43-H60-H61+H62+H63+H64+H65+H66+H73</f>
        <v>80.673510410562542</v>
      </c>
      <c r="I92" s="109">
        <f t="shared" ref="I92:W92" si="31">H92*(1+I106/100)*I43-I60-I61+I62+I63+I64+I65+I66+I73</f>
        <v>79.48432826464655</v>
      </c>
      <c r="J92" s="109">
        <f t="shared" si="31"/>
        <v>77.440279840980196</v>
      </c>
      <c r="K92" s="109">
        <f t="shared" si="31"/>
        <v>74.56090054436207</v>
      </c>
      <c r="L92" s="109">
        <f t="shared" si="31"/>
        <v>71.405870602116863</v>
      </c>
      <c r="M92" s="109">
        <f t="shared" si="31"/>
        <v>68.033115547593226</v>
      </c>
      <c r="N92" s="109">
        <f t="shared" si="31"/>
        <v>65.291534886659576</v>
      </c>
      <c r="O92" s="109">
        <f t="shared" si="31"/>
        <v>62.645109416404111</v>
      </c>
      <c r="P92" s="109">
        <f t="shared" si="31"/>
        <v>60.093315951197539</v>
      </c>
      <c r="Q92" s="109">
        <f t="shared" si="31"/>
        <v>57.621896915828984</v>
      </c>
      <c r="R92" s="109">
        <f t="shared" si="31"/>
        <v>55.211522341537957</v>
      </c>
      <c r="S92" s="109">
        <f t="shared" si="31"/>
        <v>52.850051033444075</v>
      </c>
      <c r="T92" s="109">
        <f t="shared" si="31"/>
        <v>50.529230302824104</v>
      </c>
      <c r="U92" s="109">
        <f t="shared" si="31"/>
        <v>48.238332766270851</v>
      </c>
      <c r="V92" s="109">
        <f t="shared" si="31"/>
        <v>45.963463791879441</v>
      </c>
      <c r="W92" s="109">
        <f t="shared" si="31"/>
        <v>43.746386412174409</v>
      </c>
    </row>
    <row r="93" spans="2:23" x14ac:dyDescent="0.2">
      <c r="B93" s="26" t="s">
        <v>124</v>
      </c>
      <c r="C93" s="34"/>
      <c r="D93" s="34"/>
      <c r="E93" s="253">
        <f>'Input data'!$C$66*E$92</f>
        <v>60.525655589893695</v>
      </c>
      <c r="F93" s="34">
        <f t="shared" ref="F93:W93" si="32">IF(F92=0,0,IF(F87=1,E92*F43/((1+F24/100)*(1+F42/100))-F94-F95,IF(AND(F87=0,F88=1),(1-E98-F39*E99)*E92*F43/((1+F24/100)*(1+F42/100)),F92)))</f>
        <v>62.802647329605676</v>
      </c>
      <c r="G93" s="34">
        <f t="shared" si="32"/>
        <v>64.392644512026649</v>
      </c>
      <c r="H93" s="34">
        <f t="shared" si="32"/>
        <v>65.180577692643965</v>
      </c>
      <c r="I93" s="34">
        <f t="shared" si="32"/>
        <v>65.001306706845838</v>
      </c>
      <c r="J93" s="34">
        <f t="shared" si="32"/>
        <v>64.069197195735555</v>
      </c>
      <c r="K93" s="34">
        <f t="shared" si="32"/>
        <v>61.933911874122629</v>
      </c>
      <c r="L93" s="34">
        <f t="shared" si="32"/>
        <v>59.583577732048859</v>
      </c>
      <c r="M93" s="34">
        <f t="shared" si="32"/>
        <v>57.146010143346452</v>
      </c>
      <c r="N93" s="34">
        <f t="shared" si="32"/>
        <v>54.999554765384367</v>
      </c>
      <c r="O93" s="34">
        <f t="shared" si="32"/>
        <v>52.930402308396019</v>
      </c>
      <c r="P93" s="34">
        <f t="shared" si="32"/>
        <v>50.894316730030773</v>
      </c>
      <c r="Q93" s="34">
        <f t="shared" si="32"/>
        <v>48.905707228885397</v>
      </c>
      <c r="R93" s="34">
        <f t="shared" si="32"/>
        <v>46.969473721032301</v>
      </c>
      <c r="S93" s="34">
        <f t="shared" si="32"/>
        <v>45.075996975322106</v>
      </c>
      <c r="T93" s="34">
        <f t="shared" si="32"/>
        <v>43.226308081887829</v>
      </c>
      <c r="U93" s="34">
        <f t="shared" si="32"/>
        <v>41.409303568523015</v>
      </c>
      <c r="V93" s="34">
        <f t="shared" si="32"/>
        <v>39.619252907328807</v>
      </c>
      <c r="W93" s="34">
        <f t="shared" si="32"/>
        <v>37.876734143349182</v>
      </c>
    </row>
    <row r="94" spans="2:23" x14ac:dyDescent="0.2">
      <c r="B94" s="104" t="s">
        <v>125</v>
      </c>
      <c r="C94" s="34"/>
      <c r="D94" s="34"/>
      <c r="E94" s="253">
        <f>'Input data'!$C$67*E$92</f>
        <v>8.3684210076244501</v>
      </c>
      <c r="F94" s="34">
        <f t="shared" ref="F94:W94" si="33">IF(F92=0,0,IF(F87=1,F39*E92*E99*F43/((1+F24/100)*(1+F42/100)),IF(AND(F87=0,F88=1),(F39*E92*E99*F43/((1+F24/100)*(1+F42/100)))*(1-ABS(F92-E92*F43/((1+F24/100)*(1+F42/100)))/((F39*E92*E99*F43/((1+F24/100)*(1+F42/100)))+(E98*E92*F43/((1+F24/100)*(1+F42/100))))),0)))</f>
        <v>7.6131291238171945</v>
      </c>
      <c r="G94" s="34">
        <f t="shared" si="33"/>
        <v>7.772030499095739</v>
      </c>
      <c r="H94" s="34">
        <f t="shared" si="33"/>
        <v>7.8329070914089343</v>
      </c>
      <c r="I94" s="34">
        <f t="shared" si="33"/>
        <v>7.7772648000482922</v>
      </c>
      <c r="J94" s="34">
        <f t="shared" si="33"/>
        <v>7.6321614996297935</v>
      </c>
      <c r="K94" s="34">
        <f t="shared" si="33"/>
        <v>7.327544478051494</v>
      </c>
      <c r="L94" s="34">
        <f t="shared" si="33"/>
        <v>6.8554457548140997</v>
      </c>
      <c r="M94" s="34">
        <f t="shared" si="33"/>
        <v>6.3641164408632678</v>
      </c>
      <c r="N94" s="34">
        <f t="shared" si="33"/>
        <v>6.1271273553732888</v>
      </c>
      <c r="O94" s="34">
        <f t="shared" si="33"/>
        <v>5.8772664968885975</v>
      </c>
      <c r="P94" s="34">
        <f t="shared" si="33"/>
        <v>5.6510442415049518</v>
      </c>
      <c r="Q94" s="34">
        <f t="shared" si="33"/>
        <v>5.4350423067671629</v>
      </c>
      <c r="R94" s="34">
        <f t="shared" si="33"/>
        <v>5.2133384165335155</v>
      </c>
      <c r="S94" s="34">
        <f t="shared" si="33"/>
        <v>4.9883752245056909</v>
      </c>
      <c r="T94" s="34">
        <f t="shared" si="33"/>
        <v>4.7564960092529258</v>
      </c>
      <c r="U94" s="34">
        <f t="shared" si="33"/>
        <v>4.5207172267544538</v>
      </c>
      <c r="V94" s="34">
        <f t="shared" si="33"/>
        <v>4.276377356754379</v>
      </c>
      <c r="W94" s="34">
        <f t="shared" si="33"/>
        <v>4.0389884901269131</v>
      </c>
    </row>
    <row r="95" spans="2:23" x14ac:dyDescent="0.2">
      <c r="B95" s="104" t="s">
        <v>126</v>
      </c>
      <c r="C95" s="34"/>
      <c r="D95" s="34"/>
      <c r="E95" s="253">
        <f>'Input data'!$C$68*E$92</f>
        <v>5.2995447382705345</v>
      </c>
      <c r="F95" s="34">
        <f t="shared" ref="F95:W95" si="34">IF(F92=0,0,IF(F87=1,(1-E99)*E92*F43/((1+F24/100)*(1+F42/100)),IF(AND(F87=0,F88=1),(E98*E92*F43/((1+F24/100)*(1+F42/100)))*(1-ABS(F92-E92*F43/((1+F24/100)*(1+F42/100)))/((F39*E92*E99*F43/((1+F24/100)*(1+F42/100)))+(E98*E92*F43/((1+F24/100)*(1+F42/100))))),0)))</f>
        <v>5.4165985451724916</v>
      </c>
      <c r="G95" s="34">
        <f t="shared" si="34"/>
        <v>5.5444254320799606</v>
      </c>
      <c r="H95" s="34">
        <f t="shared" si="34"/>
        <v>5.6043092884990209</v>
      </c>
      <c r="I95" s="34">
        <f t="shared" si="34"/>
        <v>5.5828888382246653</v>
      </c>
      <c r="J95" s="34">
        <f t="shared" si="34"/>
        <v>5.4984513637899308</v>
      </c>
      <c r="K95" s="34">
        <f t="shared" si="34"/>
        <v>5.2994441921879458</v>
      </c>
      <c r="L95" s="34">
        <f t="shared" si="34"/>
        <v>4.9668471152539064</v>
      </c>
      <c r="M95" s="34">
        <f t="shared" si="34"/>
        <v>4.5229889633835088</v>
      </c>
      <c r="N95" s="34">
        <f t="shared" si="34"/>
        <v>4.164852765901915</v>
      </c>
      <c r="O95" s="34">
        <f t="shared" si="34"/>
        <v>3.8374406111194919</v>
      </c>
      <c r="P95" s="34">
        <f t="shared" si="34"/>
        <v>3.5479549796618191</v>
      </c>
      <c r="Q95" s="34">
        <f t="shared" si="34"/>
        <v>3.2811473801764204</v>
      </c>
      <c r="R95" s="34">
        <f t="shared" si="34"/>
        <v>3.0287102039721501</v>
      </c>
      <c r="S95" s="34">
        <f t="shared" si="34"/>
        <v>2.7856788336162754</v>
      </c>
      <c r="T95" s="34">
        <f t="shared" si="34"/>
        <v>2.5464262116833516</v>
      </c>
      <c r="U95" s="34">
        <f t="shared" si="34"/>
        <v>2.3083119709933793</v>
      </c>
      <c r="V95" s="34">
        <f t="shared" si="34"/>
        <v>2.0678335277962554</v>
      </c>
      <c r="W95" s="34">
        <f t="shared" si="34"/>
        <v>1.8306637786983104</v>
      </c>
    </row>
    <row r="96" spans="2:23" x14ac:dyDescent="0.2">
      <c r="B96" s="104" t="s">
        <v>127</v>
      </c>
      <c r="C96" s="34"/>
      <c r="D96" s="34"/>
      <c r="E96" s="253">
        <f>'Input data'!$C$69*E$92</f>
        <v>4.0469720364863182</v>
      </c>
      <c r="F96" s="34">
        <f>IF(F92=0,0,IF(F87=1,'Input data'!$C$58*(F92-E92*F43/((1+F24/100)*(1+F42/100))),0))</f>
        <v>3.4473554021277226</v>
      </c>
      <c r="G96" s="34">
        <f>IF(G92=0,0,IF(G87=1,'Input data'!$C$58*(G92-F92*G43/((1+G24/100)*(1+G42/100))),0))</f>
        <v>2.8876068976306266</v>
      </c>
      <c r="H96" s="34">
        <f>IF(H92=0,0,IF(H87=1,'Input data'!$C$58*(H92-G92*H43/((1+H24/100)*(1+H42/100))),0))</f>
        <v>1.9124139966609757</v>
      </c>
      <c r="I96" s="34">
        <f>IF(I92=0,0,IF(I87=1,'Input data'!$C$58*(I92-H92*I43/((1+I24/100)*(1+I42/100))),0))</f>
        <v>1.0445936951518187</v>
      </c>
      <c r="J96" s="34">
        <f>IF(J92=0,0,IF(J87=1,'Input data'!$C$58*(J92-I92*J43/((1+J24/100)*(1+J42/100))),0))</f>
        <v>0.22370682570973727</v>
      </c>
      <c r="K96" s="34">
        <f>IF(K92=0,0,IF(K87=1,'Input data'!$C$58*(K92-J92*K43/((1+K24/100)*(1+K42/100))),0))</f>
        <v>0</v>
      </c>
      <c r="L96" s="34">
        <f>IF(L92=0,0,IF(L87=1,'Input data'!$C$58*(L92-K92*L43/((1+L24/100)*(1+L42/100))),0))</f>
        <v>0</v>
      </c>
      <c r="M96" s="34">
        <f>IF(M92=0,0,IF(M87=1,'Input data'!$C$58*(M92-L92*M43/((1+M24/100)*(1+M42/100))),0))</f>
        <v>0</v>
      </c>
      <c r="N96" s="34">
        <f>IF(N92=0,0,IF(N87=1,'Input data'!$C$58*(N92-M92*N43/((1+N24/100)*(1+N42/100))),0))</f>
        <v>0</v>
      </c>
      <c r="O96" s="34">
        <f>IF(O92=0,0,IF(O87=1,'Input data'!$C$58*(O92-N92*O43/((1+O24/100)*(1+O42/100))),0))</f>
        <v>0</v>
      </c>
      <c r="P96" s="34">
        <f>IF(P92=0,0,IF(P87=1,'Input data'!$C$58*(P92-O92*P43/((1+P24/100)*(1+P42/100))),0))</f>
        <v>0</v>
      </c>
      <c r="Q96" s="34">
        <f>IF(Q92=0,0,IF(Q87=1,'Input data'!$C$58*(Q92-P92*Q43/((1+Q24/100)*(1+Q42/100))),0))</f>
        <v>0</v>
      </c>
      <c r="R96" s="34">
        <f>IF(R92=0,0,IF(R87=1,'Input data'!$C$58*(R92-Q92*R43/((1+R24/100)*(1+R42/100))),0))</f>
        <v>0</v>
      </c>
      <c r="S96" s="34">
        <f>IF(S92=0,0,IF(S87=1,'Input data'!$C$58*(S92-R92*S43/((1+S24/100)*(1+S42/100))),0))</f>
        <v>0</v>
      </c>
      <c r="T96" s="34">
        <f>IF(T92=0,0,IF(T87=1,'Input data'!$C$58*(T92-S92*T43/((1+T24/100)*(1+T42/100))),0))</f>
        <v>0</v>
      </c>
      <c r="U96" s="34">
        <f>IF(U92=0,0,IF(U87=1,'Input data'!$C$58*(U92-T92*U43/((1+U24/100)*(1+U42/100))),0))</f>
        <v>0</v>
      </c>
      <c r="V96" s="34">
        <f>IF(V92=0,0,IF(V87=1,'Input data'!$C$58*(V92-U92*V43/((1+V24/100)*(1+V42/100))),0))</f>
        <v>0</v>
      </c>
      <c r="W96" s="34">
        <f>IF(W92=0,0,IF(W87=1,'Input data'!$C$58*(W92-V92*W43/((1+W24/100)*(1+W42/100))),0))</f>
        <v>0</v>
      </c>
    </row>
    <row r="97" spans="2:25" x14ac:dyDescent="0.2">
      <c r="B97" s="106" t="s">
        <v>128</v>
      </c>
      <c r="C97" s="49"/>
      <c r="D97" s="49"/>
      <c r="E97" s="254">
        <f>'Input data'!$C$70*E$92</f>
        <v>0.31130552588356658</v>
      </c>
      <c r="F97" s="49">
        <f>IF(F92=0,0,IF(F87=1,'Input data'!$C$57*(F92-E92*F43/((1+F24/100)*(1+F42/100))),0))</f>
        <v>0.25831964284501346</v>
      </c>
      <c r="G97" s="49">
        <f>IF(G92=0,0,IF(G87=1,'Input data'!$C$57*(G92-F92*G43/((1+G24/100)*(1+G42/100))),0))</f>
        <v>0.21637617694199801</v>
      </c>
      <c r="H97" s="49">
        <f>IF(H92=0,0,IF(H87=1,'Input data'!$C$57*(H92-G92*H43/((1+H24/100)*(1+H42/100))),0))</f>
        <v>0.14330234134965034</v>
      </c>
      <c r="I97" s="49">
        <f>IF(I92=0,0,IF(I87=1,'Input data'!$C$57*(I92-H92*I43/((1+I24/100)*(1+I42/100))),0))</f>
        <v>7.8274224375944779E-2</v>
      </c>
      <c r="J97" s="49">
        <f>IF(J92=0,0,IF(J87=1,'Input data'!$C$57*(J92-I92*J43/((1+J24/100)*(1+J42/100))),0))</f>
        <v>1.6762956115190235E-2</v>
      </c>
      <c r="K97" s="49">
        <f>IF(K92=0,0,IF(K87=1,'Input data'!$C$57*(K92-J92*K43/((1+K24/100)*(1+K42/100))),0))</f>
        <v>0</v>
      </c>
      <c r="L97" s="49">
        <f>IF(L92=0,0,IF(L87=1,'Input data'!$C$57*(L92-K92*L43/((1+L24/100)*(1+L42/100))),0))</f>
        <v>0</v>
      </c>
      <c r="M97" s="49">
        <f>IF(M92=0,0,IF(M87=1,'Input data'!$C$57*(M92-L92*M43/((1+M24/100)*(1+M42/100))),0))</f>
        <v>0</v>
      </c>
      <c r="N97" s="49">
        <f>IF(N92=0,0,IF(N87=1,'Input data'!$C$57*(N92-M92*N43/((1+N24/100)*(1+N42/100))),0))</f>
        <v>0</v>
      </c>
      <c r="O97" s="49">
        <f>IF(O92=0,0,IF(O87=1,'Input data'!$C$57*(O92-N92*O43/((1+O24/100)*(1+O42/100))),0))</f>
        <v>0</v>
      </c>
      <c r="P97" s="49">
        <f>IF(P92=0,0,IF(P87=1,'Input data'!$C$57*(P92-O92*P43/((1+P24/100)*(1+P42/100))),0))</f>
        <v>0</v>
      </c>
      <c r="Q97" s="49">
        <f>IF(Q92=0,0,IF(Q87=1,'Input data'!$C$57*(Q92-P92*Q43/((1+Q24/100)*(1+Q42/100))),0))</f>
        <v>0</v>
      </c>
      <c r="R97" s="49">
        <f>IF(R92=0,0,IF(R87=1,'Input data'!$C$57*(R92-Q92*R43/((1+R24/100)*(1+R42/100))),0))</f>
        <v>0</v>
      </c>
      <c r="S97" s="49">
        <f>IF(S92=0,0,IF(S87=1,'Input data'!$C$57*(S92-R92*S43/((1+S24/100)*(1+S42/100))),0))</f>
        <v>0</v>
      </c>
      <c r="T97" s="49">
        <f>IF(T92=0,0,IF(T87=1,'Input data'!$C$57*(T92-S92*T43/((1+T24/100)*(1+T42/100))),0))</f>
        <v>0</v>
      </c>
      <c r="U97" s="49">
        <f>IF(U92=0,0,IF(U87=1,'Input data'!$C$57*(U92-T92*U43/((1+U24/100)*(1+U42/100))),0))</f>
        <v>0</v>
      </c>
      <c r="V97" s="49">
        <f>IF(V92=0,0,IF(V87=1,'Input data'!$C$57*(V92-U92*V43/((1+V24/100)*(1+V42/100))),0))</f>
        <v>0</v>
      </c>
      <c r="W97" s="49">
        <f>IF(W92=0,0,IF(W87=1,'Input data'!$C$57*(W92-V92*W43/((1+W24/100)*(1+W42/100))),0))</f>
        <v>0</v>
      </c>
    </row>
    <row r="98" spans="2:25" x14ac:dyDescent="0.2">
      <c r="B98" s="26" t="s">
        <v>73</v>
      </c>
      <c r="C98" s="36"/>
      <c r="D98" s="36"/>
      <c r="E98" s="259">
        <f>'Baseline NFPC'!E$93</f>
        <v>7.1428575793291621E-2</v>
      </c>
      <c r="F98" s="36">
        <f t="shared" ref="F98:W98" si="35">IF(F92&lt;&gt;0,(F95+F97)/(F93+F94+F95+F96+F97),0)</f>
        <v>7.1348470133590011E-2</v>
      </c>
      <c r="G98" s="36">
        <f t="shared" si="35"/>
        <v>7.1285506730539017E-2</v>
      </c>
      <c r="H98" s="36">
        <f t="shared" si="35"/>
        <v>7.1245339400727734E-2</v>
      </c>
      <c r="I98" s="36">
        <f t="shared" si="35"/>
        <v>7.1223638498290123E-2</v>
      </c>
      <c r="J98" s="36">
        <f t="shared" si="35"/>
        <v>7.1218935820355281E-2</v>
      </c>
      <c r="K98" s="36">
        <f t="shared" si="35"/>
        <v>7.1075378026515312E-2</v>
      </c>
      <c r="L98" s="36">
        <f t="shared" si="35"/>
        <v>6.9557965939941374E-2</v>
      </c>
      <c r="M98" s="36">
        <f t="shared" si="35"/>
        <v>6.6482167206048465E-2</v>
      </c>
      <c r="N98" s="36">
        <f t="shared" si="35"/>
        <v>6.3788556558392093E-2</v>
      </c>
      <c r="O98" s="36">
        <f t="shared" si="35"/>
        <v>6.1256826699940738E-2</v>
      </c>
      <c r="P98" s="36">
        <f t="shared" si="35"/>
        <v>5.9040758918065914E-2</v>
      </c>
      <c r="Q98" s="36">
        <f t="shared" si="35"/>
        <v>5.6942717192551763E-2</v>
      </c>
      <c r="R98" s="36">
        <f t="shared" si="35"/>
        <v>5.4856487840284074E-2</v>
      </c>
      <c r="S98" s="36">
        <f t="shared" si="35"/>
        <v>5.2709103948707044E-2</v>
      </c>
      <c r="T98" s="36">
        <f t="shared" si="35"/>
        <v>5.0395111827797427E-2</v>
      </c>
      <c r="U98" s="36">
        <f>IF(U92&lt;&gt;0,(U95+U97)/(U93+U94+U95+U96+U97),0)</f>
        <v>4.7852233661926938E-2</v>
      </c>
      <c r="V98" s="36">
        <f t="shared" si="35"/>
        <v>4.4988635694631622E-2</v>
      </c>
      <c r="W98" s="34">
        <f t="shared" si="35"/>
        <v>4.1847199936697992E-2</v>
      </c>
    </row>
    <row r="99" spans="2:25" x14ac:dyDescent="0.2">
      <c r="B99" s="35" t="s">
        <v>74</v>
      </c>
      <c r="C99" s="107"/>
      <c r="D99" s="107"/>
      <c r="E99" s="260">
        <f>'Baseline NFPC'!E$94</f>
        <v>0.92857142420670824</v>
      </c>
      <c r="F99" s="107">
        <f t="shared" ref="F99:W99" si="36">IF(F92&lt;&gt;0,(F93+F94+F96)/(F93+F94+F95+F96+F97),1)</f>
        <v>0.92865152986641009</v>
      </c>
      <c r="G99" s="107">
        <f t="shared" si="36"/>
        <v>0.92871449326946109</v>
      </c>
      <c r="H99" s="107">
        <f t="shared" si="36"/>
        <v>0.92875466059927214</v>
      </c>
      <c r="I99" s="107">
        <f t="shared" si="36"/>
        <v>0.92877636150170995</v>
      </c>
      <c r="J99" s="107">
        <f t="shared" si="36"/>
        <v>0.92878106417964479</v>
      </c>
      <c r="K99" s="107">
        <f t="shared" si="36"/>
        <v>0.92892462197348469</v>
      </c>
      <c r="L99" s="107">
        <f t="shared" si="36"/>
        <v>0.93044203406005854</v>
      </c>
      <c r="M99" s="107">
        <f t="shared" si="36"/>
        <v>0.93351783279395162</v>
      </c>
      <c r="N99" s="107">
        <f t="shared" si="36"/>
        <v>0.93621144344160778</v>
      </c>
      <c r="O99" s="107">
        <f t="shared" si="36"/>
        <v>0.9387431733000593</v>
      </c>
      <c r="P99" s="107">
        <f t="shared" si="36"/>
        <v>0.94095924108193407</v>
      </c>
      <c r="Q99" s="107">
        <f t="shared" si="36"/>
        <v>0.94305728280744827</v>
      </c>
      <c r="R99" s="107">
        <f t="shared" si="36"/>
        <v>0.94514351215971593</v>
      </c>
      <c r="S99" s="107">
        <f t="shared" si="36"/>
        <v>0.94729089605129302</v>
      </c>
      <c r="T99" s="107">
        <f t="shared" si="36"/>
        <v>0.94960488817220257</v>
      </c>
      <c r="U99" s="107">
        <f t="shared" si="36"/>
        <v>0.95214776633807308</v>
      </c>
      <c r="V99" s="107">
        <f t="shared" si="36"/>
        <v>0.95501136430536848</v>
      </c>
      <c r="W99" s="49">
        <f t="shared" si="36"/>
        <v>0.95815280006330206</v>
      </c>
    </row>
    <row r="100" spans="2:25" x14ac:dyDescent="0.2">
      <c r="C100" s="38"/>
      <c r="D100" s="38"/>
      <c r="E100" s="38"/>
      <c r="F100" s="38"/>
      <c r="G100" s="38"/>
      <c r="H100" s="38"/>
      <c r="I100" s="38"/>
      <c r="J100" s="38"/>
      <c r="K100" s="38"/>
      <c r="L100" s="38"/>
      <c r="M100" s="38"/>
      <c r="N100" s="38"/>
      <c r="O100" s="38"/>
      <c r="P100" s="38"/>
      <c r="Q100" s="38"/>
      <c r="R100" s="38"/>
      <c r="S100" s="38"/>
      <c r="T100" s="38"/>
      <c r="U100" s="38"/>
      <c r="V100" s="38"/>
      <c r="W100" s="38"/>
    </row>
    <row r="101" spans="2:25" x14ac:dyDescent="0.2">
      <c r="B101" s="112" t="s">
        <v>129</v>
      </c>
      <c r="C101" s="114">
        <f>'Baseline NFPC'!C96</f>
        <v>1.419065</v>
      </c>
      <c r="D101" s="114">
        <f>'Baseline NFPC'!D96</f>
        <v>1.2721899999999999</v>
      </c>
      <c r="E101" s="114">
        <f>'Baseline NFPC'!E96</f>
        <v>1.6214710000000001</v>
      </c>
      <c r="F101" s="114">
        <f>'Baseline NFPC'!F96</f>
        <v>1.9528080000000001</v>
      </c>
      <c r="G101" s="114">
        <f>'Baseline NFPC'!G96</f>
        <v>1.9344650000000001</v>
      </c>
      <c r="H101" s="114">
        <f t="shared" ref="H101:W101" si="37">H103+H104</f>
        <v>1.8809861130955123</v>
      </c>
      <c r="I101" s="114">
        <f t="shared" si="37"/>
        <v>2.0239034219102687</v>
      </c>
      <c r="J101" s="114">
        <f>J103+J104</f>
        <v>2.1462506647711721</v>
      </c>
      <c r="K101" s="114">
        <f t="shared" si="37"/>
        <v>2.2522010843711691</v>
      </c>
      <c r="L101" s="114">
        <f t="shared" si="37"/>
        <v>2.3505639958723141</v>
      </c>
      <c r="M101" s="114">
        <f t="shared" si="37"/>
        <v>2.4431330671669667</v>
      </c>
      <c r="N101" s="114">
        <f t="shared" si="37"/>
        <v>2.5303991888294619</v>
      </c>
      <c r="O101" s="114">
        <f t="shared" si="37"/>
        <v>2.6153459556829768</v>
      </c>
      <c r="P101" s="114">
        <f t="shared" si="37"/>
        <v>2.6979396293414264</v>
      </c>
      <c r="Q101" s="114">
        <f t="shared" si="37"/>
        <v>2.768492171816276</v>
      </c>
      <c r="R101" s="114">
        <f t="shared" si="37"/>
        <v>2.8349289419580836</v>
      </c>
      <c r="S101" s="114">
        <f t="shared" si="37"/>
        <v>2.8975480905735478</v>
      </c>
      <c r="T101" s="114">
        <f t="shared" si="37"/>
        <v>2.9566930009413497</v>
      </c>
      <c r="U101" s="114">
        <f t="shared" si="37"/>
        <v>3.012683331736179</v>
      </c>
      <c r="V101" s="114">
        <f t="shared" si="37"/>
        <v>3.0658699192091419</v>
      </c>
      <c r="W101" s="114">
        <f t="shared" si="37"/>
        <v>3.116570593354127</v>
      </c>
    </row>
    <row r="102" spans="2:25" x14ac:dyDescent="0.2">
      <c r="B102" s="33" t="s">
        <v>130</v>
      </c>
      <c r="C102" s="34"/>
      <c r="D102" s="34"/>
      <c r="E102" s="34"/>
      <c r="F102" s="265">
        <f>((F36*E92)-(F38*(E95+E97)))/(E93+E94+E96)</f>
        <v>1.8315432870429942</v>
      </c>
      <c r="G102" s="265">
        <f>((G36*F92)-(G38*(F95+F97)))/(F93+F94+F96)</f>
        <v>1.9243399338862257</v>
      </c>
      <c r="H102" s="34">
        <f>IF(G92&gt;0,(G102*G93+
('Baseline NFPC'!H$97*(G93+G94+G96)-'Baseline NFPC'!G$97*G93)/(G94+G96)
*(G96+G94))/(G93+G94+G96),H37)</f>
        <v>1.8721771606223445</v>
      </c>
      <c r="I102" s="34">
        <f t="shared" ref="I102:W102" si="38">IF(H92&gt;0,(H102*H93+I37*(H96+H94))/(H93+H94+H96),I37)</f>
        <v>2.0196550671025473</v>
      </c>
      <c r="J102" s="34">
        <f t="shared" si="38"/>
        <v>2.1449800377489825</v>
      </c>
      <c r="K102" s="34">
        <f t="shared" si="38"/>
        <v>2.2526493621447883</v>
      </c>
      <c r="L102" s="34">
        <f t="shared" si="38"/>
        <v>2.3521458379692772</v>
      </c>
      <c r="M102" s="34">
        <f t="shared" si="38"/>
        <v>2.4453539822250754</v>
      </c>
      <c r="N102" s="34">
        <f t="shared" si="38"/>
        <v>2.5327806213687216</v>
      </c>
      <c r="O102" s="34">
        <f t="shared" si="38"/>
        <v>2.6177205177258478</v>
      </c>
      <c r="P102" s="34">
        <f t="shared" si="38"/>
        <v>2.7001523711723201</v>
      </c>
      <c r="Q102" s="34">
        <f t="shared" si="38"/>
        <v>2.7771299186012852</v>
      </c>
      <c r="R102" s="34">
        <f t="shared" si="38"/>
        <v>2.8492574643251833</v>
      </c>
      <c r="S102" s="34">
        <f t="shared" si="38"/>
        <v>2.9168826520491526</v>
      </c>
      <c r="T102" s="34">
        <f t="shared" si="38"/>
        <v>2.9803669218995812</v>
      </c>
      <c r="U102" s="34">
        <f t="shared" si="38"/>
        <v>3.0399961546710461</v>
      </c>
      <c r="V102" s="34">
        <f t="shared" si="38"/>
        <v>3.0960769252444136</v>
      </c>
      <c r="W102" s="34">
        <f t="shared" si="38"/>
        <v>3.1488372410185366</v>
      </c>
    </row>
    <row r="103" spans="2:25" x14ac:dyDescent="0.2">
      <c r="B103" s="26" t="s">
        <v>131</v>
      </c>
      <c r="C103" s="34"/>
      <c r="D103" s="34"/>
      <c r="E103" s="34"/>
      <c r="F103" s="34">
        <f t="shared" ref="F103:W103" si="39">(F102*(E93+E94+E96)+F38*(E95+E97))/E92</f>
        <v>1.9528080000000001</v>
      </c>
      <c r="G103" s="34">
        <f t="shared" si="39"/>
        <v>1.9344650000000001</v>
      </c>
      <c r="H103" s="34">
        <f t="shared" si="39"/>
        <v>1.8809861130955123</v>
      </c>
      <c r="I103" s="34">
        <f t="shared" si="39"/>
        <v>2.0239034219102687</v>
      </c>
      <c r="J103" s="34">
        <f t="shared" si="39"/>
        <v>2.1462506647711721</v>
      </c>
      <c r="K103" s="34">
        <f t="shared" si="39"/>
        <v>2.2522010843711691</v>
      </c>
      <c r="L103" s="34">
        <f t="shared" si="39"/>
        <v>2.3505639958723141</v>
      </c>
      <c r="M103" s="34">
        <f t="shared" si="39"/>
        <v>2.4431330671669667</v>
      </c>
      <c r="N103" s="34">
        <f t="shared" si="39"/>
        <v>2.5303991888294619</v>
      </c>
      <c r="O103" s="34">
        <f t="shared" si="39"/>
        <v>2.6153459556829768</v>
      </c>
      <c r="P103" s="34">
        <f t="shared" si="39"/>
        <v>2.6979396293414264</v>
      </c>
      <c r="Q103" s="34">
        <f t="shared" si="39"/>
        <v>2.768492171816276</v>
      </c>
      <c r="R103" s="34">
        <f t="shared" si="39"/>
        <v>2.8349289419580836</v>
      </c>
      <c r="S103" s="34">
        <f t="shared" si="39"/>
        <v>2.8975480905735478</v>
      </c>
      <c r="T103" s="34">
        <f t="shared" si="39"/>
        <v>2.9566930009413497</v>
      </c>
      <c r="U103" s="34">
        <f t="shared" si="39"/>
        <v>3.012683331736179</v>
      </c>
      <c r="V103" s="34">
        <f t="shared" si="39"/>
        <v>3.0658699192091419</v>
      </c>
      <c r="W103" s="34">
        <f t="shared" si="39"/>
        <v>3.116570593354127</v>
      </c>
    </row>
    <row r="104" spans="2:25" x14ac:dyDescent="0.2">
      <c r="B104" s="35" t="s">
        <v>132</v>
      </c>
      <c r="C104" s="113"/>
      <c r="D104" s="113"/>
      <c r="E104" s="49"/>
      <c r="F104" s="49">
        <f>IF('Criteria results'!$F$5=4,F115,F120)</f>
        <v>0</v>
      </c>
      <c r="G104" s="49">
        <f>IF('Criteria results'!$F$5=4,G115,G120)</f>
        <v>0</v>
      </c>
      <c r="H104" s="49">
        <f>IF('Criteria results'!$F$5=4,H115,H120)</f>
        <v>0</v>
      </c>
      <c r="I104" s="49">
        <f>IF('Criteria results'!$F$5=4,I115,I120)</f>
        <v>0</v>
      </c>
      <c r="J104" s="49">
        <f>IF('Criteria results'!$F$5=4,J115,J120)</f>
        <v>0</v>
      </c>
      <c r="K104" s="49">
        <f>IF('Criteria results'!$F$5=4,K115,K120)</f>
        <v>0</v>
      </c>
      <c r="L104" s="49">
        <f>IF('Criteria results'!$F$5=4,L115,L120)</f>
        <v>0</v>
      </c>
      <c r="M104" s="49">
        <f>IF('Criteria results'!$F$5=4,M115,M120)</f>
        <v>0</v>
      </c>
      <c r="N104" s="49">
        <f>IF('Criteria results'!$F$5=4,N115,N120)</f>
        <v>0</v>
      </c>
      <c r="O104" s="49">
        <f>IF('Criteria results'!$F$5=4,O115,O120)</f>
        <v>0</v>
      </c>
      <c r="P104" s="49">
        <f>IF('Criteria results'!$F$5=4,P115,P120)</f>
        <v>0</v>
      </c>
      <c r="Q104" s="49">
        <f>IF('Criteria results'!$F$5=4,Q115,Q120)</f>
        <v>0</v>
      </c>
      <c r="R104" s="49">
        <f>IF('Criteria results'!$F$5=4,R115,R120)</f>
        <v>0</v>
      </c>
      <c r="S104" s="49">
        <f>IF('Criteria results'!$F$5=4,S115,S120)</f>
        <v>0</v>
      </c>
      <c r="T104" s="49">
        <f>IF('Criteria results'!$F$5=4,T115,T120)</f>
        <v>0</v>
      </c>
      <c r="U104" s="49">
        <f>IF('Criteria results'!$F$5=4,U115,U120)</f>
        <v>0</v>
      </c>
      <c r="V104" s="49">
        <f>IF('Criteria results'!$F$5=4,V115,V120)</f>
        <v>0</v>
      </c>
      <c r="W104" s="49">
        <f>IF('Criteria results'!$F$5=4,W115,W120)</f>
        <v>0</v>
      </c>
    </row>
    <row r="105" spans="2:25" x14ac:dyDescent="0.2">
      <c r="C105" s="38"/>
      <c r="D105" s="38"/>
      <c r="E105" s="38"/>
      <c r="F105" s="38"/>
      <c r="G105" s="34"/>
      <c r="H105" s="34"/>
      <c r="I105" s="34"/>
      <c r="J105" s="34"/>
      <c r="K105" s="34"/>
      <c r="L105" s="34"/>
      <c r="M105" s="34"/>
      <c r="N105" s="34"/>
      <c r="O105" s="34"/>
      <c r="P105" s="34"/>
      <c r="Q105" s="34"/>
      <c r="R105" s="34"/>
      <c r="S105" s="34"/>
      <c r="T105" s="34"/>
      <c r="U105" s="34"/>
      <c r="V105" s="34"/>
      <c r="W105" s="34"/>
    </row>
    <row r="106" spans="2:25" x14ac:dyDescent="0.2">
      <c r="B106" s="112" t="s">
        <v>181</v>
      </c>
      <c r="C106" s="114">
        <f t="shared" ref="C106:W106" si="40">((1+C101/100)/((1+C24/100)*(1+C42/100))-1)*100</f>
        <v>-5.0506235421831196</v>
      </c>
      <c r="D106" s="114">
        <f t="shared" si="40"/>
        <v>-8.171145244432477</v>
      </c>
      <c r="E106" s="114">
        <f t="shared" si="40"/>
        <v>-3.794155520613518</v>
      </c>
      <c r="F106" s="114">
        <f t="shared" si="40"/>
        <v>-1.5755368351901722</v>
      </c>
      <c r="G106" s="114">
        <f t="shared" si="40"/>
        <v>-0.40998026742823379</v>
      </c>
      <c r="H106" s="114">
        <f t="shared" si="40"/>
        <v>-0.8866134357300326</v>
      </c>
      <c r="I106" s="114">
        <f t="shared" si="40"/>
        <v>-0.90003494872706868</v>
      </c>
      <c r="J106" s="114">
        <f t="shared" si="40"/>
        <v>-0.78961071018289752</v>
      </c>
      <c r="K106" s="114">
        <f t="shared" si="40"/>
        <v>-1.5091755812825292</v>
      </c>
      <c r="L106" s="114">
        <f t="shared" si="40"/>
        <v>-1.5542632696142089</v>
      </c>
      <c r="M106" s="114">
        <f t="shared" si="40"/>
        <v>-1.5276755893111393</v>
      </c>
      <c r="N106" s="114">
        <f t="shared" si="40"/>
        <v>-0.81761416602034176</v>
      </c>
      <c r="O106" s="114">
        <f t="shared" si="40"/>
        <v>-0.79135209472948054</v>
      </c>
      <c r="P106" s="114">
        <f t="shared" si="40"/>
        <v>-0.8124567102126945</v>
      </c>
      <c r="Q106" s="114">
        <f t="shared" si="40"/>
        <v>-0.80663439774706358</v>
      </c>
      <c r="R106" s="114">
        <f t="shared" si="40"/>
        <v>-0.80476730474888791</v>
      </c>
      <c r="S106" s="114">
        <f t="shared" si="40"/>
        <v>-0.80655665873062832</v>
      </c>
      <c r="T106" s="114">
        <f t="shared" si="40"/>
        <v>-0.79489229090897728</v>
      </c>
      <c r="U106" s="114">
        <f t="shared" si="40"/>
        <v>-0.78825671265143615</v>
      </c>
      <c r="V106" s="114">
        <f t="shared" si="40"/>
        <v>-0.78334258221002262</v>
      </c>
      <c r="W106" s="114">
        <f t="shared" si="40"/>
        <v>-0.70216579406472412</v>
      </c>
    </row>
    <row r="107" spans="2:25" x14ac:dyDescent="0.2">
      <c r="F107" s="34"/>
      <c r="G107" s="34"/>
      <c r="H107" s="34"/>
      <c r="I107" s="34"/>
      <c r="J107" s="34"/>
      <c r="K107" s="34"/>
      <c r="L107" s="34"/>
      <c r="M107" s="34"/>
      <c r="N107" s="34"/>
      <c r="O107" s="34"/>
      <c r="P107" s="34"/>
      <c r="Q107" s="34"/>
      <c r="R107" s="34"/>
      <c r="S107" s="34"/>
      <c r="T107" s="34"/>
      <c r="U107" s="34"/>
      <c r="V107" s="34"/>
      <c r="W107" s="34"/>
    </row>
    <row r="108" spans="2:25" x14ac:dyDescent="0.2">
      <c r="B108" s="396"/>
      <c r="C108" s="396"/>
      <c r="D108" s="396"/>
      <c r="E108" s="396"/>
      <c r="F108" s="397"/>
      <c r="G108" s="398"/>
      <c r="H108" s="398"/>
      <c r="I108" s="252"/>
      <c r="J108" s="252"/>
      <c r="K108" s="252"/>
      <c r="L108" s="252"/>
      <c r="M108" s="252"/>
      <c r="N108" s="252"/>
      <c r="O108" s="252"/>
      <c r="P108" s="252"/>
      <c r="Q108" s="252"/>
      <c r="R108" s="252"/>
      <c r="S108" s="252"/>
      <c r="T108" s="252"/>
      <c r="U108" s="34"/>
      <c r="V108" s="34"/>
      <c r="W108" s="34"/>
    </row>
    <row r="109" spans="2:25" x14ac:dyDescent="0.2">
      <c r="T109" s="62"/>
      <c r="U109" s="62"/>
      <c r="V109" s="62"/>
      <c r="W109" s="62"/>
      <c r="X109" s="62"/>
      <c r="Y109" s="62"/>
    </row>
    <row r="110" spans="2:25" s="25" customFormat="1" ht="13.2" outlineLevel="1" x14ac:dyDescent="0.25">
      <c r="B110" s="25" t="s">
        <v>133</v>
      </c>
      <c r="C110" s="111"/>
      <c r="D110" s="111"/>
      <c r="E110" s="111"/>
      <c r="F110" s="111"/>
      <c r="G110" s="111"/>
      <c r="H110" s="111"/>
      <c r="I110" s="111"/>
      <c r="J110" s="111"/>
      <c r="K110" s="111"/>
      <c r="L110" s="111"/>
      <c r="M110" s="111"/>
      <c r="N110" s="111"/>
      <c r="O110" s="111"/>
      <c r="P110" s="111"/>
      <c r="Q110" s="111"/>
      <c r="R110" s="111"/>
      <c r="S110" s="111"/>
      <c r="T110" s="111"/>
      <c r="U110" s="111"/>
      <c r="V110" s="111"/>
      <c r="W110" s="111"/>
    </row>
    <row r="111" spans="2:25" s="101" customFormat="1" ht="13.2" outlineLevel="1" x14ac:dyDescent="0.25">
      <c r="C111" s="123"/>
      <c r="D111" s="123"/>
      <c r="E111" s="123"/>
      <c r="F111" s="123"/>
      <c r="G111" s="123"/>
      <c r="H111" s="123"/>
      <c r="I111" s="123"/>
      <c r="J111" s="123"/>
      <c r="K111" s="123"/>
      <c r="L111" s="123"/>
      <c r="M111" s="123"/>
      <c r="N111" s="123"/>
      <c r="O111" s="123"/>
      <c r="P111" s="123"/>
      <c r="Q111" s="123"/>
      <c r="R111" s="123"/>
      <c r="S111" s="123"/>
      <c r="T111" s="123"/>
      <c r="U111" s="123"/>
      <c r="V111" s="123"/>
      <c r="W111" s="123"/>
    </row>
    <row r="112" spans="2:25" s="101" customFormat="1" ht="13.2" outlineLevel="1" x14ac:dyDescent="0.25">
      <c r="B112" s="105" t="s">
        <v>294</v>
      </c>
      <c r="C112" s="124"/>
      <c r="D112" s="124"/>
      <c r="E112" s="124"/>
      <c r="F112" s="124"/>
      <c r="G112" s="124"/>
      <c r="H112" s="37"/>
      <c r="I112" s="37"/>
      <c r="J112" s="37"/>
      <c r="K112" s="37"/>
      <c r="L112" s="37"/>
      <c r="M112" s="37"/>
      <c r="N112" s="37"/>
      <c r="O112" s="37"/>
      <c r="P112" s="37"/>
      <c r="Q112" s="37"/>
      <c r="R112" s="37"/>
      <c r="S112" s="37"/>
      <c r="T112" s="37"/>
      <c r="U112" s="124"/>
      <c r="V112" s="124"/>
      <c r="W112" s="124"/>
    </row>
    <row r="113" spans="1:51" outlineLevel="1" x14ac:dyDescent="0.2">
      <c r="B113" s="119" t="s">
        <v>43</v>
      </c>
      <c r="C113" s="34">
        <v>82.39459228515625</v>
      </c>
      <c r="D113" s="34">
        <v>78.375633239746094</v>
      </c>
      <c r="E113" s="34">
        <v>78.551918029785156</v>
      </c>
      <c r="F113" s="34">
        <v>79.538070678710938</v>
      </c>
      <c r="G113" s="34">
        <v>80.808403015136719</v>
      </c>
      <c r="H113" s="34">
        <v>81.055084228515625</v>
      </c>
      <c r="I113" s="34">
        <v>80.65228271484375</v>
      </c>
      <c r="J113" s="34">
        <v>79.802009582519531</v>
      </c>
      <c r="K113" s="34">
        <v>78.507278442382813</v>
      </c>
      <c r="L113" s="34">
        <v>77.053184509277344</v>
      </c>
      <c r="M113" s="34">
        <v>75.497383117675781</v>
      </c>
      <c r="N113" s="34">
        <v>74.418220520019531</v>
      </c>
      <c r="O113" s="34">
        <v>73.429107666015625</v>
      </c>
      <c r="P113" s="34">
        <v>72.524909973144531</v>
      </c>
      <c r="Q113" s="34">
        <v>71.691902160644531</v>
      </c>
      <c r="R113" s="34">
        <v>70.90924072265625</v>
      </c>
      <c r="S113" s="34">
        <v>70.163314819335938</v>
      </c>
      <c r="T113" s="34">
        <v>69.44732666015625</v>
      </c>
      <c r="U113" s="34">
        <v>68.749244689941406</v>
      </c>
      <c r="V113" s="34">
        <v>68.054374694824219</v>
      </c>
      <c r="W113" s="34">
        <v>67.420967102050781</v>
      </c>
      <c r="X113" s="115"/>
      <c r="Y113" s="62"/>
    </row>
    <row r="114" spans="1:51" x14ac:dyDescent="0.2">
      <c r="B114" s="26" t="s">
        <v>129</v>
      </c>
      <c r="C114" s="1">
        <v>1.4190647602081299</v>
      </c>
      <c r="D114" s="1">
        <v>1.2721904516220093</v>
      </c>
      <c r="E114" s="1">
        <v>1.6214711666107178</v>
      </c>
      <c r="F114" s="1">
        <v>1.9528083801269531</v>
      </c>
      <c r="G114" s="1">
        <v>1.9344645738601685</v>
      </c>
      <c r="H114" s="1">
        <v>1.8831226825714111</v>
      </c>
      <c r="I114" s="1">
        <v>2.0319912433624268</v>
      </c>
      <c r="J114" s="1">
        <v>2.16288161277771</v>
      </c>
      <c r="K114" s="1">
        <v>2.2800264358520508</v>
      </c>
      <c r="L114" s="1">
        <v>2.3896012306213379</v>
      </c>
      <c r="M114" s="1">
        <v>2.4926207065582275</v>
      </c>
      <c r="N114" s="1">
        <v>2.5898792743682861</v>
      </c>
      <c r="O114" s="1">
        <v>2.6841907501220703</v>
      </c>
      <c r="P114" s="1">
        <v>2.7757723331451416</v>
      </c>
      <c r="Q114" s="1">
        <v>2.8523256778717041</v>
      </c>
      <c r="R114" s="1">
        <v>2.9230737686157227</v>
      </c>
      <c r="S114" s="1">
        <v>2.9884896278381348</v>
      </c>
      <c r="T114" s="1">
        <v>3.0490772724151611</v>
      </c>
      <c r="U114" s="1">
        <v>3.1052768230438232</v>
      </c>
      <c r="V114" s="1">
        <v>3.157548189163208</v>
      </c>
      <c r="W114" s="1">
        <v>3.2062849998474121</v>
      </c>
      <c r="X114" s="116"/>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60"/>
    </row>
    <row r="115" spans="1:51" x14ac:dyDescent="0.2">
      <c r="B115" s="26" t="s">
        <v>180</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16"/>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60"/>
    </row>
    <row r="116" spans="1:51" x14ac:dyDescent="0.2">
      <c r="C116" s="1"/>
      <c r="D116" s="1"/>
      <c r="E116" s="98"/>
      <c r="F116" s="98"/>
      <c r="G116" s="98"/>
      <c r="H116" s="98"/>
      <c r="I116" s="98"/>
      <c r="J116" s="98"/>
      <c r="K116" s="98"/>
      <c r="L116" s="98"/>
      <c r="M116" s="98"/>
      <c r="N116" s="98"/>
      <c r="O116" s="98"/>
      <c r="P116" s="98"/>
      <c r="Q116" s="98"/>
      <c r="R116" s="98"/>
      <c r="S116" s="98"/>
      <c r="T116" s="98"/>
      <c r="U116" s="102"/>
      <c r="V116" s="102"/>
      <c r="W116" s="102"/>
      <c r="X116" s="116"/>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60"/>
    </row>
    <row r="117" spans="1:51" x14ac:dyDescent="0.2">
      <c r="B117" s="105" t="s">
        <v>295</v>
      </c>
      <c r="C117" s="37"/>
      <c r="D117" s="37"/>
      <c r="E117" s="37"/>
      <c r="F117" s="37"/>
      <c r="G117" s="37"/>
      <c r="H117" s="37"/>
      <c r="I117" s="37"/>
      <c r="J117" s="37"/>
      <c r="K117" s="37"/>
      <c r="L117" s="37"/>
      <c r="M117" s="37"/>
      <c r="N117" s="37"/>
      <c r="O117" s="37"/>
      <c r="P117" s="37"/>
      <c r="Q117" s="37"/>
      <c r="R117" s="37"/>
      <c r="S117" s="37"/>
      <c r="T117" s="37"/>
      <c r="U117" s="37"/>
      <c r="V117" s="125"/>
      <c r="W117" s="125"/>
      <c r="X117" s="116"/>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60"/>
    </row>
    <row r="118" spans="1:51" outlineLevel="1" x14ac:dyDescent="0.2">
      <c r="B118" s="119" t="s">
        <v>43</v>
      </c>
      <c r="C118" s="34">
        <v>82.39459228515625</v>
      </c>
      <c r="D118" s="34">
        <v>78.375633239746094</v>
      </c>
      <c r="E118" s="34">
        <v>78.551918029785156</v>
      </c>
      <c r="F118" s="34">
        <v>79.538070678710938</v>
      </c>
      <c r="G118" s="34">
        <v>80.806404113769531</v>
      </c>
      <c r="H118" s="34">
        <v>81.272010803222656</v>
      </c>
      <c r="I118" s="34">
        <v>81.315498352050781</v>
      </c>
      <c r="J118" s="34">
        <v>81.143211364746094</v>
      </c>
      <c r="K118" s="34">
        <v>80.666961669921875</v>
      </c>
      <c r="L118" s="34">
        <v>79.838478088378906</v>
      </c>
      <c r="M118" s="34">
        <v>78.7188720703125</v>
      </c>
      <c r="N118" s="34">
        <v>77.41595458984375</v>
      </c>
      <c r="O118" s="34">
        <v>76.06298828125</v>
      </c>
      <c r="P118" s="34">
        <v>74.653884887695313</v>
      </c>
      <c r="Q118" s="34">
        <v>73.508827209472656</v>
      </c>
      <c r="R118" s="34">
        <v>72.414207458496094</v>
      </c>
      <c r="S118" s="34">
        <v>71.356704711914063</v>
      </c>
      <c r="T118" s="34">
        <v>70.329994201660156</v>
      </c>
      <c r="U118" s="34">
        <v>69.322196960449219</v>
      </c>
      <c r="V118" s="34">
        <v>68.318801879882813</v>
      </c>
      <c r="W118" s="34">
        <v>67.378433227539063</v>
      </c>
      <c r="X118" s="115"/>
      <c r="Y118" s="62"/>
    </row>
    <row r="119" spans="1:51" x14ac:dyDescent="0.2">
      <c r="B119" s="26" t="s">
        <v>129</v>
      </c>
      <c r="C119" s="1">
        <v>1.4190647602081299</v>
      </c>
      <c r="D119" s="1">
        <v>1.2721904516220093</v>
      </c>
      <c r="E119" s="1">
        <v>1.6214711666107178</v>
      </c>
      <c r="F119" s="1">
        <v>1.9528083801269531</v>
      </c>
      <c r="G119" s="1">
        <v>1.9344645738601685</v>
      </c>
      <c r="H119" s="1">
        <v>1.8826382160186768</v>
      </c>
      <c r="I119" s="1">
        <v>2.0350871086120605</v>
      </c>
      <c r="J119" s="1">
        <v>2.1708476543426514</v>
      </c>
      <c r="K119" s="1">
        <v>2.2940125465393066</v>
      </c>
      <c r="L119" s="1">
        <v>2.4067330360412598</v>
      </c>
      <c r="M119" s="1">
        <v>2.5106868743896484</v>
      </c>
      <c r="N119" s="1">
        <v>2.6071929931640625</v>
      </c>
      <c r="O119" s="1">
        <v>2.6995656490325928</v>
      </c>
      <c r="P119" s="1">
        <v>2.7882380485534668</v>
      </c>
      <c r="Q119" s="1">
        <v>2.8611824512481689</v>
      </c>
      <c r="R119" s="1">
        <v>2.9288527965545654</v>
      </c>
      <c r="S119" s="1">
        <v>2.9916658401489258</v>
      </c>
      <c r="T119" s="1">
        <v>3.0500674247741699</v>
      </c>
      <c r="U119" s="1">
        <v>3.1044445037841797</v>
      </c>
      <c r="V119" s="1">
        <v>3.1552054882049561</v>
      </c>
      <c r="W119" s="1">
        <v>3.2026972770690918</v>
      </c>
      <c r="X119" s="116"/>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60"/>
    </row>
    <row r="120" spans="1:51" x14ac:dyDescent="0.2">
      <c r="B120" s="26" t="s">
        <v>180</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16"/>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60"/>
    </row>
    <row r="121" spans="1:51" x14ac:dyDescent="0.2">
      <c r="T121" s="62"/>
      <c r="U121" s="115"/>
      <c r="V121" s="115"/>
      <c r="W121" s="115"/>
      <c r="X121" s="115"/>
      <c r="Y121" s="62"/>
    </row>
    <row r="122" spans="1:51" x14ac:dyDescent="0.2">
      <c r="H122" s="120"/>
      <c r="I122" s="120"/>
      <c r="J122" s="120"/>
      <c r="K122" s="120"/>
      <c r="L122" s="120"/>
      <c r="M122" s="120"/>
      <c r="N122" s="120"/>
      <c r="O122" s="120"/>
      <c r="P122" s="120"/>
      <c r="Q122" s="120"/>
      <c r="R122" s="120"/>
      <c r="S122" s="120"/>
      <c r="T122" s="120"/>
      <c r="U122" s="120"/>
      <c r="V122" s="120"/>
      <c r="W122" s="120"/>
    </row>
    <row r="123" spans="1:51" x14ac:dyDescent="0.2">
      <c r="E123" s="34"/>
      <c r="F123" s="34"/>
      <c r="G123" s="120"/>
      <c r="H123" s="120"/>
      <c r="I123" s="120"/>
      <c r="J123" s="120"/>
      <c r="K123" s="120"/>
      <c r="L123" s="120"/>
      <c r="M123" s="120"/>
      <c r="N123" s="120"/>
      <c r="O123" s="120"/>
      <c r="P123" s="120"/>
      <c r="Q123" s="120"/>
      <c r="R123" s="120"/>
      <c r="S123" s="120"/>
      <c r="T123" s="120"/>
      <c r="U123" s="120"/>
      <c r="V123" s="120"/>
      <c r="W123" s="120"/>
    </row>
    <row r="124" spans="1:51" x14ac:dyDescent="0.2">
      <c r="A124" s="60"/>
      <c r="C124" s="34"/>
      <c r="D124" s="34"/>
      <c r="E124" s="34"/>
      <c r="F124" s="34"/>
      <c r="G124" s="34"/>
      <c r="H124" s="34"/>
      <c r="I124" s="34"/>
      <c r="J124" s="34"/>
      <c r="K124" s="34"/>
      <c r="L124" s="34"/>
      <c r="M124" s="34"/>
      <c r="N124" s="34"/>
      <c r="O124" s="34"/>
      <c r="P124" s="34"/>
      <c r="Q124" s="34"/>
      <c r="R124" s="34"/>
      <c r="S124" s="34"/>
      <c r="T124" s="34"/>
      <c r="U124" s="34"/>
      <c r="V124" s="34"/>
      <c r="W124" s="34"/>
    </row>
    <row r="125" spans="1:51" x14ac:dyDescent="0.2">
      <c r="C125" s="61"/>
      <c r="D125" s="61"/>
      <c r="E125" s="61"/>
      <c r="F125" s="61"/>
      <c r="G125" s="61"/>
      <c r="H125" s="61"/>
      <c r="I125" s="61"/>
      <c r="J125" s="61"/>
      <c r="K125" s="61"/>
      <c r="L125" s="61"/>
      <c r="M125" s="61"/>
      <c r="N125" s="61"/>
      <c r="O125" s="61"/>
      <c r="P125" s="61"/>
      <c r="Q125" s="61"/>
      <c r="R125" s="61"/>
      <c r="S125" s="61"/>
      <c r="T125" s="61"/>
      <c r="U125" s="61"/>
      <c r="V125" s="61"/>
      <c r="W125" s="61"/>
      <c r="X125" s="61"/>
    </row>
    <row r="127" spans="1:51" x14ac:dyDescent="0.2">
      <c r="E127" s="34"/>
      <c r="F127" s="34"/>
      <c r="G127" s="120"/>
      <c r="H127" s="120"/>
      <c r="I127" s="120"/>
      <c r="J127" s="120"/>
      <c r="K127" s="120"/>
      <c r="L127" s="120"/>
      <c r="M127" s="120"/>
      <c r="N127" s="120"/>
      <c r="O127" s="120"/>
      <c r="P127" s="120"/>
      <c r="Q127" s="120"/>
      <c r="R127" s="120"/>
      <c r="S127" s="120"/>
      <c r="T127" s="120"/>
      <c r="U127" s="120"/>
      <c r="V127" s="120"/>
      <c r="W127" s="120"/>
    </row>
    <row r="128" spans="1:51" x14ac:dyDescent="0.2">
      <c r="E128" s="34"/>
      <c r="F128" s="34"/>
      <c r="G128" s="120"/>
      <c r="H128" s="120"/>
      <c r="I128" s="120"/>
      <c r="J128" s="120"/>
      <c r="K128" s="120"/>
      <c r="L128" s="120"/>
      <c r="M128" s="120"/>
      <c r="N128" s="120"/>
      <c r="O128" s="120"/>
      <c r="P128" s="120"/>
      <c r="Q128" s="120"/>
      <c r="R128" s="120"/>
      <c r="S128" s="120"/>
      <c r="T128" s="120"/>
      <c r="U128" s="120"/>
      <c r="V128" s="120"/>
      <c r="W128" s="120"/>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20"/>
      <c r="H130" s="120"/>
      <c r="I130" s="120"/>
      <c r="J130" s="120"/>
      <c r="K130" s="120"/>
      <c r="L130" s="120"/>
      <c r="M130" s="120"/>
      <c r="N130" s="120"/>
      <c r="O130" s="120"/>
      <c r="P130" s="120"/>
      <c r="Q130" s="120"/>
      <c r="R130" s="120"/>
      <c r="S130" s="120"/>
      <c r="T130" s="120"/>
      <c r="U130" s="120"/>
      <c r="V130" s="120"/>
      <c r="W130" s="120"/>
      <c r="X130" s="53"/>
    </row>
    <row r="131" spans="5:24" x14ac:dyDescent="0.2">
      <c r="E131" s="34"/>
      <c r="F131" s="34"/>
      <c r="G131" s="120"/>
      <c r="H131" s="120"/>
      <c r="I131" s="120"/>
      <c r="J131" s="120"/>
      <c r="K131" s="120"/>
      <c r="L131" s="120"/>
      <c r="M131" s="120"/>
      <c r="N131" s="120"/>
      <c r="O131" s="120"/>
      <c r="P131" s="120"/>
      <c r="Q131" s="120"/>
      <c r="R131" s="120"/>
      <c r="S131" s="120"/>
      <c r="T131" s="120"/>
      <c r="U131" s="120"/>
      <c r="V131" s="120"/>
      <c r="W131" s="120"/>
      <c r="X131" s="53"/>
    </row>
    <row r="132" spans="5:24" x14ac:dyDescent="0.2">
      <c r="G132" s="53"/>
      <c r="H132" s="53"/>
      <c r="I132" s="53"/>
      <c r="J132" s="53"/>
      <c r="K132" s="53"/>
      <c r="L132" s="53"/>
      <c r="M132" s="53"/>
      <c r="N132" s="53"/>
      <c r="O132" s="53"/>
      <c r="P132" s="53"/>
      <c r="Q132" s="53"/>
      <c r="R132" s="53"/>
      <c r="S132" s="53"/>
      <c r="T132" s="53"/>
      <c r="U132" s="53"/>
      <c r="V132" s="53"/>
      <c r="W132" s="53"/>
      <c r="X132" s="53"/>
    </row>
    <row r="133" spans="5:24" x14ac:dyDescent="0.2">
      <c r="E133" s="34"/>
      <c r="F133" s="34"/>
      <c r="G133" s="120"/>
      <c r="H133" s="120"/>
      <c r="I133" s="120"/>
      <c r="J133" s="120"/>
      <c r="K133" s="120"/>
      <c r="L133" s="120"/>
      <c r="M133" s="120"/>
      <c r="N133" s="120"/>
      <c r="O133" s="120"/>
      <c r="P133" s="120"/>
      <c r="Q133" s="120"/>
      <c r="R133" s="120"/>
      <c r="S133" s="120"/>
      <c r="T133" s="120"/>
      <c r="U133" s="120"/>
      <c r="V133" s="120"/>
      <c r="W133" s="120"/>
      <c r="X133" s="120"/>
    </row>
    <row r="134" spans="5:24" x14ac:dyDescent="0.2">
      <c r="E134" s="34"/>
      <c r="F134" s="34"/>
      <c r="G134" s="120"/>
      <c r="H134" s="120"/>
      <c r="I134" s="120"/>
      <c r="J134" s="120"/>
      <c r="K134" s="120"/>
      <c r="L134" s="120"/>
      <c r="M134" s="120"/>
      <c r="N134" s="120"/>
      <c r="O134" s="120"/>
      <c r="P134" s="120"/>
      <c r="Q134" s="120"/>
      <c r="R134" s="120"/>
      <c r="S134" s="120"/>
      <c r="T134" s="120"/>
      <c r="U134" s="120"/>
      <c r="V134" s="120"/>
      <c r="W134" s="120"/>
      <c r="X134" s="120"/>
    </row>
    <row r="135" spans="5:24" x14ac:dyDescent="0.2">
      <c r="G135" s="120"/>
      <c r="H135" s="120"/>
      <c r="I135" s="120"/>
      <c r="J135" s="120"/>
      <c r="K135" s="120"/>
      <c r="L135" s="120"/>
      <c r="M135" s="120"/>
      <c r="N135" s="120"/>
      <c r="O135" s="120"/>
      <c r="P135" s="120"/>
      <c r="Q135" s="120"/>
      <c r="R135" s="120"/>
      <c r="S135" s="120"/>
      <c r="T135" s="120"/>
      <c r="U135" s="120"/>
      <c r="V135" s="120"/>
      <c r="W135" s="120"/>
      <c r="X135" s="120"/>
    </row>
    <row r="136" spans="5:24" x14ac:dyDescent="0.2">
      <c r="E136" s="34"/>
      <c r="F136" s="34"/>
      <c r="G136" s="120"/>
      <c r="H136" s="120"/>
      <c r="I136" s="120"/>
      <c r="J136" s="120"/>
      <c r="K136" s="120"/>
      <c r="L136" s="120"/>
      <c r="M136" s="120"/>
      <c r="N136" s="120"/>
      <c r="O136" s="120"/>
      <c r="P136" s="120"/>
      <c r="Q136" s="120"/>
      <c r="R136" s="120"/>
      <c r="S136" s="120"/>
      <c r="T136" s="120"/>
      <c r="U136" s="120"/>
      <c r="V136" s="120"/>
      <c r="W136" s="120"/>
      <c r="X136" s="120"/>
    </row>
    <row r="137" spans="5:24" x14ac:dyDescent="0.2">
      <c r="E137" s="34"/>
      <c r="F137" s="34"/>
      <c r="G137" s="120"/>
      <c r="H137" s="120"/>
      <c r="I137" s="120"/>
      <c r="J137" s="120"/>
      <c r="K137" s="120"/>
      <c r="L137" s="120"/>
      <c r="M137" s="120"/>
      <c r="N137" s="120"/>
      <c r="O137" s="120"/>
      <c r="P137" s="120"/>
      <c r="Q137" s="120"/>
      <c r="R137" s="120"/>
      <c r="S137" s="120"/>
      <c r="T137" s="120"/>
      <c r="U137" s="120"/>
      <c r="V137" s="120"/>
      <c r="W137" s="120"/>
      <c r="X137" s="120"/>
    </row>
    <row r="138" spans="5:24" x14ac:dyDescent="0.2">
      <c r="G138" s="120"/>
      <c r="H138" s="120"/>
      <c r="I138" s="120"/>
      <c r="J138" s="120"/>
      <c r="K138" s="120"/>
      <c r="L138" s="120"/>
      <c r="M138" s="120"/>
      <c r="N138" s="120"/>
      <c r="O138" s="120"/>
      <c r="P138" s="120"/>
      <c r="Q138" s="120"/>
      <c r="R138" s="120"/>
      <c r="S138" s="120"/>
      <c r="T138" s="120"/>
      <c r="U138" s="120"/>
      <c r="V138" s="120"/>
      <c r="W138" s="120"/>
      <c r="X138" s="120"/>
    </row>
    <row r="139" spans="5:24" x14ac:dyDescent="0.2">
      <c r="G139" s="120"/>
      <c r="H139" s="120"/>
      <c r="I139" s="120"/>
      <c r="J139" s="120"/>
      <c r="K139" s="120"/>
      <c r="L139" s="120"/>
      <c r="M139" s="120"/>
      <c r="N139" s="120"/>
      <c r="O139" s="120"/>
      <c r="P139" s="120"/>
      <c r="Q139" s="120"/>
      <c r="R139" s="120"/>
      <c r="S139" s="120"/>
      <c r="T139" s="120"/>
      <c r="U139" s="120"/>
      <c r="V139" s="120"/>
      <c r="W139" s="120"/>
      <c r="X139" s="120"/>
    </row>
  </sheetData>
  <conditionalFormatting sqref="G12:M12">
    <cfRule type="expression" dxfId="33" priority="6">
      <formula>AND(G10&gt;$C$5,G10&lt;=$C$6)</formula>
    </cfRule>
  </conditionalFormatting>
  <conditionalFormatting sqref="U10:W44 U46:W53 U55:W84 U86:W109 U111:W130">
    <cfRule type="expression" dxfId="32" priority="2">
      <formula>U$10&gt;$C$7</formula>
    </cfRule>
  </conditionalFormatting>
  <conditionalFormatting sqref="U79:W79">
    <cfRule type="expression" dxfId="31" priority="1">
      <formula>U$10&gt;$C$7</formula>
    </cfRule>
  </conditionalFormatting>
  <pageMargins left="0.7" right="0.7" top="0.75" bottom="0.75" header="0.3" footer="0.3"/>
  <pageSetup paperSize="9" orientation="portrait" r:id="rId1"/>
  <ignoredErrors>
    <ignoredError sqref="C47:C48 C5:C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1:BB129"/>
  <sheetViews>
    <sheetView zoomScaleNormal="100" workbookViewId="0"/>
  </sheetViews>
  <sheetFormatPr defaultColWidth="9.33203125" defaultRowHeight="10.199999999999999" outlineLevelRow="1" x14ac:dyDescent="0.2"/>
  <cols>
    <col min="1" max="1" width="9.33203125" style="26" customWidth="1"/>
    <col min="2" max="2" width="57.44140625" style="26" customWidth="1"/>
    <col min="3" max="38" width="9.33203125" style="26" customWidth="1"/>
    <col min="39" max="48" width="11.44140625" style="26" bestFit="1" customWidth="1"/>
    <col min="49" max="16384" width="9.33203125" style="26"/>
  </cols>
  <sheetData>
    <row r="1" spans="1:51" ht="24.75" customHeight="1" x14ac:dyDescent="0.2">
      <c r="B1" s="39"/>
    </row>
    <row r="2" spans="1:51" ht="11.25" customHeight="1" x14ac:dyDescent="0.2">
      <c r="B2" s="27"/>
    </row>
    <row r="3" spans="1:51" ht="11.25" customHeight="1" x14ac:dyDescent="0.2">
      <c r="B3" s="19" t="s">
        <v>15</v>
      </c>
      <c r="C3" s="20" t="str">
        <f>'Input data'!C3</f>
        <v>AT</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3.2" x14ac:dyDescent="0.25">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-3.4934150000000002</v>
      </c>
      <c r="D12" s="2">
        <f>'Input data'!D13</f>
        <v>-3.493954</v>
      </c>
      <c r="E12" s="2">
        <f>'Input data'!E13</f>
        <v>-1.399295</v>
      </c>
      <c r="F12" s="2">
        <f>'Input data'!F13</f>
        <v>-1.3351299999999999</v>
      </c>
      <c r="G12" s="3">
        <f>'Adjust. no safeguard'!G12</f>
        <v>-0.35512999999999995</v>
      </c>
      <c r="H12" s="3">
        <f>'Adjust. no safeguard'!H12</f>
        <v>0.62487000000000004</v>
      </c>
      <c r="I12" s="3">
        <f>'Adjust. no safeguard'!I12</f>
        <v>1.60487</v>
      </c>
      <c r="J12" s="3">
        <f>'Adjust. no safeguard'!J12</f>
        <v>2.58487</v>
      </c>
      <c r="K12" s="118">
        <f>'Adjust. no safeguard'!K12</f>
        <v>2.58487</v>
      </c>
      <c r="L12" s="118">
        <f>'Adjust. no safeguard'!L12</f>
        <v>2.58487</v>
      </c>
      <c r="M12" s="118">
        <f>'Adjust. no safeguard'!M12</f>
        <v>2.58487</v>
      </c>
      <c r="N12" s="118">
        <f>IF(N10&lt;=$C$6,M12+'Criteria results'!$F$6,M12)</f>
        <v>2.58487</v>
      </c>
      <c r="O12" s="118">
        <f>IF(O10&lt;=$C$6,N12+'Criteria results'!$F$6,N12)</f>
        <v>2.58487</v>
      </c>
      <c r="P12" s="118">
        <f>IF(P10&lt;=$C$6,O12+'Criteria results'!$F$6,O12)</f>
        <v>2.58487</v>
      </c>
      <c r="Q12" s="118">
        <f>IF(Q10&lt;=$C$6,P12+'Criteria results'!$F$6,P12)</f>
        <v>2.58487</v>
      </c>
      <c r="R12" s="118">
        <f>IF(R10&lt;=$C$6,Q12+'Criteria results'!$F$6,Q12)</f>
        <v>2.58487</v>
      </c>
      <c r="S12" s="118">
        <f>IF(S10&lt;=$C$6,R12+'Criteria results'!$F$6,R12)</f>
        <v>2.58487</v>
      </c>
      <c r="T12" s="118">
        <f>IF(T10&lt;=$C$6,S12+'Criteria results'!$F$6,S12)</f>
        <v>2.58487</v>
      </c>
      <c r="U12" s="118">
        <f>IF(U10&lt;=$C$6,T12+'Criteria results'!$F$6,T12)</f>
        <v>2.58487</v>
      </c>
      <c r="V12" s="118">
        <f>IF(V10&lt;=$C$6,U12+'Criteria results'!$F$6,U12)</f>
        <v>2.58487</v>
      </c>
      <c r="W12" s="118">
        <f>IF(W10&lt;=$C$6,V12+'Criteria results'!$F$6,V12)</f>
        <v>2.58487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2.1047099999999999E-2</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-1.168344</v>
      </c>
      <c r="D14" s="2">
        <f>'Input data'!D15</f>
        <v>0.33345029999999998</v>
      </c>
      <c r="E14" s="2">
        <f>'Input data'!E15</f>
        <v>1.738494</v>
      </c>
      <c r="F14" s="2">
        <f>'Input data'!F15</f>
        <v>0.1010605</v>
      </c>
      <c r="G14" s="2">
        <f>'Input data'!G15</f>
        <v>9.9622799999999997E-2</v>
      </c>
      <c r="H14" s="2">
        <f>'Input data'!H15</f>
        <v>0.1</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7"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0">
        <f>'Input data'!D20</f>
        <v>25.324309999999997</v>
      </c>
      <c r="E17" s="100">
        <f>'Input data'!E20</f>
        <v>25.242449999999998</v>
      </c>
      <c r="F17" s="100">
        <f>'Input data'!F20</f>
        <v>25.614070000000002</v>
      </c>
      <c r="G17" s="100">
        <f>'Input data'!G20</f>
        <v>25.90615</v>
      </c>
      <c r="H17" s="100">
        <f>'Input data'!H20</f>
        <v>26.090959999999999</v>
      </c>
      <c r="I17" s="100">
        <f>'Input data'!I20</f>
        <v>26.301199999999998</v>
      </c>
      <c r="J17" s="100">
        <f>'Input data'!J20</f>
        <v>26.42249</v>
      </c>
      <c r="K17" s="100">
        <f>'Input data'!K20</f>
        <v>26.510670000000001</v>
      </c>
      <c r="L17" s="100">
        <f>'Input data'!L20</f>
        <v>26.607600000000001</v>
      </c>
      <c r="M17" s="100">
        <f>'Input data'!M20</f>
        <v>26.704270000000001</v>
      </c>
      <c r="N17" s="100">
        <f>'Input data'!N20</f>
        <v>26.793779999999998</v>
      </c>
      <c r="O17" s="100">
        <f>'Input data'!O20</f>
        <v>26.842309999999998</v>
      </c>
      <c r="P17" s="100">
        <f>'Input data'!P20</f>
        <v>26.922160000000002</v>
      </c>
      <c r="Q17" s="100">
        <f>'Input data'!Q20</f>
        <v>26.971239999999998</v>
      </c>
      <c r="R17" s="100">
        <f>'Input data'!R20</f>
        <v>27.00421</v>
      </c>
      <c r="S17" s="100">
        <f>'Input data'!S20</f>
        <v>27.027639999999998</v>
      </c>
      <c r="T17" s="100">
        <f>'Input data'!T20</f>
        <v>27.036020000000001</v>
      </c>
      <c r="U17" s="100">
        <f>'Input data'!U20</f>
        <v>27.037079999999996</v>
      </c>
      <c r="V17" s="100">
        <f>'Input data'!V20</f>
        <v>27.02562</v>
      </c>
      <c r="W17" s="100">
        <f>'Input data'!W20</f>
        <v>27.02122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0.69878779999999996</v>
      </c>
      <c r="D18" s="100">
        <f>'Input data'!D26</f>
        <v>0.67838160000000003</v>
      </c>
      <c r="E18" s="100">
        <f>'Input data'!E26</f>
        <v>0.90806710000000002</v>
      </c>
      <c r="F18" s="100">
        <f>'Input data'!F26</f>
        <v>0.90100539999999996</v>
      </c>
      <c r="G18" s="100">
        <f>'Input data'!G26</f>
        <v>0.89394379999999996</v>
      </c>
      <c r="H18" s="100">
        <f>'Input data'!H26</f>
        <v>0.88688210000000001</v>
      </c>
      <c r="I18" s="100">
        <f>'Input data'!I26</f>
        <v>0.87982050000000001</v>
      </c>
      <c r="J18" s="100">
        <f>'Input data'!J26</f>
        <v>0.8727589</v>
      </c>
      <c r="K18" s="100">
        <f>'Input data'!K26</f>
        <v>0.8656973</v>
      </c>
      <c r="L18" s="100">
        <f>'Input data'!L26</f>
        <v>0.85863560000000005</v>
      </c>
      <c r="M18" s="100">
        <f>'Input data'!M26</f>
        <v>0.85157389999999999</v>
      </c>
      <c r="N18" s="100">
        <f>'Input data'!N26</f>
        <v>0.84451229999999999</v>
      </c>
      <c r="O18" s="100">
        <f>'Input data'!O26</f>
        <v>0.83745069999999999</v>
      </c>
      <c r="P18" s="100">
        <f>'Input data'!P26</f>
        <v>0.83038909999999999</v>
      </c>
      <c r="Q18" s="100">
        <f>'Input data'!Q26</f>
        <v>0.82332740000000004</v>
      </c>
      <c r="R18" s="100">
        <f>'Input data'!R26</f>
        <v>0.81626580000000004</v>
      </c>
      <c r="S18" s="100">
        <f>'Input data'!S26</f>
        <v>0.80920420000000004</v>
      </c>
      <c r="T18" s="100">
        <f>'Input data'!T26</f>
        <v>0.80214260000000004</v>
      </c>
      <c r="U18" s="100">
        <f>'Input data'!U26</f>
        <v>0.79508089999999998</v>
      </c>
      <c r="V18" s="100">
        <f>'Input data'!V26</f>
        <v>0.78801929999999998</v>
      </c>
      <c r="W18" s="100">
        <f>'Input data'!W26</f>
        <v>0.78095769999999998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85</v>
      </c>
    </row>
    <row r="21" spans="1:50" ht="10.5" customHeight="1" x14ac:dyDescent="0.2">
      <c r="B21" s="30" t="s">
        <v>86</v>
      </c>
    </row>
    <row r="22" spans="1:50" x14ac:dyDescent="0.2">
      <c r="B22" s="26" t="s">
        <v>61</v>
      </c>
      <c r="C22" s="34">
        <f>'Input data'!C31</f>
        <v>331.5462</v>
      </c>
      <c r="D22" s="99">
        <f>'Baseline NFPC'!D22</f>
        <v>349.04485699702803</v>
      </c>
      <c r="E22" s="99">
        <f>'Baseline NFPC'!E22</f>
        <v>345.71160461789975</v>
      </c>
      <c r="F22" s="99">
        <f>'Baseline NFPC'!F22</f>
        <v>343.56249568773626</v>
      </c>
      <c r="G22" s="34">
        <f>IF(AND(G49&gt;1,F49&gt;1),
G26*(1+('Baseline NFPC'!G$29+G50)/100)-F22*$C$46*(G12-F12)/100,
IF(G49=1,G26,F22*(1+G51/100)))</f>
        <v>343.78779984965831</v>
      </c>
      <c r="H22" s="34">
        <f>IF(AND(H49&gt;1,G49&gt;1),
H26*(1+('Baseline NFPC'!H$29+H50)/100)-G22*$C$46*(H12-G12)/100,
IF(H49=1,H26,G22*(1+H51/100)))</f>
        <v>346.87073120317223</v>
      </c>
      <c r="I22" s="34">
        <f>IF(AND(I49&gt;1,H49&gt;1),
I26*(1+I50/100)-H22*$C$46*(I12-H12)/100,
IF(I49=1,I26,H22*(1+I51/100)))</f>
        <v>350.31717286119243</v>
      </c>
      <c r="J22" s="34">
        <f t="shared" ref="J22:W22" si="0">IF(AND(J49&gt;1,I49&gt;1),
J26*(1+J50/100)-I22*$C$46*(J12-I12)/100,
IF(J49=1,J26,I22*(1+J51/100)))</f>
        <v>353.62352785907694</v>
      </c>
      <c r="K22" s="34">
        <f t="shared" si="0"/>
        <v>359.73421808673697</v>
      </c>
      <c r="L22" s="34">
        <f t="shared" si="0"/>
        <v>366.25889653340869</v>
      </c>
      <c r="M22" s="34">
        <f t="shared" si="0"/>
        <v>372.92328113935895</v>
      </c>
      <c r="N22" s="34">
        <f t="shared" si="0"/>
        <v>377.09427141112462</v>
      </c>
      <c r="O22" s="34">
        <f t="shared" si="0"/>
        <v>381.30710073436086</v>
      </c>
      <c r="P22" s="34">
        <f t="shared" si="0"/>
        <v>385.73730584502999</v>
      </c>
      <c r="Q22" s="34">
        <f t="shared" si="0"/>
        <v>390.53091349061594</v>
      </c>
      <c r="R22" s="34">
        <f t="shared" si="0"/>
        <v>395.69991817663163</v>
      </c>
      <c r="S22" s="34">
        <f t="shared" si="0"/>
        <v>401.25734941945848</v>
      </c>
      <c r="T22" s="34">
        <f t="shared" si="0"/>
        <v>407.14849345900365</v>
      </c>
      <c r="U22" s="34">
        <f t="shared" si="0"/>
        <v>413.39388263065905</v>
      </c>
      <c r="V22" s="34">
        <f t="shared" si="0"/>
        <v>420.00286023954129</v>
      </c>
      <c r="W22" s="34">
        <f t="shared" si="0"/>
        <v>426.65141731653256</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4.7953340000000004</v>
      </c>
      <c r="D23" s="99">
        <f>'Baseline NFPC'!D23</f>
        <v>5.2778939999999999</v>
      </c>
      <c r="E23" s="99">
        <f>'Baseline NFPC'!E23</f>
        <v>-0.95496389999999998</v>
      </c>
      <c r="F23" s="99">
        <f>'Baseline NFPC'!F23</f>
        <v>-0.62164790000000003</v>
      </c>
      <c r="G23" s="34">
        <f t="shared" ref="G23:T23" si="1">100*(G22/F22-1)</f>
        <v>6.5578799999999049E-2</v>
      </c>
      <c r="H23" s="34">
        <f t="shared" si="1"/>
        <v>0.89675414743108917</v>
      </c>
      <c r="I23" s="34">
        <f t="shared" si="1"/>
        <v>0.99358099372228725</v>
      </c>
      <c r="J23" s="34">
        <f t="shared" si="1"/>
        <v>0.94381756134878092</v>
      </c>
      <c r="K23" s="34">
        <f t="shared" si="1"/>
        <v>1.7280213974040892</v>
      </c>
      <c r="L23" s="34">
        <f t="shared" si="1"/>
        <v>1.8137497403982072</v>
      </c>
      <c r="M23" s="34">
        <f t="shared" si="1"/>
        <v>1.8195829968985722</v>
      </c>
      <c r="N23" s="34">
        <f t="shared" si="1"/>
        <v>1.1184580000000111</v>
      </c>
      <c r="O23" s="34">
        <f t="shared" si="1"/>
        <v>1.1171819999999943</v>
      </c>
      <c r="P23" s="34">
        <f t="shared" si="1"/>
        <v>1.1618469999999936</v>
      </c>
      <c r="Q23" s="34">
        <f t="shared" si="1"/>
        <v>1.2427130000000064</v>
      </c>
      <c r="R23" s="34">
        <f t="shared" si="1"/>
        <v>1.323584000000011</v>
      </c>
      <c r="S23" s="34">
        <f t="shared" si="1"/>
        <v>1.4044560000000095</v>
      </c>
      <c r="T23" s="34">
        <f t="shared" si="1"/>
        <v>1.468171000000007</v>
      </c>
      <c r="U23" s="34">
        <f t="shared" ref="U23" si="2">100*(U22/T22-1)</f>
        <v>1.5339339999999924</v>
      </c>
      <c r="V23" s="34">
        <f t="shared" ref="V23" si="3">100*(V22/U22-1)</f>
        <v>1.598711999999991</v>
      </c>
      <c r="W23" s="34">
        <f t="shared" ref="W23" si="4">100*(W22/V22-1)</f>
        <v>1.5829789999999955</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ht="14.4" x14ac:dyDescent="0.2">
      <c r="A25" s="223"/>
      <c r="B25" s="30" t="s">
        <v>87</v>
      </c>
      <c r="C25" s="222"/>
      <c r="D25" s="222"/>
      <c r="E25" s="222"/>
      <c r="F25" s="222"/>
    </row>
    <row r="26" spans="1:50" x14ac:dyDescent="0.2">
      <c r="B26" s="26" t="s">
        <v>61</v>
      </c>
      <c r="C26" s="34">
        <f>'Input data'!C34</f>
        <v>338.15530000000001</v>
      </c>
      <c r="D26" s="99">
        <f>+C26*(1+'Input data'!D33/100)</f>
        <v>342.225837660644</v>
      </c>
      <c r="E26" s="99">
        <f>+D26*(1+'Input data'!E33/100)</f>
        <v>345.81733013623199</v>
      </c>
      <c r="F26" s="99">
        <f>+E26*(1+'Input data'!F33/100)</f>
        <v>348.37401022216329</v>
      </c>
      <c r="G26" s="34">
        <f>+F26*(1+'Input data'!G33/100)</f>
        <v>350.82887192869305</v>
      </c>
      <c r="H26" s="34">
        <f>+G26*(1+'Input data'!H33/100)</f>
        <v>353.69561041475009</v>
      </c>
      <c r="I26" s="34">
        <f>+H26*(1+'Input data'!I33/100)</f>
        <v>357.46508247622813</v>
      </c>
      <c r="J26" s="34">
        <f>+I26*(1+'Input data'!J33/100)</f>
        <v>361.01090052490298</v>
      </c>
      <c r="K26" s="34">
        <f>+J26*(1+'Input data'!K33/100)</f>
        <v>364.70959077481382</v>
      </c>
      <c r="L26" s="34">
        <f>+K26*(1+'Input data'!L33/100)</f>
        <v>368.77430834076637</v>
      </c>
      <c r="M26" s="34">
        <f>+L26*(1+'Input data'!M33/100)</f>
        <v>372.92328113935895</v>
      </c>
      <c r="N26" s="34">
        <f>+M26*(1+'Input data'!N33/100)</f>
        <v>377.0942788695902</v>
      </c>
      <c r="O26" s="34">
        <f>+N26*(1+'Input data'!O33/100)</f>
        <v>381.30711581803666</v>
      </c>
      <c r="P26" s="34">
        <f>+O26*(1+'Input data'!P33/100)</f>
        <v>385.73731347781273</v>
      </c>
      <c r="Q26" s="34">
        <f>+P26*(1+'Input data'!Q33/100)</f>
        <v>390.53093279037171</v>
      </c>
      <c r="R26" s="34">
        <f>+Q26*(1+'Input data'!R33/100)</f>
        <v>395.6999494477638</v>
      </c>
      <c r="S26" s="34">
        <f>+R26*(1+'Input data'!S33/100)</f>
        <v>401.25739300077834</v>
      </c>
      <c r="T26" s="34">
        <f>+S26*(1+'Input data'!T33/100)</f>
        <v>407.14852162987609</v>
      </c>
      <c r="U26" s="34">
        <f>+T26*(1+'Input data'!U33/100)</f>
        <v>413.39391530513939</v>
      </c>
      <c r="V26" s="34">
        <f>+U26*(1+'Input data'!V33/100)</f>
        <v>420.00288103457507</v>
      </c>
      <c r="W26" s="34">
        <f>+V26*(1+'Input data'!W33/100)</f>
        <v>426.65142584066092</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88</v>
      </c>
      <c r="C29" s="34">
        <f>100*(C22/C26-1)</f>
        <v>-1.9544570201916134</v>
      </c>
      <c r="D29" s="99">
        <f t="shared" ref="D29:T29" si="5">100*(D22/D26-1)</f>
        <v>1.9925495348325661</v>
      </c>
      <c r="E29" s="99">
        <f t="shared" si="5"/>
        <v>-3.0572648944626746E-2</v>
      </c>
      <c r="F29" s="99">
        <f t="shared" si="5"/>
        <v>-1.3811347555343301</v>
      </c>
      <c r="G29" s="34">
        <f t="shared" si="5"/>
        <v>-2.0069819340484241</v>
      </c>
      <c r="H29" s="34">
        <f t="shared" si="5"/>
        <v>-1.9295911542625221</v>
      </c>
      <c r="I29" s="34">
        <f t="shared" si="5"/>
        <v>-1.9996105816883603</v>
      </c>
      <c r="J29" s="34">
        <f t="shared" si="5"/>
        <v>-2.0463018305222791</v>
      </c>
      <c r="K29" s="34">
        <f t="shared" si="5"/>
        <v>-1.3642012203481713</v>
      </c>
      <c r="L29" s="34">
        <f t="shared" si="5"/>
        <v>-0.68210061017409673</v>
      </c>
      <c r="M29" s="34">
        <f t="shared" si="5"/>
        <v>0</v>
      </c>
      <c r="N29" s="34">
        <f t="shared" si="5"/>
        <v>-1.9778782056611988E-6</v>
      </c>
      <c r="O29" s="34">
        <f t="shared" si="5"/>
        <v>-3.9557813580337609E-6</v>
      </c>
      <c r="P29" s="34">
        <f t="shared" si="5"/>
        <v>-1.9787514626834479E-6</v>
      </c>
      <c r="Q29" s="34">
        <f t="shared" si="5"/>
        <v>-4.9419275560680376E-6</v>
      </c>
      <c r="R29" s="34">
        <f t="shared" si="5"/>
        <v>-7.902738485832117E-6</v>
      </c>
      <c r="S29" s="34">
        <f t="shared" si="5"/>
        <v>-1.0861188004529509E-5</v>
      </c>
      <c r="T29" s="34">
        <f t="shared" si="5"/>
        <v>-6.9190653873008046E-6</v>
      </c>
      <c r="U29" s="34">
        <f t="shared" ref="U29:W29" si="6">100*(U22/U26-1)</f>
        <v>-7.9039577327577604E-6</v>
      </c>
      <c r="V29" s="34">
        <f t="shared" si="6"/>
        <v>-4.9511645561217676E-6</v>
      </c>
      <c r="W29" s="34">
        <f t="shared" si="6"/>
        <v>-1.9979139564973991E-6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7">100*((1+C23/100)*(1+C41/100)-1)</f>
        <v>6.8138294147275458</v>
      </c>
      <c r="D32" s="2">
        <f t="shared" si="7"/>
        <v>10.283625195554279</v>
      </c>
      <c r="E32" s="2">
        <f t="shared" si="7"/>
        <v>5.6292074041030871</v>
      </c>
      <c r="F32" s="2">
        <f t="shared" si="7"/>
        <v>3.584825074719511</v>
      </c>
      <c r="G32" s="1">
        <f t="shared" si="7"/>
        <v>2.3540965989601759</v>
      </c>
      <c r="H32" s="1">
        <f t="shared" si="7"/>
        <v>2.7923569608136578</v>
      </c>
      <c r="I32" s="1">
        <f t="shared" si="7"/>
        <v>2.9504938464151254</v>
      </c>
      <c r="J32" s="1">
        <f t="shared" si="7"/>
        <v>2.9592277542402456</v>
      </c>
      <c r="K32" s="1">
        <f t="shared" si="7"/>
        <v>3.8190122662216996</v>
      </c>
      <c r="L32" s="1">
        <f t="shared" si="7"/>
        <v>3.9664767568154957</v>
      </c>
      <c r="M32" s="1">
        <f t="shared" si="7"/>
        <v>4.0324108121155389</v>
      </c>
      <c r="N32" s="1">
        <f t="shared" si="7"/>
        <v>3.3756128436494892</v>
      </c>
      <c r="O32" s="1">
        <f t="shared" si="7"/>
        <v>3.4338720689605085</v>
      </c>
      <c r="P32" s="1">
        <f t="shared" si="7"/>
        <v>3.5391504044999911</v>
      </c>
      <c r="Q32" s="1">
        <f t="shared" si="7"/>
        <v>3.6041992807250178</v>
      </c>
      <c r="R32" s="1">
        <f t="shared" si="7"/>
        <v>3.6692249696000045</v>
      </c>
      <c r="S32" s="1">
        <f t="shared" si="7"/>
        <v>3.7342233766000099</v>
      </c>
      <c r="T32" s="1">
        <f t="shared" si="7"/>
        <v>3.7816452988000071</v>
      </c>
      <c r="U32" s="1">
        <f t="shared" si="7"/>
        <v>3.8311392567499825</v>
      </c>
      <c r="V32" s="1">
        <f t="shared" si="7"/>
        <v>3.8796030844000073</v>
      </c>
      <c r="W32" s="1">
        <f t="shared" si="7"/>
        <v>3.8457398572250057</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138</v>
      </c>
    </row>
    <row r="35" spans="2:51" x14ac:dyDescent="0.2">
      <c r="B35" s="26" t="s">
        <v>63</v>
      </c>
      <c r="C35" s="34">
        <f>'Input data'!C37</f>
        <v>1.419065</v>
      </c>
      <c r="D35" s="99">
        <f>'Input data'!D37</f>
        <v>1.2721899999999999</v>
      </c>
      <c r="E35" s="99">
        <f>'Input data'!E37</f>
        <v>1.6214710000000001</v>
      </c>
      <c r="F35" s="99">
        <f>'Input data'!F37</f>
        <v>1.9528080000000001</v>
      </c>
      <c r="G35" s="99">
        <f>'Input data'!G37</f>
        <v>1.9344650000000001</v>
      </c>
      <c r="H35" s="34">
        <f>H92</f>
        <v>1.8809861130955123</v>
      </c>
      <c r="I35" s="34">
        <f t="shared" ref="I35:W35" si="8">I92</f>
        <v>2.0239034219102687</v>
      </c>
      <c r="J35" s="34">
        <f t="shared" si="8"/>
        <v>2.1462506647711721</v>
      </c>
      <c r="K35" s="34">
        <f>K92</f>
        <v>2.4248642342552018</v>
      </c>
      <c r="L35" s="34">
        <f t="shared" si="8"/>
        <v>2.4423583038794701</v>
      </c>
      <c r="M35" s="34">
        <f t="shared" si="8"/>
        <v>2.5259541359823898</v>
      </c>
      <c r="N35" s="34">
        <f t="shared" si="8"/>
        <v>2.6055173012714188</v>
      </c>
      <c r="O35" s="34">
        <f t="shared" si="8"/>
        <v>2.683467313955604</v>
      </c>
      <c r="P35" s="34">
        <f t="shared" si="8"/>
        <v>2.7597492679287199</v>
      </c>
      <c r="Q35" s="34">
        <f t="shared" si="8"/>
        <v>2.8243853170225832</v>
      </c>
      <c r="R35" s="34">
        <f t="shared" si="8"/>
        <v>2.8853953287316072</v>
      </c>
      <c r="S35" s="34">
        <f t="shared" si="8"/>
        <v>2.9430560242074812</v>
      </c>
      <c r="T35" s="34">
        <f t="shared" si="8"/>
        <v>2.9976833230477258</v>
      </c>
      <c r="U35" s="34">
        <f t="shared" si="8"/>
        <v>3.0495763326473599</v>
      </c>
      <c r="V35" s="34">
        <f t="shared" si="8"/>
        <v>3.0990606764460407</v>
      </c>
      <c r="W35" s="34">
        <f t="shared" si="8"/>
        <v>3.1464381347930876</v>
      </c>
    </row>
    <row r="36" spans="2:51" x14ac:dyDescent="0.2">
      <c r="B36" s="32" t="s">
        <v>91</v>
      </c>
      <c r="C36" s="1"/>
      <c r="D36" s="2">
        <f>'Input data'!D$39</f>
        <v>1.71</v>
      </c>
      <c r="E36" s="2">
        <f>'Input data'!E$39</f>
        <v>3.08</v>
      </c>
      <c r="F36" s="165">
        <f>'Input data'!F$39</f>
        <v>2.8521350000000001</v>
      </c>
      <c r="G36" s="165">
        <f>'Input data'!G$39</f>
        <v>2.809685</v>
      </c>
      <c r="H36" s="165">
        <f>'Input data'!H$39</f>
        <v>2.9436909999999998</v>
      </c>
      <c r="I36" s="1">
        <f>H36+($P$36-$H$36)/($P$10-$H$10)</f>
        <v>3.0060458749999999</v>
      </c>
      <c r="J36" s="1">
        <f>I36+($P$36-$H$36)/($P$10-$H$10)</f>
        <v>3.0684007499999999</v>
      </c>
      <c r="K36" s="1">
        <f>IF('Criteria results'!$F$5=4,
IF(J56&gt;90,H36+('Input data'!$C$52-$H$36)/($P$10-$H$10)*(K10-$H$10)+1+0.06*(J56-90),
H36+('Input data'!$C$52-$H$36)/($P$10-$H$10)*(K10-$H$10)+1),
H36+('Input data'!$C$52-$H$36)/($P$10-$H$10)*(K10-$H$10))</f>
        <v>4.1307556249999999</v>
      </c>
      <c r="L36" s="1">
        <f>$H$36+('Input data'!$C$52-$H$36)/($P$10-$H$10)*(L10-$H$10)</f>
        <v>3.1931105</v>
      </c>
      <c r="M36" s="1">
        <f>$H$36+('Input data'!$C$52-$H$36)/($P$10-$H$10)*(M10-$H$10)</f>
        <v>3.255465375</v>
      </c>
      <c r="N36" s="1">
        <f>IF('Criteria results'!$F$5=7,
IF(M56&gt;90,H36+('Input data'!$C$52-$H$36)/($P$10-$H$10)*(N10-$H$10)+1+0.06*(M56-90),
H36+('Input data'!$C$52-$H$36)/($P$10-$H$10)*(N10-$H$10)+1),
H36+('Input data'!$C$52-$H$36)/($P$10-$H$10)*(N10-$H$10))</f>
        <v>3.31782025</v>
      </c>
      <c r="O36" s="1">
        <f>$H$36+('Input data'!$C$52-$H$36)/($P$10-$H$10)*(O10-$H$10)</f>
        <v>3.3801751250000001</v>
      </c>
      <c r="P36" s="251">
        <f>'Baseline NFPC'!P36</f>
        <v>3.4425300000000001</v>
      </c>
      <c r="Q36" s="1">
        <f>'Baseline NFPC'!Q36</f>
        <v>3.4704035000000002</v>
      </c>
      <c r="R36" s="1">
        <f>'Baseline NFPC'!R36</f>
        <v>3.4982769999999999</v>
      </c>
      <c r="S36" s="1">
        <f>'Baseline NFPC'!S36</f>
        <v>3.5261505</v>
      </c>
      <c r="T36" s="1">
        <f>'Baseline NFPC'!T36</f>
        <v>3.5540240000000001</v>
      </c>
      <c r="U36" s="1">
        <f>'Baseline NFPC'!U36</f>
        <v>3.5818975000000002</v>
      </c>
      <c r="V36" s="1">
        <f>'Baseline NFPC'!V36</f>
        <v>3.6097710000000003</v>
      </c>
      <c r="W36" s="1">
        <f>'Baseline NFPC'!W36</f>
        <v>3.6376444999999999</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92</v>
      </c>
      <c r="C37" s="1"/>
      <c r="D37" s="2">
        <f>'Input data'!D$38</f>
        <v>0.35</v>
      </c>
      <c r="E37" s="2">
        <f>'Input data'!E$38</f>
        <v>3.43</v>
      </c>
      <c r="F37" s="165">
        <f>'Input data'!F$38</f>
        <v>3.5292500000000002</v>
      </c>
      <c r="G37" s="165">
        <f>'Input data'!G$38</f>
        <v>2.0662500000000001</v>
      </c>
      <c r="H37" s="165">
        <f>'Input data'!H$38</f>
        <v>1.9957499999999999</v>
      </c>
      <c r="I37" s="1">
        <f>H37+($P$37-$H$37)/($P$10-$H$10)</f>
        <v>2.079285</v>
      </c>
      <c r="J37" s="1">
        <f>I37+($P$37-$H$37)/($P$10-$H$10)</f>
        <v>2.16282</v>
      </c>
      <c r="K37" s="1">
        <f>IF('Criteria results'!$F$5=4,
IF(J56&gt;90,H37+('Input data'!$C$53-$H$37)/($P$10-$H$10)*(K10-$H$10)+1+0.06*(J56-90),
H37+('Input data'!$C$53-$H$37)/($P$10-$H$10)*(K10-$H$10)+1),
H37+('Input data'!$C$53-$H$37)/($P$10-$H$10)*(K10-$H$10))</f>
        <v>3.2463549999999999</v>
      </c>
      <c r="L37" s="1">
        <f>$H$37+('Input data'!$C$53-$H$37)/($P$10-$H$10)*(L10-$H$10)</f>
        <v>2.3298899999999998</v>
      </c>
      <c r="M37" s="1">
        <f>$H$37+('Input data'!$C$53-$H$37)/($P$10-$H$10)*(M10-$H$10)</f>
        <v>2.4134250000000002</v>
      </c>
      <c r="N37" s="1">
        <f>IF('Criteria results'!$F$5=7,
IF(M56&gt;90,H37+('Input data'!$C$53-$H$37)/($P$10-$H$10)*(N10-$H$10)+1+0.06*(M56-90),
H37+('Input data'!$C$53-$H$37)/($P$10-$H$10)*(N10-$H$10)+1),
H37+('Input data'!$C$53-$H$37)/($P$10-$H$10)*(N10-$H$10))</f>
        <v>2.4969599999999996</v>
      </c>
      <c r="O37" s="1">
        <f>$H$37+('Input data'!$C$53-$H$37)/($P$10-$H$10)*(O10-$H$10)</f>
        <v>2.580495</v>
      </c>
      <c r="P37" s="251">
        <f>'Baseline NFPC'!P37</f>
        <v>2.6640299999999999</v>
      </c>
      <c r="Q37" s="1">
        <f>'Baseline NFPC'!Q37</f>
        <v>2.6308284999999998</v>
      </c>
      <c r="R37" s="1">
        <f>'Baseline NFPC'!R37</f>
        <v>2.5976270000000001</v>
      </c>
      <c r="S37" s="1">
        <f>'Baseline NFPC'!S37</f>
        <v>2.5644255</v>
      </c>
      <c r="T37" s="1">
        <f>'Baseline NFPC'!T37</f>
        <v>2.5312239999999999</v>
      </c>
      <c r="U37" s="1">
        <f>'Baseline NFPC'!U37</f>
        <v>2.4980224999999998</v>
      </c>
      <c r="V37" s="1">
        <f>'Baseline NFPC'!V37</f>
        <v>2.4648209999999997</v>
      </c>
      <c r="W37" s="1">
        <f>'Baseline NFPC'!W37</f>
        <v>2.4316195</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3.2" x14ac:dyDescent="0.25">
      <c r="B38" s="26" t="s">
        <v>93</v>
      </c>
      <c r="C38" s="34">
        <f>'Baseline NFPC'!C38</f>
        <v>7.7717170000000002E-2</v>
      </c>
      <c r="D38" s="34">
        <f>'Baseline NFPC'!D38</f>
        <v>0.11443643000000001</v>
      </c>
      <c r="E38" s="34">
        <f>'Baseline NFPC'!E38</f>
        <v>0.12146793</v>
      </c>
      <c r="F38" s="34">
        <f>'Baseline NFPC'!F38</f>
        <v>0.10811680999999999</v>
      </c>
      <c r="G38" s="34">
        <f>'Baseline NFPC'!G38</f>
        <v>0.10769854499999999</v>
      </c>
      <c r="H38" s="34">
        <f>'Baseline NFPC'!H38</f>
        <v>0.10728027999999999</v>
      </c>
      <c r="I38" s="34">
        <f>'Baseline NFPC'!I38</f>
        <v>0.10686201499999999</v>
      </c>
      <c r="J38" s="34">
        <f>'Baseline NFPC'!J38</f>
        <v>0.10644374999999999</v>
      </c>
      <c r="K38" s="34">
        <f>'Baseline NFPC'!K38</f>
        <v>0.106025485</v>
      </c>
      <c r="L38" s="34">
        <f>'Baseline NFPC'!L38</f>
        <v>0.10560722</v>
      </c>
      <c r="M38" s="34">
        <f>'Baseline NFPC'!M38</f>
        <v>0.105188955</v>
      </c>
      <c r="N38" s="34">
        <f>'Baseline NFPC'!N38</f>
        <v>0.10477069</v>
      </c>
      <c r="O38" s="34">
        <f>'Baseline NFPC'!O38</f>
        <v>0.104352425</v>
      </c>
      <c r="P38" s="34">
        <f>'Baseline NFPC'!P38</f>
        <v>0.10393416</v>
      </c>
      <c r="Q38" s="34">
        <f>'Baseline NFPC'!Q38</f>
        <v>0.10393416</v>
      </c>
      <c r="R38" s="34">
        <f>'Baseline NFPC'!R38</f>
        <v>0.10393416</v>
      </c>
      <c r="S38" s="34">
        <f>'Baseline NFPC'!S38</f>
        <v>0.10393416</v>
      </c>
      <c r="T38" s="34">
        <f>'Baseline NFPC'!T38</f>
        <v>0.10393416</v>
      </c>
      <c r="U38" s="34">
        <f>'Baseline NFPC'!U38</f>
        <v>0.10393416</v>
      </c>
      <c r="V38" s="34">
        <f>'Baseline NFPC'!V38</f>
        <v>0.10393416</v>
      </c>
      <c r="W38" s="34">
        <f>'Baseline NFPC'!W38</f>
        <v>0.10393416</v>
      </c>
    </row>
    <row r="39" spans="2:51" x14ac:dyDescent="0.2">
      <c r="C39" s="1"/>
      <c r="D39" s="1"/>
      <c r="E39" s="1"/>
      <c r="F39" s="1"/>
      <c r="G39" s="98"/>
      <c r="H39" s="98"/>
      <c r="I39" s="98"/>
      <c r="J39" s="98"/>
      <c r="K39" s="98"/>
      <c r="L39" s="98"/>
      <c r="M39" s="98"/>
      <c r="N39" s="98"/>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94</v>
      </c>
      <c r="C40" s="1"/>
      <c r="D40" s="1"/>
      <c r="E40" s="1"/>
      <c r="F40" s="1"/>
      <c r="G40" s="98"/>
      <c r="H40" s="98"/>
      <c r="I40" s="98"/>
      <c r="J40" s="98"/>
      <c r="K40" s="98"/>
      <c r="L40" s="98"/>
      <c r="M40" s="98"/>
      <c r="N40" s="98"/>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139</v>
      </c>
      <c r="C41" s="1">
        <f>'Input data'!C42</f>
        <v>1.926131</v>
      </c>
      <c r="D41" s="2">
        <f>'Input data'!D42</f>
        <v>4.7547790000000001</v>
      </c>
      <c r="E41" s="2">
        <f>'Input data'!E42</f>
        <v>6.6476540000000002</v>
      </c>
      <c r="F41" s="2">
        <f>'Input data'!F42</f>
        <v>4.2327859999999999</v>
      </c>
      <c r="G41" s="2">
        <f>'Input data'!G42</f>
        <v>2.2870180000000002</v>
      </c>
      <c r="H41" s="2">
        <f>'Input data'!H42</f>
        <v>1.878755</v>
      </c>
      <c r="I41" s="1">
        <f>'Baseline NFPC'!I41</f>
        <v>1.9376606249999999</v>
      </c>
      <c r="J41" s="1">
        <f>'Baseline NFPC'!J41</f>
        <v>1.9965662499999999</v>
      </c>
      <c r="K41" s="1">
        <f>'Baseline NFPC'!K41</f>
        <v>2.0554718749999998</v>
      </c>
      <c r="L41" s="1">
        <f>'Baseline NFPC'!L41</f>
        <v>2.1143774999999998</v>
      </c>
      <c r="M41" s="1">
        <f>'Baseline NFPC'!M41</f>
        <v>2.1732831250000002</v>
      </c>
      <c r="N41" s="1">
        <f>'Baseline NFPC'!N41</f>
        <v>2.2321887500000002</v>
      </c>
      <c r="O41" s="1">
        <f>'Baseline NFPC'!O41</f>
        <v>2.2910943750000001</v>
      </c>
      <c r="P41" s="251">
        <f>'Baseline NFPC'!P41</f>
        <v>2.35</v>
      </c>
      <c r="Q41" s="1">
        <f>'Baseline NFPC'!Q41</f>
        <v>2.3325</v>
      </c>
      <c r="R41" s="1">
        <f>'Baseline NFPC'!R41</f>
        <v>2.3149999999999999</v>
      </c>
      <c r="S41" s="1">
        <f>'Baseline NFPC'!S41</f>
        <v>2.2974999999999999</v>
      </c>
      <c r="T41" s="1">
        <f>'Baseline NFPC'!T41</f>
        <v>2.2800000000000002</v>
      </c>
      <c r="U41" s="1">
        <f>'Baseline NFPC'!U41</f>
        <v>2.2625000000000002</v>
      </c>
      <c r="V41" s="1">
        <f>'Baseline NFPC'!V41</f>
        <v>2.2450000000000001</v>
      </c>
      <c r="W41" s="1">
        <f>'Baseline NFPC'!W41</f>
        <v>2.2275</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95</v>
      </c>
      <c r="C42" s="1">
        <f>'Baseline NFPC'!C42</f>
        <v>0.9999093</v>
      </c>
      <c r="D42" s="1">
        <f>'Baseline NFPC'!D42</f>
        <v>1.0003169999999999</v>
      </c>
      <c r="E42" s="1">
        <f>'Baseline NFPC'!E42</f>
        <v>0.99993010000000004</v>
      </c>
      <c r="F42" s="1">
        <f>'Baseline NFPC'!F42</f>
        <v>0.99998640000000005</v>
      </c>
      <c r="G42" s="1">
        <f>'Baseline NFPC'!G42</f>
        <v>1.000005</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row>
    <row r="44" spans="2:51" s="67" customFormat="1" ht="13.2" x14ac:dyDescent="0.2">
      <c r="B44" s="75" t="s">
        <v>96</v>
      </c>
      <c r="C44" s="68"/>
    </row>
    <row r="45" spans="2:51" x14ac:dyDescent="0.2">
      <c r="C45" s="36"/>
    </row>
    <row r="46" spans="2:51" x14ac:dyDescent="0.2">
      <c r="B46" s="54" t="s">
        <v>68</v>
      </c>
      <c r="C46" s="55">
        <f>'Input data'!C49</f>
        <v>0.75</v>
      </c>
    </row>
    <row r="47" spans="2:51" x14ac:dyDescent="0.2">
      <c r="B47" s="56" t="s">
        <v>247</v>
      </c>
      <c r="C47" s="57">
        <f>'Input data'!C50</f>
        <v>0.57099999999999995</v>
      </c>
    </row>
    <row r="48" spans="2:51" x14ac:dyDescent="0.2">
      <c r="C48" s="58"/>
    </row>
    <row r="49" spans="2:48" outlineLevel="1" x14ac:dyDescent="0.2">
      <c r="B49" s="26" t="s">
        <v>97</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IF(AND(ABS((G12-F12)-('Baseline NFPC'!G12-'Baseline NFPC'!F12))&gt;0.0001,ABS(G12-F12)&gt;0.0001,G$10&gt;$C$5),4,IF(F49=4,3,IF(F49=3,2,IF(F49=2,1,0))))</f>
        <v>4</v>
      </c>
      <c r="H49" s="34">
        <f>IF(AND(ABS((H12-G12)-('Baseline NFPC'!H12-'Baseline NFPC'!G12))&gt;0.0001,ABS(H12-G12)&gt;0.0001,H$10&gt;$C$5),4,IF(G49=4,3,IF(G49=3,2,IF(G49=2,1,0))))</f>
        <v>4</v>
      </c>
      <c r="I49" s="34">
        <f>IF(AND(ABS((I12-H12)-('Baseline NFPC'!I12-'Baseline NFPC'!H12))&gt;0.0001,ABS(I12-H12)&gt;0.0001,I$10&gt;$C$5),4,IF(H49=4,3,IF(H49=3,2,IF(H49=2,1,0))))</f>
        <v>4</v>
      </c>
      <c r="J49" s="34">
        <f>IF(AND(ABS((J12-I12)-('Baseline NFPC'!J12-'Baseline NFPC'!I12))&gt;0.0001,ABS(J12-I12)&gt;0.0001,J$10&gt;$C$5),4,IF(I49=4,3,IF(I49=3,2,IF(I49=2,1,0))))</f>
        <v>4</v>
      </c>
      <c r="K49" s="34">
        <f>IF(AND(ABS((K12-J12)-('Baseline NFPC'!K12-'Baseline NFPC'!J12))&gt;0.0001,ABS(K12-J12)&gt;0.0001,K$10&gt;$C$5),4,IF(J49=4,3,IF(J49=3,2,IF(J49=2,1,0))))</f>
        <v>3</v>
      </c>
      <c r="L49" s="34">
        <f>IF(AND(ABS((L12-K12)-('Baseline NFPC'!L12-'Baseline NFPC'!K12))&gt;0.0001,ABS(L12-K12)&gt;0.0001,L$10&gt;$C$5),4,IF(K49=4,3,IF(K49=3,2,IF(K49=2,1,0))))</f>
        <v>2</v>
      </c>
      <c r="M49" s="34">
        <f>IF(AND(ABS((M12-L12)-('Baseline NFPC'!M12-'Baseline NFPC'!L12))&gt;0.0001,ABS(M12-L12)&gt;0.0001,M$10&gt;$C$5),4,IF(L49=4,3,IF(L49=3,2,IF(L49=2,1,0))))</f>
        <v>1</v>
      </c>
      <c r="N49" s="34">
        <f>IF(AND(ABS((N12-M12)-('Baseline NFPC'!N12-'Baseline NFPC'!M12))&gt;0.0001,ABS(N12-M12)&gt;0.0001,N$10&gt;$C$5),4,IF(M49=4,3,IF(M49=3,2,IF(M49=2,1,0))))</f>
        <v>0</v>
      </c>
      <c r="O49" s="34">
        <f>IF(AND(ABS((O12-N12)-('Baseline NFPC'!O12-'Baseline NFPC'!N12))&gt;0.0001,ABS(O12-N12)&gt;0.0001,O$10&gt;$C$5),4,IF(N49=4,3,IF(N49=3,2,IF(N49=2,1,0))))</f>
        <v>0</v>
      </c>
      <c r="P49" s="34">
        <f>IF(AND(ABS((P12-O12)-('Baseline NFPC'!P12-'Baseline NFPC'!O12))&gt;0.0001,ABS(P12-O12)&gt;0.0001,P$10&gt;$C$5),4,IF(O49=4,3,IF(O49=3,2,IF(O49=2,1,0))))</f>
        <v>0</v>
      </c>
      <c r="Q49" s="34">
        <f>IF(AND(ABS((Q12-P12)-('Baseline NFPC'!Q12-'Baseline NFPC'!P12))&gt;0.0001,ABS(Q12-P12)&gt;0.0001,Q$10&gt;$C$5),4,IF(P49=4,3,IF(P49=3,2,IF(P49=2,1,0))))</f>
        <v>0</v>
      </c>
      <c r="R49" s="34">
        <f>IF(AND(ABS((R12-Q12)-('Baseline NFPC'!R12-'Baseline NFPC'!Q12))&gt;0.0001,ABS(R12-Q12)&gt;0.0001,R$10&gt;$C$5),4,IF(Q49=4,3,IF(Q49=3,2,IF(Q49=2,1,0))))</f>
        <v>0</v>
      </c>
      <c r="S49" s="34">
        <f>IF(AND(ABS((S12-R12)-('Baseline NFPC'!S12-'Baseline NFPC'!R12))&gt;0.0001,ABS(S12-R12)&gt;0.0001,S$10&gt;$C$5),4,IF(R49=4,3,IF(R49=3,2,IF(R49=2,1,0))))</f>
        <v>0</v>
      </c>
      <c r="T49" s="34">
        <f>IF(AND(ABS((T12-S12)-('Baseline NFPC'!T12-'Baseline NFPC'!S12))&gt;0.0001,ABS(T12-S12)&gt;0.0001,T$10&gt;$C$5),4,IF(S49=4,3,IF(S49=3,2,IF(S49=2,1,0))))</f>
        <v>0</v>
      </c>
      <c r="U49" s="34">
        <f>IF(AND(ABS((U12-T12)-('Baseline NFPC'!U12-'Baseline NFPC'!T12))&gt;0.0001,ABS(U12-T12)&gt;0.0001,U$10&gt;$C$5),4,IF(T49=4,3,IF(T49=3,2,IF(T49=2,1,0))))</f>
        <v>0</v>
      </c>
      <c r="V49" s="34">
        <f>IF(AND(ABS((V12-U12)-('Baseline NFPC'!V12-'Baseline NFPC'!U12))&gt;0.0001,ABS(V12-U12)&gt;0.0001,V$10&gt;$C$5),4,IF(U49=4,3,IF(U49=3,2,IF(U49=2,1,0))))</f>
        <v>0</v>
      </c>
      <c r="W49" s="34">
        <f>IF(AND(ABS((W12-V12)-('Baseline NFPC'!W12-'Baseline NFPC'!V12))&gt;0.0001,ABS(W12-V12)&gt;0.0001,W$10&gt;$C$5),4,IF(V49=4,3,IF(V49=3,2,IF(V49=2,1,0))))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98</v>
      </c>
      <c r="C50" s="34">
        <v>0</v>
      </c>
      <c r="D50" s="34">
        <v>0</v>
      </c>
      <c r="E50" s="34">
        <f>IF(D49=4,2/3*(D29-'Baseline NFPC'!D29),IF(D49=3,1/3*(C29-'Baseline NFPC'!C29),0))</f>
        <v>0</v>
      </c>
      <c r="F50" s="34">
        <f>IF(E49=4,2/3*(E29-'Baseline NFPC'!E29),IF(E49=3,1/3*(D29-'Baseline NFPC'!D29),0))</f>
        <v>0</v>
      </c>
      <c r="G50" s="34">
        <f>IF(F49=4,2/3*(F29-'Baseline NFPC'!F29),IF(F49=3,1/3*(E29-'Baseline NFPC'!E29),0))</f>
        <v>0</v>
      </c>
      <c r="H50" s="34">
        <f>IF(G49=4,2/3*(G29-'Baseline NFPC'!G29),IF(G49=3,1/3*(F29-'Baseline NFPC'!F29),0))</f>
        <v>-0.4798511079248039</v>
      </c>
      <c r="I50" s="34">
        <f>IF(H49=4,2/3*H29,IF(H49=3,1/3*G29,0))</f>
        <v>-1.2863941028416814</v>
      </c>
      <c r="J50" s="34">
        <f t="shared" ref="J50:W50" si="9">IF(I49=4,2/3*I29,IF(I49=3,1/3*H29,0))</f>
        <v>-1.3330737211255734</v>
      </c>
      <c r="K50" s="34">
        <f t="shared" si="9"/>
        <v>-1.3642012203481859</v>
      </c>
      <c r="L50" s="34">
        <f t="shared" si="9"/>
        <v>-0.68210061017409296</v>
      </c>
      <c r="M50" s="34">
        <f t="shared" si="9"/>
        <v>0</v>
      </c>
      <c r="N50" s="34">
        <f t="shared" si="9"/>
        <v>0</v>
      </c>
      <c r="O50" s="34">
        <f t="shared" si="9"/>
        <v>0</v>
      </c>
      <c r="P50" s="34">
        <f t="shared" si="9"/>
        <v>0</v>
      </c>
      <c r="Q50" s="34">
        <f t="shared" si="9"/>
        <v>0</v>
      </c>
      <c r="R50" s="34">
        <f t="shared" si="9"/>
        <v>0</v>
      </c>
      <c r="S50" s="34">
        <f t="shared" si="9"/>
        <v>0</v>
      </c>
      <c r="T50" s="34">
        <f t="shared" si="9"/>
        <v>0</v>
      </c>
      <c r="U50" s="34">
        <f t="shared" si="9"/>
        <v>0</v>
      </c>
      <c r="V50" s="34">
        <f t="shared" si="9"/>
        <v>0</v>
      </c>
      <c r="W50" s="34">
        <f t="shared" si="9"/>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99</v>
      </c>
      <c r="C51" s="34"/>
      <c r="D51" s="34">
        <f>'Input data'!D30-$C$46*((D12-C12)-('Input data'!D13-'Input data'!C13))</f>
        <v>5.2778939999999999</v>
      </c>
      <c r="E51" s="34">
        <f>'Input data'!E30-$C$46*((E12-D12)-('Input data'!E13-'Input data'!D13))</f>
        <v>-0.95496389999999998</v>
      </c>
      <c r="F51" s="34">
        <f>'Input data'!F30-$C$46*((F12-E12)-('Input data'!F13-'Input data'!E13))</f>
        <v>-0.62164790000000003</v>
      </c>
      <c r="G51" s="34">
        <f>'Input data'!G30-$C$46*(G12-F12)</f>
        <v>6.5578800000000048E-2</v>
      </c>
      <c r="H51" s="34">
        <f>'Input data'!H30-$C$46*(H12-G12)</f>
        <v>0.64577399999999996</v>
      </c>
      <c r="I51" s="34">
        <f>'Input data'!I30-$C$46*(I12-H12)</f>
        <v>0.58029199999999992</v>
      </c>
      <c r="J51" s="34">
        <f>'Input data'!J30-$C$46*(J12-I12)</f>
        <v>0.50570900000000008</v>
      </c>
      <c r="K51" s="34">
        <f>'Input data'!K30-$C$46*(K12-J12)</f>
        <v>1.2727729999999999</v>
      </c>
      <c r="L51" s="34">
        <f>'Input data'!L30-$C$46*(L12-K12)</f>
        <v>1.114511</v>
      </c>
      <c r="M51" s="34">
        <f>'Input data'!M30-$C$46*(M12-L12)</f>
        <v>1.125075</v>
      </c>
      <c r="N51" s="34">
        <f>'Input data'!N30-$C$46*(N12-M12)</f>
        <v>1.118458</v>
      </c>
      <c r="O51" s="34">
        <f>'Input data'!O30-$C$46*(O12-N12)</f>
        <v>1.1171819999999999</v>
      </c>
      <c r="P51" s="34">
        <f>'Input data'!P30-$C$46*(P12-O12)</f>
        <v>1.1618470000000001</v>
      </c>
      <c r="Q51" s="34">
        <f>'Input data'!Q30-$C$46*(Q12-P12)</f>
        <v>1.242713</v>
      </c>
      <c r="R51" s="34">
        <f>'Input data'!R30-$C$46*(R12-Q12)</f>
        <v>1.3235840000000001</v>
      </c>
      <c r="S51" s="34">
        <f>'Input data'!S30-$C$46*(S12-R12)</f>
        <v>1.4044559999999999</v>
      </c>
      <c r="T51" s="34">
        <f>'Input data'!T30-$C$46*(T12-S12)</f>
        <v>1.4681709999999999</v>
      </c>
      <c r="U51" s="34">
        <f>'Input data'!U30-$C$46*(U12-T12)</f>
        <v>1.5339339999999999</v>
      </c>
      <c r="V51" s="34">
        <f>'Input data'!V30-$C$46*(V12-U12)</f>
        <v>1.5987119999999999</v>
      </c>
      <c r="W51" s="34">
        <f>'Input data'!W30-$C$46*(W12-V12)</f>
        <v>1.5829789999999999</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3.2" outlineLevel="1" x14ac:dyDescent="0.2">
      <c r="B53" s="72" t="s">
        <v>100</v>
      </c>
      <c r="C53" s="69"/>
      <c r="E53" s="70"/>
      <c r="F53" s="69"/>
    </row>
    <row r="54" spans="2:48" outlineLevel="1" x14ac:dyDescent="0.2">
      <c r="B54" s="43"/>
      <c r="C54" s="29"/>
      <c r="E54" s="44"/>
      <c r="F54" s="29"/>
    </row>
    <row r="55" spans="2:48" outlineLevel="1" x14ac:dyDescent="0.2">
      <c r="B55" s="84"/>
      <c r="C55" s="85">
        <v>2021</v>
      </c>
      <c r="D55" s="85">
        <v>2022</v>
      </c>
      <c r="E55" s="85">
        <v>2023</v>
      </c>
      <c r="F55" s="85">
        <v>2024</v>
      </c>
      <c r="G55" s="85">
        <v>2025</v>
      </c>
      <c r="H55" s="85">
        <v>2026</v>
      </c>
      <c r="I55" s="85">
        <v>2027</v>
      </c>
      <c r="J55" s="85">
        <v>2028</v>
      </c>
      <c r="K55" s="85">
        <v>2029</v>
      </c>
      <c r="L55" s="85">
        <v>2030</v>
      </c>
      <c r="M55" s="85">
        <v>2031</v>
      </c>
      <c r="N55" s="85">
        <v>2032</v>
      </c>
      <c r="O55" s="85">
        <v>2033</v>
      </c>
      <c r="P55" s="85">
        <v>2034</v>
      </c>
      <c r="Q55" s="85">
        <v>2035</v>
      </c>
      <c r="R55" s="85">
        <v>2036</v>
      </c>
      <c r="S55" s="85">
        <v>2037</v>
      </c>
      <c r="T55" s="85">
        <v>2038</v>
      </c>
      <c r="U55" s="85">
        <v>2039</v>
      </c>
      <c r="V55" s="85">
        <v>2040</v>
      </c>
      <c r="W55" s="85">
        <v>2041</v>
      </c>
    </row>
    <row r="56" spans="2:48" ht="10.5" customHeight="1" outlineLevel="1" x14ac:dyDescent="0.2">
      <c r="B56" s="86" t="s">
        <v>101</v>
      </c>
      <c r="C56" s="45">
        <f>+'Input data'!C12</f>
        <v>82.394589999999994</v>
      </c>
      <c r="D56" s="45">
        <f>+C56+D57</f>
        <v>78.375620315610604</v>
      </c>
      <c r="E56" s="45">
        <f t="shared" ref="E56:T56" si="10">+D56+E57</f>
        <v>78.551901298157986</v>
      </c>
      <c r="F56" s="45">
        <f>+E56+F57</f>
        <v>79.538050043568091</v>
      </c>
      <c r="G56" s="45">
        <f>+F56+G57</f>
        <v>80.81308351777497</v>
      </c>
      <c r="H56" s="45">
        <f>+G56+H57</f>
        <v>80.673518010562546</v>
      </c>
      <c r="I56" s="45">
        <f t="shared" si="10"/>
        <v>79.484335796243897</v>
      </c>
      <c r="J56" s="45">
        <f t="shared" si="10"/>
        <v>77.440287313107248</v>
      </c>
      <c r="K56" s="45">
        <f>+J56+K57</f>
        <v>74.689700151341128</v>
      </c>
      <c r="L56" s="45">
        <f t="shared" si="10"/>
        <v>71.598613516780418</v>
      </c>
      <c r="M56" s="45">
        <f t="shared" si="10"/>
        <v>68.279914228421305</v>
      </c>
      <c r="N56" s="45">
        <f t="shared" si="10"/>
        <v>65.585931453721727</v>
      </c>
      <c r="O56" s="46">
        <f t="shared" si="10"/>
        <v>62.980371044126336</v>
      </c>
      <c r="P56" s="46">
        <f>+O56+P57</f>
        <v>60.463451037553412</v>
      </c>
      <c r="Q56" s="46">
        <f t="shared" si="10"/>
        <v>58.021665626564065</v>
      </c>
      <c r="R56" s="46">
        <f t="shared" si="10"/>
        <v>55.636318907667665</v>
      </c>
      <c r="S56" s="46">
        <f t="shared" si="10"/>
        <v>53.295828882791341</v>
      </c>
      <c r="T56" s="46">
        <f t="shared" si="10"/>
        <v>50.992514790521994</v>
      </c>
      <c r="U56" s="46">
        <f t="shared" ref="U56" si="11">+T56+U57</f>
        <v>48.716083905991034</v>
      </c>
      <c r="V56" s="46">
        <f t="shared" ref="V56" si="12">+U56+V57</f>
        <v>46.453037866332643</v>
      </c>
      <c r="W56" s="46">
        <f t="shared" ref="W56" si="13">+V56+W57</f>
        <v>44.245883432598973</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7" t="s">
        <v>102</v>
      </c>
      <c r="C57" s="47"/>
      <c r="D57" s="47">
        <f>-D58+D66+D71</f>
        <v>-4.0189696843893961</v>
      </c>
      <c r="E57" s="47">
        <f t="shared" ref="E57:S57" si="14">-E58+E66+E71</f>
        <v>0.17628098254738189</v>
      </c>
      <c r="F57" s="47">
        <f>-F58+F66+F71</f>
        <v>0.98614874541010267</v>
      </c>
      <c r="G57" s="47">
        <f>-G58+G66+G71</f>
        <v>1.2750334742068725</v>
      </c>
      <c r="H57" s="47">
        <f>-H58+H66+H71</f>
        <v>-0.1395655072124222</v>
      </c>
      <c r="I57" s="47">
        <f t="shared" si="14"/>
        <v>-1.1891822143186457</v>
      </c>
      <c r="J57" s="47">
        <f t="shared" si="14"/>
        <v>-2.0440484831366503</v>
      </c>
      <c r="K57" s="47">
        <f t="shared" si="14"/>
        <v>-2.7505871617661248</v>
      </c>
      <c r="L57" s="47">
        <f t="shared" si="14"/>
        <v>-3.0910866345607122</v>
      </c>
      <c r="M57" s="47">
        <f t="shared" si="14"/>
        <v>-3.3186992883591184</v>
      </c>
      <c r="N57" s="47">
        <f t="shared" si="14"/>
        <v>-2.6939827746995784</v>
      </c>
      <c r="O57" s="47">
        <f t="shared" si="14"/>
        <v>-2.6055604095953933</v>
      </c>
      <c r="P57" s="47">
        <f>-P58+P66+P71</f>
        <v>-2.5169200065729247</v>
      </c>
      <c r="Q57" s="47">
        <f t="shared" si="14"/>
        <v>-2.4417854109893473</v>
      </c>
      <c r="R57" s="47">
        <f t="shared" si="14"/>
        <v>-2.385346718896403</v>
      </c>
      <c r="S57" s="47">
        <f t="shared" si="14"/>
        <v>-2.3404900248763205</v>
      </c>
      <c r="T57" s="47">
        <f>-T58+T66+T71</f>
        <v>-2.3033140922693489</v>
      </c>
      <c r="U57" s="47">
        <f>-U58+U66+U71</f>
        <v>-2.2764308845309591</v>
      </c>
      <c r="V57" s="47">
        <f t="shared" ref="V57:W57" si="15">-V58+V66+V71</f>
        <v>-2.2630460396583896</v>
      </c>
      <c r="W57" s="47">
        <f t="shared" si="15"/>
        <v>-2.2071544337336735</v>
      </c>
    </row>
    <row r="58" spans="2:48" outlineLevel="1" x14ac:dyDescent="0.2">
      <c r="B58" s="83" t="s">
        <v>103</v>
      </c>
      <c r="C58" s="48"/>
      <c r="D58" s="48">
        <f>D59+D60-D61-D62-D63-D64-D65</f>
        <v>-2.3562082156106046</v>
      </c>
      <c r="E58" s="48">
        <f t="shared" ref="E58:S58" si="16">E59+E60-E61-E62-E63-E64-E65</f>
        <v>-1.4167519825473818</v>
      </c>
      <c r="F58" s="48">
        <f t="shared" si="16"/>
        <v>-2.1237579454101025</v>
      </c>
      <c r="G58" s="48">
        <f t="shared" si="16"/>
        <v>-1.5011166843416499</v>
      </c>
      <c r="H58" s="48">
        <f t="shared" si="16"/>
        <v>-0.47692654908390009</v>
      </c>
      <c r="I58" s="48">
        <f t="shared" si="16"/>
        <v>0.46309235785594649</v>
      </c>
      <c r="J58" s="48">
        <f t="shared" si="16"/>
        <v>1.4164316547717788</v>
      </c>
      <c r="K58" s="48">
        <f t="shared" si="16"/>
        <v>1.7106695031811929</v>
      </c>
      <c r="L58" s="48">
        <f t="shared" si="16"/>
        <v>1.996157251590589</v>
      </c>
      <c r="M58" s="48">
        <f t="shared" si="16"/>
        <v>2.2819049999999987</v>
      </c>
      <c r="N58" s="48">
        <f t="shared" si="16"/>
        <v>2.1853322706315459</v>
      </c>
      <c r="O58" s="48">
        <f t="shared" si="16"/>
        <v>2.1297395412488465</v>
      </c>
      <c r="P58" s="48">
        <f t="shared" si="16"/>
        <v>2.042829070132913</v>
      </c>
      <c r="Q58" s="48">
        <f t="shared" si="16"/>
        <v>1.9866856781593674</v>
      </c>
      <c r="R58" s="48">
        <f t="shared" si="16"/>
        <v>1.9466523875363237</v>
      </c>
      <c r="S58" s="48">
        <f t="shared" si="16"/>
        <v>1.9161590982616512</v>
      </c>
      <c r="T58" s="48">
        <f>T59+T60-T61-T62-T63-T64-T65</f>
        <v>1.9007197492136629</v>
      </c>
      <c r="U58" s="48">
        <f>U59+U60-U61-U62-U63-U64-U65</f>
        <v>1.8925974868401383</v>
      </c>
      <c r="V58" s="48">
        <f t="shared" ref="V58:W58" si="17">V59+V60-V61-V62-V63-V64-V65</f>
        <v>1.8969975728850381</v>
      </c>
      <c r="W58" s="48">
        <f t="shared" si="17"/>
        <v>1.8943376591911312</v>
      </c>
    </row>
    <row r="59" spans="2:48" outlineLevel="1" x14ac:dyDescent="0.2">
      <c r="B59" s="78" t="s">
        <v>104</v>
      </c>
      <c r="C59" s="1"/>
      <c r="D59" s="1">
        <f>D12</f>
        <v>-3.493954</v>
      </c>
      <c r="E59" s="1">
        <f>E12</f>
        <v>-1.399295</v>
      </c>
      <c r="F59" s="1">
        <f>F12</f>
        <v>-1.3351299999999999</v>
      </c>
      <c r="G59" s="1">
        <f t="shared" ref="G59:W59" si="18">IF(G12="",F59,G12)</f>
        <v>-0.35512999999999995</v>
      </c>
      <c r="H59" s="1">
        <f t="shared" si="18"/>
        <v>0.62487000000000004</v>
      </c>
      <c r="I59" s="1">
        <f t="shared" si="18"/>
        <v>1.60487</v>
      </c>
      <c r="J59" s="1">
        <f t="shared" si="18"/>
        <v>2.58487</v>
      </c>
      <c r="K59" s="1">
        <f t="shared" si="18"/>
        <v>2.58487</v>
      </c>
      <c r="L59" s="1">
        <f t="shared" si="18"/>
        <v>2.58487</v>
      </c>
      <c r="M59" s="1">
        <f t="shared" si="18"/>
        <v>2.58487</v>
      </c>
      <c r="N59" s="1">
        <f t="shared" si="18"/>
        <v>2.58487</v>
      </c>
      <c r="O59" s="1">
        <f t="shared" si="18"/>
        <v>2.58487</v>
      </c>
      <c r="P59" s="1">
        <f t="shared" si="18"/>
        <v>2.58487</v>
      </c>
      <c r="Q59" s="1">
        <f t="shared" si="18"/>
        <v>2.58487</v>
      </c>
      <c r="R59" s="1">
        <f t="shared" si="18"/>
        <v>2.58487</v>
      </c>
      <c r="S59" s="1">
        <f t="shared" si="18"/>
        <v>2.58487</v>
      </c>
      <c r="T59" s="1">
        <f t="shared" si="18"/>
        <v>2.58487</v>
      </c>
      <c r="U59" s="1">
        <f t="shared" si="18"/>
        <v>2.58487</v>
      </c>
      <c r="V59" s="1">
        <f t="shared" si="18"/>
        <v>2.58487</v>
      </c>
      <c r="W59" s="1">
        <f t="shared" si="18"/>
        <v>2.58487</v>
      </c>
    </row>
    <row r="60" spans="2:48" outlineLevel="1" x14ac:dyDescent="0.2">
      <c r="B60" s="78"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8" t="s">
        <v>106</v>
      </c>
      <c r="C61" s="1"/>
      <c r="D61" s="1">
        <f t="shared" ref="D61:W61" si="19">-$C$47*D29</f>
        <v>-1.1377457843893952</v>
      </c>
      <c r="E61" s="1">
        <f t="shared" si="19"/>
        <v>1.7456982547381872E-2</v>
      </c>
      <c r="F61" s="1">
        <f t="shared" si="19"/>
        <v>0.78862794541010239</v>
      </c>
      <c r="G61" s="1">
        <f t="shared" si="19"/>
        <v>1.14598668434165</v>
      </c>
      <c r="H61" s="1">
        <f t="shared" si="19"/>
        <v>1.1017965490839001</v>
      </c>
      <c r="I61" s="1">
        <f t="shared" si="19"/>
        <v>1.1417776421440535</v>
      </c>
      <c r="J61" s="1">
        <f t="shared" si="19"/>
        <v>1.1684383452282212</v>
      </c>
      <c r="K61" s="1">
        <f t="shared" si="19"/>
        <v>0.7789588968188057</v>
      </c>
      <c r="L61" s="1">
        <f t="shared" si="19"/>
        <v>0.38947944840940918</v>
      </c>
      <c r="M61" s="1">
        <f t="shared" si="19"/>
        <v>0</v>
      </c>
      <c r="N61" s="1">
        <f t="shared" si="19"/>
        <v>1.1293684554325443E-6</v>
      </c>
      <c r="O61" s="1">
        <f t="shared" si="19"/>
        <v>2.2587511554372772E-6</v>
      </c>
      <c r="P61" s="1">
        <f t="shared" si="19"/>
        <v>1.1298670851922486E-6</v>
      </c>
      <c r="Q61" s="1">
        <f t="shared" si="19"/>
        <v>2.8218406345148491E-6</v>
      </c>
      <c r="R61" s="1">
        <f t="shared" si="19"/>
        <v>4.5124636754101385E-6</v>
      </c>
      <c r="S61" s="1">
        <f t="shared" si="19"/>
        <v>6.2017383505863491E-6</v>
      </c>
      <c r="T61" s="1">
        <f t="shared" si="19"/>
        <v>3.9507863361487592E-6</v>
      </c>
      <c r="U61" s="1">
        <f t="shared" si="19"/>
        <v>4.5131598654046808E-6</v>
      </c>
      <c r="V61" s="1">
        <f t="shared" si="19"/>
        <v>2.827114961545529E-6</v>
      </c>
      <c r="W61" s="1">
        <f t="shared" si="19"/>
        <v>1.1408088691600147E-6</v>
      </c>
    </row>
    <row r="62" spans="2:48" outlineLevel="1" x14ac:dyDescent="0.2">
      <c r="B62" s="78" t="s">
        <v>107</v>
      </c>
      <c r="C62" s="1"/>
      <c r="D62" s="1">
        <f t="shared" ref="D62:W62" si="20">-D13</f>
        <v>0</v>
      </c>
      <c r="E62" s="1">
        <f t="shared" si="20"/>
        <v>0</v>
      </c>
      <c r="F62" s="1">
        <f t="shared" si="20"/>
        <v>0</v>
      </c>
      <c r="G62" s="1">
        <f t="shared" si="20"/>
        <v>0</v>
      </c>
      <c r="H62" s="1">
        <f t="shared" si="20"/>
        <v>0</v>
      </c>
      <c r="I62" s="1">
        <f t="shared" si="20"/>
        <v>0</v>
      </c>
      <c r="J62" s="1">
        <f t="shared" si="20"/>
        <v>0</v>
      </c>
      <c r="K62" s="1">
        <f t="shared" si="20"/>
        <v>0</v>
      </c>
      <c r="L62" s="1">
        <f t="shared" si="20"/>
        <v>0</v>
      </c>
      <c r="M62" s="1">
        <f t="shared" si="20"/>
        <v>0</v>
      </c>
      <c r="N62" s="1">
        <f t="shared" si="20"/>
        <v>0</v>
      </c>
      <c r="O62" s="1">
        <f t="shared" si="20"/>
        <v>0</v>
      </c>
      <c r="P62" s="1">
        <f t="shared" si="20"/>
        <v>0</v>
      </c>
      <c r="Q62" s="1">
        <f t="shared" si="20"/>
        <v>0</v>
      </c>
      <c r="R62" s="1">
        <f t="shared" si="20"/>
        <v>0</v>
      </c>
      <c r="S62" s="1">
        <f t="shared" si="20"/>
        <v>0</v>
      </c>
      <c r="T62" s="1">
        <f t="shared" si="20"/>
        <v>0</v>
      </c>
      <c r="U62" s="1">
        <f t="shared" si="20"/>
        <v>0</v>
      </c>
      <c r="V62" s="1">
        <f t="shared" si="20"/>
        <v>0</v>
      </c>
      <c r="W62" s="1">
        <f t="shared" si="20"/>
        <v>0</v>
      </c>
    </row>
    <row r="63" spans="2:48" outlineLevel="1" x14ac:dyDescent="0.2">
      <c r="B63" s="78" t="s">
        <v>108</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8.8180000000001257E-2</v>
      </c>
      <c r="L63" s="1">
        <f>IF(L$55&lt;=$C$6,0,HLOOKUP(L$55,'Input data'!$C$9:$BB$26,12,FALSE)-HLOOKUP($C$6,'Input data'!$C$9:$BB$26,12,FALSE))</f>
        <v>0.18511000000000166</v>
      </c>
      <c r="M63" s="1">
        <f>IF(M$55&lt;=$C$6,0,HLOOKUP(M$55,'Input data'!$C$9:$BB$26,12,FALSE)-HLOOKUP($C$6,'Input data'!$C$9:$BB$26,12,FALSE))</f>
        <v>0.28178000000000125</v>
      </c>
      <c r="N63" s="1">
        <f>IF(N$55&lt;=$C$6,0,HLOOKUP(N$55,'Input data'!$C$9:$BB$26,12,FALSE)-HLOOKUP($C$6,'Input data'!$C$9:$BB$26,12,FALSE))</f>
        <v>0.37128999999999834</v>
      </c>
      <c r="O63" s="1">
        <f>IF(O$55&lt;=$C$6,0,HLOOKUP(O$55,'Input data'!$C$9:$BB$26,12,FALSE)-HLOOKUP($C$6,'Input data'!$C$9:$BB$26,12,FALSE))</f>
        <v>0.41981999999999786</v>
      </c>
      <c r="P63" s="1">
        <f>IF(P$55&lt;=$C$6,0,HLOOKUP(P$55,'Input data'!$C$9:$BB$26,12,FALSE)-HLOOKUP($C$6,'Input data'!$C$9:$BB$26,12,FALSE))</f>
        <v>0.49967000000000183</v>
      </c>
      <c r="Q63" s="1">
        <f>IF(Q$55&lt;=$C$6,0,HLOOKUP(Q$55,'Input data'!$C$9:$BB$26,12,FALSE)-HLOOKUP($C$6,'Input data'!$C$9:$BB$26,12,FALSE))</f>
        <v>0.54874999999999829</v>
      </c>
      <c r="R63" s="1">
        <f>IF(R$55&lt;=$C$6,0,HLOOKUP(R$55,'Input data'!$C$9:$BB$26,12,FALSE)-HLOOKUP($C$6,'Input data'!$C$9:$BB$26,12,FALSE))</f>
        <v>0.58172000000000068</v>
      </c>
      <c r="S63" s="1">
        <f>IF(S$55&lt;=$C$6,0,HLOOKUP(S$55,'Input data'!$C$9:$BB$26,12,FALSE)-HLOOKUP($C$6,'Input data'!$C$9:$BB$26,12,FALSE))</f>
        <v>0.6051499999999983</v>
      </c>
      <c r="T63" s="1">
        <f>IF(T$55&lt;=$C$6,0,HLOOKUP(T$55,'Input data'!$C$9:$BB$26,12,FALSE)-HLOOKUP($C$6,'Input data'!$C$9:$BB$26,12,FALSE))</f>
        <v>0.6135300000000008</v>
      </c>
      <c r="U63" s="1">
        <f>IF(U$55&lt;=$C$6,0,HLOOKUP(U$55,'Input data'!$C$9:$BB$26,12,FALSE)-HLOOKUP($C$6,'Input data'!$C$9:$BB$26,12,FALSE))</f>
        <v>0.61458999999999619</v>
      </c>
      <c r="V63" s="1">
        <f>IF(V$55&lt;=$C$6,0,HLOOKUP(V$55,'Input data'!$C$9:$BB$26,12,FALSE)-HLOOKUP($C$6,'Input data'!$C$9:$BB$26,12,FALSE))</f>
        <v>0.60313000000000017</v>
      </c>
      <c r="W63" s="1">
        <f>IF(W$55&lt;=$C$6,0,HLOOKUP(W$55,'Input data'!$C$9:$BB$26,12,FALSE)-HLOOKUP($C$6,'Input data'!$C$9:$BB$26,12,FALSE))</f>
        <v>0.59872999999999976</v>
      </c>
    </row>
    <row r="64" spans="2:48" outlineLevel="1" x14ac:dyDescent="0.2">
      <c r="B64" s="78" t="s">
        <v>109</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7.0616000000000012E-3</v>
      </c>
      <c r="L64" s="1">
        <f>IF(L$55&lt;=$C$6,0,-HLOOKUP(L$55,'Input data'!$C$9:$BB$26,18,FALSE)+HLOOKUP($C$6,'Input data'!$C$9:$BB$26,18,FALSE))</f>
        <v>1.412329999999995E-2</v>
      </c>
      <c r="M64" s="1">
        <f>IF(M$55&lt;=$C$6,0,-HLOOKUP(M$55,'Input data'!$C$9:$BB$26,18,FALSE)+HLOOKUP($C$6,'Input data'!$C$9:$BB$26,18,FALSE))</f>
        <v>2.1185000000000009E-2</v>
      </c>
      <c r="N64" s="1">
        <f>IF(N$55&lt;=$C$6,0,-HLOOKUP(N$55,'Input data'!$C$9:$BB$26,18,FALSE)+HLOOKUP($C$6,'Input data'!$C$9:$BB$26,18,FALSE))</f>
        <v>2.8246600000000011E-2</v>
      </c>
      <c r="O64" s="1">
        <f>IF(O$55&lt;=$C$6,0,-HLOOKUP(O$55,'Input data'!$C$9:$BB$26,18,FALSE)+HLOOKUP($C$6,'Input data'!$C$9:$BB$26,18,FALSE))</f>
        <v>3.5308200000000012E-2</v>
      </c>
      <c r="P64" s="1">
        <f>IF(P$55&lt;=$C$6,0,-HLOOKUP(P$55,'Input data'!$C$9:$BB$26,18,FALSE)+HLOOKUP($C$6,'Input data'!$C$9:$BB$26,18,FALSE))</f>
        <v>4.2369800000000013E-2</v>
      </c>
      <c r="Q64" s="1">
        <f>IF(Q$55&lt;=$C$6,0,-HLOOKUP(Q$55,'Input data'!$C$9:$BB$26,18,FALSE)+HLOOKUP($C$6,'Input data'!$C$9:$BB$26,18,FALSE))</f>
        <v>4.9431499999999962E-2</v>
      </c>
      <c r="R64" s="1">
        <f>IF(R$55&lt;=$C$6,0,-HLOOKUP(R$55,'Input data'!$C$9:$BB$26,18,FALSE)+HLOOKUP($C$6,'Input data'!$C$9:$BB$26,18,FALSE))</f>
        <v>5.6493099999999963E-2</v>
      </c>
      <c r="S64" s="1">
        <f>IF(S$55&lt;=$C$6,0,-HLOOKUP(S$55,'Input data'!$C$9:$BB$26,18,FALSE)+HLOOKUP($C$6,'Input data'!$C$9:$BB$26,18,FALSE))</f>
        <v>6.3554699999999964E-2</v>
      </c>
      <c r="T64" s="1">
        <f>IF(T$55&lt;=$C$6,0,-HLOOKUP(T$55,'Input data'!$C$9:$BB$26,18,FALSE)+HLOOKUP($C$6,'Input data'!$C$9:$BB$26,18,FALSE))</f>
        <v>7.0616299999999965E-2</v>
      </c>
      <c r="U64" s="1">
        <f>IF(U$55&lt;=$C$6,0,-HLOOKUP(U$55,'Input data'!$C$9:$BB$26,18,FALSE)+HLOOKUP($C$6,'Input data'!$C$9:$BB$26,18,FALSE))</f>
        <v>7.7678000000000025E-2</v>
      </c>
      <c r="V64" s="1">
        <f>IF(V$55&lt;=$C$6,0,-HLOOKUP(V$55,'Input data'!$C$9:$BB$26,18,FALSE)+HLOOKUP($C$6,'Input data'!$C$9:$BB$26,18,FALSE))</f>
        <v>8.4739600000000026E-2</v>
      </c>
      <c r="W64" s="1">
        <f>IF(W$55&lt;=$C$6,0,-HLOOKUP(W$55,'Input data'!$C$9:$BB$26,18,FALSE)+HLOOKUP($C$6,'Input data'!$C$9:$BB$26,18,FALSE))</f>
        <v>9.1801200000000027E-2</v>
      </c>
    </row>
    <row r="65" spans="2:23" outlineLevel="1" x14ac:dyDescent="0.2">
      <c r="B65" s="78"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3" t="s">
        <v>111</v>
      </c>
      <c r="C66" s="48"/>
      <c r="D66" s="48">
        <f t="shared" ref="D66:T66" si="21">SUM(D67:D70)</f>
        <v>-6.7322810000000004</v>
      </c>
      <c r="E66" s="48">
        <f t="shared" si="21"/>
        <v>-2.9737779999999998</v>
      </c>
      <c r="F66" s="48">
        <f t="shared" si="21"/>
        <v>-1.2376339999999999</v>
      </c>
      <c r="G66" s="48">
        <f>SUM(G67:G70)</f>
        <v>-0.32608321013477748</v>
      </c>
      <c r="H66" s="48">
        <f>SUM(H67:H70)</f>
        <v>-0.71649965629632228</v>
      </c>
      <c r="I66" s="48">
        <f t="shared" si="21"/>
        <v>-0.7260898564626993</v>
      </c>
      <c r="J66" s="48">
        <f t="shared" si="21"/>
        <v>-0.62761682836487154</v>
      </c>
      <c r="K66" s="48">
        <f t="shared" si="21"/>
        <v>-1.0399176585849319</v>
      </c>
      <c r="L66" s="48">
        <f t="shared" si="21"/>
        <v>-1.0949293829701232</v>
      </c>
      <c r="M66" s="48">
        <f t="shared" si="21"/>
        <v>-1.0367942883591195</v>
      </c>
      <c r="N66" s="48">
        <f t="shared" si="21"/>
        <v>-0.50865050406803236</v>
      </c>
      <c r="O66" s="48">
        <f t="shared" si="21"/>
        <v>-0.47582086834654669</v>
      </c>
      <c r="P66" s="48">
        <f t="shared" si="21"/>
        <v>-0.47409093644001155</v>
      </c>
      <c r="Q66" s="48">
        <f t="shared" si="21"/>
        <v>-0.45509973282997984</v>
      </c>
      <c r="R66" s="48">
        <f t="shared" si="21"/>
        <v>-0.4386943313600794</v>
      </c>
      <c r="S66" s="48">
        <f t="shared" si="21"/>
        <v>-0.42433092661466942</v>
      </c>
      <c r="T66" s="48">
        <f t="shared" si="21"/>
        <v>-0.40259434305568598</v>
      </c>
      <c r="U66" s="48">
        <f>SUM(U67:U70)</f>
        <v>-0.38383339769082059</v>
      </c>
      <c r="V66" s="48">
        <f t="shared" ref="V66:W66" si="22">SUM(V67:V70)</f>
        <v>-0.36604846677335134</v>
      </c>
      <c r="W66" s="48">
        <f t="shared" si="22"/>
        <v>-0.31281677454254231</v>
      </c>
    </row>
    <row r="67" spans="2:23" outlineLevel="1" x14ac:dyDescent="0.2">
      <c r="B67" s="78" t="s">
        <v>112</v>
      </c>
      <c r="C67" s="34"/>
      <c r="D67" s="34">
        <f>C56*D35/100*(1/(1+D32/100))</f>
        <v>0.95047268591534773</v>
      </c>
      <c r="E67" s="34">
        <f t="shared" ref="E67:F67" si="23">D56*E35/100*(1/(1+E32/100))</f>
        <v>1.2031122695315895</v>
      </c>
      <c r="F67" s="34">
        <f t="shared" si="23"/>
        <v>1.4808808255417976</v>
      </c>
      <c r="G67" s="34">
        <f>F56*G35/100*(1/(1+G32/100))</f>
        <v>1.5032478336494259</v>
      </c>
      <c r="H67" s="34">
        <f t="shared" ref="H67:W67" si="24">G56*H35/100*(1/(1+H32/100))</f>
        <v>1.4787897889267285</v>
      </c>
      <c r="I67" s="34">
        <f t="shared" si="24"/>
        <v>1.5859604267920924</v>
      </c>
      <c r="J67" s="34">
        <f t="shared" si="24"/>
        <v>1.6569015935976448</v>
      </c>
      <c r="K67" s="34">
        <f t="shared" si="24"/>
        <v>1.8087456131298312</v>
      </c>
      <c r="L67" s="34">
        <f t="shared" si="24"/>
        <v>1.7545945103591987</v>
      </c>
      <c r="M67" s="34">
        <f t="shared" si="24"/>
        <v>1.7384468218269333</v>
      </c>
      <c r="N67" s="34">
        <f t="shared" si="24"/>
        <v>1.7209522919158118</v>
      </c>
      <c r="O67" s="34">
        <f t="shared" si="24"/>
        <v>1.7015480498888738</v>
      </c>
      <c r="P67" s="34">
        <f t="shared" si="24"/>
        <v>1.6786890002851782</v>
      </c>
      <c r="Q67" s="34">
        <f t="shared" si="24"/>
        <v>1.6483123706622855</v>
      </c>
      <c r="R67" s="34">
        <f t="shared" si="24"/>
        <v>1.6149001115153332</v>
      </c>
      <c r="S67" s="34">
        <f t="shared" si="24"/>
        <v>1.5784646396926318</v>
      </c>
      <c r="T67" s="34">
        <f t="shared" si="24"/>
        <v>1.5394245964203868</v>
      </c>
      <c r="U67" s="34">
        <f t="shared" si="24"/>
        <v>1.4976775499189858</v>
      </c>
      <c r="V67" s="34">
        <f t="shared" si="24"/>
        <v>1.4533565344954134</v>
      </c>
      <c r="W67" s="34">
        <f t="shared" si="24"/>
        <v>1.4074877796679037</v>
      </c>
    </row>
    <row r="68" spans="2:23" outlineLevel="1" x14ac:dyDescent="0.2">
      <c r="B68" s="78" t="s">
        <v>113</v>
      </c>
      <c r="C68" s="34"/>
      <c r="D68" s="34">
        <f t="shared" ref="D68:W68" si="25">-C56*(D23/100)*(1/(1+D32/100))</f>
        <v>-3.9431956595763977</v>
      </c>
      <c r="E68" s="34">
        <f t="shared" si="25"/>
        <v>0.7085718986338565</v>
      </c>
      <c r="F68" s="34">
        <f t="shared" si="25"/>
        <v>0.47141677796707349</v>
      </c>
      <c r="G68" s="34">
        <f t="shared" si="25"/>
        <v>-5.0960440759242234E-2</v>
      </c>
      <c r="H68" s="34">
        <f>-G56*(H23/100)*(1/(1+H32/100))</f>
        <v>-0.70500832896444232</v>
      </c>
      <c r="I68" s="34">
        <f t="shared" si="25"/>
        <v>-0.7785846497403538</v>
      </c>
      <c r="J68" s="34">
        <f t="shared" si="25"/>
        <v>-0.72862543370765498</v>
      </c>
      <c r="K68" s="34">
        <f t="shared" si="25"/>
        <v>-1.2889592241064753</v>
      </c>
      <c r="L68" s="34">
        <f t="shared" si="25"/>
        <v>-1.3030010103813037</v>
      </c>
      <c r="M68" s="34">
        <f t="shared" si="25"/>
        <v>-1.2522983822025746</v>
      </c>
      <c r="N68" s="34">
        <f t="shared" si="25"/>
        <v>-0.73874499224101864</v>
      </c>
      <c r="O68" s="34">
        <f t="shared" si="25"/>
        <v>-0.7083890471051929</v>
      </c>
      <c r="P68" s="34">
        <f t="shared" si="25"/>
        <v>-0.70672354245360325</v>
      </c>
      <c r="Q68" s="34">
        <f t="shared" si="25"/>
        <v>-0.72524779063864286</v>
      </c>
      <c r="R68" s="34">
        <f t="shared" si="25"/>
        <v>-0.74078443529591975</v>
      </c>
      <c r="S68" s="34">
        <f t="shared" si="25"/>
        <v>-0.75325923657914118</v>
      </c>
      <c r="T68" s="34">
        <f t="shared" si="25"/>
        <v>-0.75396174498287483</v>
      </c>
      <c r="U68" s="34">
        <f t="shared" si="25"/>
        <v>-0.75333038568773292</v>
      </c>
      <c r="V68" s="34">
        <f t="shared" si="25"/>
        <v>-0.74974283325125912</v>
      </c>
      <c r="W68" s="34">
        <f t="shared" si="25"/>
        <v>-0.70810977445689671</v>
      </c>
    </row>
    <row r="69" spans="2:23" outlineLevel="1" x14ac:dyDescent="0.2">
      <c r="B69" s="78" t="s">
        <v>114</v>
      </c>
      <c r="C69" s="34"/>
      <c r="D69" s="34">
        <f t="shared" ref="D69:T69" si="26">-C56*D41/100*(1/(1+D41/100))</f>
        <v>-3.7398586487935788</v>
      </c>
      <c r="E69" s="34">
        <f t="shared" si="26"/>
        <v>-4.8853770931852853</v>
      </c>
      <c r="F69" s="34">
        <f t="shared" si="26"/>
        <v>-3.1899117432035724</v>
      </c>
      <c r="G69" s="34">
        <f t="shared" si="26"/>
        <v>-1.7783777031660166</v>
      </c>
      <c r="H69" s="34">
        <f>-G56*H41/100*(1/(1+H41/100))</f>
        <v>-1.4902811162586085</v>
      </c>
      <c r="I69" s="34">
        <f t="shared" si="26"/>
        <v>-1.5334656335144379</v>
      </c>
      <c r="J69" s="34">
        <f t="shared" si="26"/>
        <v>-1.5558929882548613</v>
      </c>
      <c r="K69" s="34">
        <f t="shared" si="26"/>
        <v>-1.5597040476082877</v>
      </c>
      <c r="L69" s="34">
        <f t="shared" si="26"/>
        <v>-1.5465228829480182</v>
      </c>
      <c r="M69" s="34">
        <f t="shared" si="26"/>
        <v>-1.5229427279834782</v>
      </c>
      <c r="N69" s="34">
        <f t="shared" si="26"/>
        <v>-1.4908578037428255</v>
      </c>
      <c r="O69" s="34">
        <f t="shared" si="26"/>
        <v>-1.4689798711302275</v>
      </c>
      <c r="P69" s="34">
        <f t="shared" si="26"/>
        <v>-1.4460563942715865</v>
      </c>
      <c r="Q69" s="34">
        <f t="shared" si="26"/>
        <v>-1.3781643128536225</v>
      </c>
      <c r="R69" s="34">
        <f t="shared" si="26"/>
        <v>-1.3128100075794928</v>
      </c>
      <c r="S69" s="34">
        <f>-R56*S41/100*(1/(1+S41/100))</f>
        <v>-1.2495363297281601</v>
      </c>
      <c r="T69" s="34">
        <f t="shared" si="26"/>
        <v>-1.1880571944931979</v>
      </c>
      <c r="U69" s="34">
        <f t="shared" ref="U69" si="27">-T56*U41/100*(1/(1+U41/100))</f>
        <v>-1.1281805619220735</v>
      </c>
      <c r="V69" s="34">
        <f t="shared" ref="V69" si="28">-U56*V41/100*(1/(1+V41/100))</f>
        <v>-1.0696621680175056</v>
      </c>
      <c r="W69" s="34">
        <f t="shared" ref="W69" si="29">-V56*W41/100*(1/(1+W41/100))</f>
        <v>-1.0121947797535493</v>
      </c>
    </row>
    <row r="70" spans="2:23" outlineLevel="1" x14ac:dyDescent="0.2">
      <c r="B70" s="78" t="s">
        <v>115</v>
      </c>
      <c r="C70" s="49"/>
      <c r="D70" s="49">
        <f>'Baseline NFPC'!D70</f>
        <v>3.0062245462847415E-4</v>
      </c>
      <c r="E70" s="49">
        <f>'Baseline NFPC'!E70</f>
        <v>-8.5074980160637637E-5</v>
      </c>
      <c r="F70" s="49">
        <f>'Baseline NFPC'!F70</f>
        <v>-1.9860305298546876E-5</v>
      </c>
      <c r="G70" s="49">
        <f>'Baseline NFPC'!G70</f>
        <v>7.1001410555382449E-6</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3" t="s">
        <v>116</v>
      </c>
      <c r="C71" s="50"/>
      <c r="D71" s="50">
        <f>'Input data'!D16</f>
        <v>0.35710310000000001</v>
      </c>
      <c r="E71" s="50">
        <f>'Input data'!E16</f>
        <v>1.7333069999999999</v>
      </c>
      <c r="F71" s="50">
        <f>'Input data'!F16</f>
        <v>0.1000248</v>
      </c>
      <c r="G71" s="50">
        <f>'Input data'!G16</f>
        <v>0.1</v>
      </c>
      <c r="H71" s="50">
        <f>'Input data'!H16</f>
        <v>0.1000076</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8" t="s">
        <v>117</v>
      </c>
      <c r="C72" s="34"/>
      <c r="D72" s="34">
        <f t="shared" ref="D72:W72" si="30">D14</f>
        <v>0.33345029999999998</v>
      </c>
      <c r="E72" s="34">
        <f t="shared" si="30"/>
        <v>1.738494</v>
      </c>
      <c r="F72" s="34">
        <f t="shared" si="30"/>
        <v>0.1010605</v>
      </c>
      <c r="G72" s="34">
        <f t="shared" si="30"/>
        <v>9.9622799999999997E-2</v>
      </c>
      <c r="H72" s="34">
        <f t="shared" si="30"/>
        <v>0.1</v>
      </c>
      <c r="I72" s="34">
        <f t="shared" si="30"/>
        <v>0</v>
      </c>
      <c r="J72" s="34">
        <f t="shared" si="30"/>
        <v>0</v>
      </c>
      <c r="K72" s="34">
        <f t="shared" si="30"/>
        <v>0</v>
      </c>
      <c r="L72" s="34">
        <f t="shared" si="30"/>
        <v>0</v>
      </c>
      <c r="M72" s="34">
        <f t="shared" si="30"/>
        <v>0</v>
      </c>
      <c r="N72" s="34">
        <f t="shared" si="30"/>
        <v>0</v>
      </c>
      <c r="O72" s="34">
        <f t="shared" si="30"/>
        <v>0</v>
      </c>
      <c r="P72" s="34">
        <f t="shared" si="30"/>
        <v>0</v>
      </c>
      <c r="Q72" s="34">
        <f t="shared" si="30"/>
        <v>0</v>
      </c>
      <c r="R72" s="34">
        <f t="shared" si="30"/>
        <v>0</v>
      </c>
      <c r="S72" s="34">
        <f t="shared" si="30"/>
        <v>0</v>
      </c>
      <c r="T72" s="34">
        <f t="shared" si="30"/>
        <v>0</v>
      </c>
      <c r="U72" s="34">
        <f t="shared" si="30"/>
        <v>0</v>
      </c>
      <c r="V72" s="34">
        <f t="shared" si="30"/>
        <v>0</v>
      </c>
      <c r="W72" s="34">
        <f t="shared" si="30"/>
        <v>0</v>
      </c>
    </row>
    <row r="73" spans="2:23" outlineLevel="1" x14ac:dyDescent="0.2">
      <c r="B73" s="88" t="s">
        <v>118</v>
      </c>
      <c r="C73" s="49"/>
      <c r="D73" s="49">
        <f>+D71-D72</f>
        <v>2.3652800000000029E-2</v>
      </c>
      <c r="E73" s="49">
        <f t="shared" ref="E73:T73" si="31">+E71-E72</f>
        <v>-5.1870000000000527E-3</v>
      </c>
      <c r="F73" s="49">
        <f t="shared" si="31"/>
        <v>-1.0357000000000005E-3</v>
      </c>
      <c r="G73" s="49">
        <f t="shared" si="31"/>
        <v>3.7720000000000808E-4</v>
      </c>
      <c r="H73" s="49">
        <f t="shared" si="31"/>
        <v>7.5999999999964984E-6</v>
      </c>
      <c r="I73" s="49">
        <f t="shared" si="31"/>
        <v>0</v>
      </c>
      <c r="J73" s="49">
        <f t="shared" si="31"/>
        <v>0</v>
      </c>
      <c r="K73" s="49">
        <f t="shared" si="31"/>
        <v>0</v>
      </c>
      <c r="L73" s="49">
        <f t="shared" si="31"/>
        <v>0</v>
      </c>
      <c r="M73" s="49">
        <f t="shared" si="31"/>
        <v>0</v>
      </c>
      <c r="N73" s="49">
        <f t="shared" si="31"/>
        <v>0</v>
      </c>
      <c r="O73" s="49">
        <f t="shared" si="31"/>
        <v>0</v>
      </c>
      <c r="P73" s="49">
        <f t="shared" si="31"/>
        <v>0</v>
      </c>
      <c r="Q73" s="49">
        <f t="shared" si="31"/>
        <v>0</v>
      </c>
      <c r="R73" s="49">
        <f t="shared" si="31"/>
        <v>0</v>
      </c>
      <c r="S73" s="49">
        <f t="shared" si="31"/>
        <v>0</v>
      </c>
      <c r="T73" s="49">
        <f t="shared" si="31"/>
        <v>0</v>
      </c>
      <c r="U73" s="49">
        <f t="shared" ref="U73:W73" si="32">+U71-U72</f>
        <v>0</v>
      </c>
      <c r="V73" s="49">
        <f t="shared" si="32"/>
        <v>0</v>
      </c>
      <c r="W73" s="49">
        <f t="shared" si="32"/>
        <v>0</v>
      </c>
    </row>
    <row r="74" spans="2:23" outlineLevel="1" x14ac:dyDescent="0.2">
      <c r="B74" s="78"/>
      <c r="C74" s="34"/>
      <c r="D74" s="34"/>
      <c r="E74" s="34"/>
      <c r="F74" s="34"/>
      <c r="G74" s="34"/>
      <c r="H74" s="34"/>
      <c r="I74" s="34"/>
      <c r="J74" s="34"/>
      <c r="K74" s="34"/>
      <c r="L74" s="34"/>
      <c r="M74" s="34"/>
      <c r="N74" s="34"/>
      <c r="O74" s="34"/>
      <c r="P74" s="34"/>
      <c r="Q74" s="34"/>
      <c r="R74" s="34"/>
      <c r="S74" s="34"/>
      <c r="T74" s="34"/>
      <c r="U74" s="34"/>
      <c r="V74" s="34"/>
      <c r="W74" s="34"/>
    </row>
    <row r="75" spans="2:23" x14ac:dyDescent="0.2">
      <c r="B75" s="51" t="s">
        <v>182</v>
      </c>
      <c r="C75" s="51"/>
      <c r="D75" s="51"/>
      <c r="E75" s="51"/>
      <c r="F75" s="51"/>
      <c r="G75" s="51"/>
      <c r="H75" s="51"/>
      <c r="I75" s="51"/>
      <c r="J75" s="51"/>
      <c r="K75" s="51">
        <f t="shared" ref="K75:W75" si="33">IF(K56&lt;J56,0,1)</f>
        <v>0</v>
      </c>
      <c r="L75" s="51">
        <f t="shared" si="33"/>
        <v>0</v>
      </c>
      <c r="M75" s="51">
        <f t="shared" si="33"/>
        <v>0</v>
      </c>
      <c r="N75" s="51">
        <f t="shared" si="33"/>
        <v>0</v>
      </c>
      <c r="O75" s="51">
        <f t="shared" si="33"/>
        <v>0</v>
      </c>
      <c r="P75" s="51">
        <f t="shared" si="33"/>
        <v>0</v>
      </c>
      <c r="Q75" s="51">
        <f t="shared" si="33"/>
        <v>0</v>
      </c>
      <c r="R75" s="51">
        <f t="shared" si="33"/>
        <v>0</v>
      </c>
      <c r="S75" s="51">
        <f t="shared" si="33"/>
        <v>0</v>
      </c>
      <c r="T75" s="51">
        <f t="shared" si="33"/>
        <v>0</v>
      </c>
      <c r="U75" s="51">
        <f t="shared" si="33"/>
        <v>0</v>
      </c>
      <c r="V75" s="51">
        <f t="shared" si="33"/>
        <v>0</v>
      </c>
      <c r="W75" s="51">
        <f t="shared" si="33"/>
        <v>0</v>
      </c>
    </row>
    <row r="76" spans="2:23" x14ac:dyDescent="0.2">
      <c r="D76" s="53"/>
    </row>
    <row r="77" spans="2:23" s="92" customFormat="1" ht="13.2" outlineLevel="1" x14ac:dyDescent="0.25">
      <c r="B77" s="93" t="s">
        <v>121</v>
      </c>
      <c r="C77" s="94"/>
      <c r="E77" s="95"/>
      <c r="F77" s="94"/>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122</v>
      </c>
      <c r="E79" s="110"/>
      <c r="F79" s="110">
        <f t="shared" ref="F79" si="34">IF((F83-E83*F42/((1+F23/100)*(1+F41/100)))&gt;0,1,0)</f>
        <v>1</v>
      </c>
      <c r="G79" s="110">
        <f>IF((G83-F83*G42/((1+G23/100)*(1+G41/100)))&gt;0,1,0)</f>
        <v>1</v>
      </c>
      <c r="H79" s="110">
        <f t="shared" ref="H79:W79" si="35">IF((H83-G83*H42/((1+H23/100)*(1+H41/100)))&gt;0,1,0)</f>
        <v>1</v>
      </c>
      <c r="I79" s="110">
        <f t="shared" si="35"/>
        <v>1</v>
      </c>
      <c r="J79" s="110">
        <f t="shared" si="35"/>
        <v>1</v>
      </c>
      <c r="K79" s="110">
        <f t="shared" si="35"/>
        <v>1</v>
      </c>
      <c r="L79" s="110">
        <f t="shared" si="35"/>
        <v>0</v>
      </c>
      <c r="M79" s="110">
        <f t="shared" si="35"/>
        <v>0</v>
      </c>
      <c r="N79" s="110">
        <f t="shared" si="35"/>
        <v>0</v>
      </c>
      <c r="O79" s="110">
        <f t="shared" si="35"/>
        <v>0</v>
      </c>
      <c r="P79" s="110">
        <f t="shared" si="35"/>
        <v>0</v>
      </c>
      <c r="Q79" s="110">
        <f t="shared" si="35"/>
        <v>0</v>
      </c>
      <c r="R79" s="110">
        <f t="shared" si="35"/>
        <v>0</v>
      </c>
      <c r="S79" s="110">
        <f t="shared" si="35"/>
        <v>0</v>
      </c>
      <c r="T79" s="110">
        <f t="shared" si="35"/>
        <v>0</v>
      </c>
      <c r="U79" s="110">
        <f t="shared" si="35"/>
        <v>0</v>
      </c>
      <c r="V79" s="110">
        <f t="shared" si="35"/>
        <v>0</v>
      </c>
      <c r="W79" s="110">
        <f t="shared" si="35"/>
        <v>0</v>
      </c>
    </row>
    <row r="80" spans="2:23" x14ac:dyDescent="0.2">
      <c r="B80" s="26" t="s">
        <v>123</v>
      </c>
      <c r="E80" s="110"/>
      <c r="F80" s="110">
        <f t="shared" ref="F80" si="36">IF(AND(F79=0,ABS(F83-E83*F42/((1+F23/100)*(1+F41/100)))&lt;((E89*E83*F42/((1+F23/100)*(1+F41/100))+(F38*E83*E90*F42/((1+F23/100)*(1+F41/100)))))),1,0)</f>
        <v>0</v>
      </c>
      <c r="G80" s="110">
        <f>IF(AND(G79=0,ABS(G83-F83*G42/((1+G23/100)*(1+G41/100)))&lt;((F89*F83*G42/((1+G23/100)*(1+G41/100))+(G38*F83*F90*G42/((1+G23/100)*(1+G41/100)))))),1,0)</f>
        <v>0</v>
      </c>
      <c r="H80" s="110">
        <f t="shared" ref="H80:W80" si="37">IF(AND(H79=0,ABS(H83-G83*H42/((1+H23/100)*(1+H41/100)))&lt;((G89*G83*H42/((1+H23/100)*(1+H41/100))+(H38*G83*G90*H42/((1+H23/100)*(1+H41/100)))))),1,0)</f>
        <v>0</v>
      </c>
      <c r="I80" s="110">
        <f t="shared" si="37"/>
        <v>0</v>
      </c>
      <c r="J80" s="110">
        <f t="shared" si="37"/>
        <v>0</v>
      </c>
      <c r="K80" s="110">
        <f t="shared" si="37"/>
        <v>0</v>
      </c>
      <c r="L80" s="110">
        <f t="shared" si="37"/>
        <v>1</v>
      </c>
      <c r="M80" s="110">
        <f t="shared" si="37"/>
        <v>1</v>
      </c>
      <c r="N80" s="110">
        <f t="shared" si="37"/>
        <v>1</v>
      </c>
      <c r="O80" s="110">
        <f t="shared" si="37"/>
        <v>1</v>
      </c>
      <c r="P80" s="110">
        <f t="shared" si="37"/>
        <v>1</v>
      </c>
      <c r="Q80" s="110">
        <f t="shared" si="37"/>
        <v>1</v>
      </c>
      <c r="R80" s="110">
        <f t="shared" si="37"/>
        <v>1</v>
      </c>
      <c r="S80" s="110">
        <f t="shared" si="37"/>
        <v>1</v>
      </c>
      <c r="T80" s="110">
        <f t="shared" si="37"/>
        <v>1</v>
      </c>
      <c r="U80" s="110">
        <f t="shared" si="37"/>
        <v>1</v>
      </c>
      <c r="V80" s="110">
        <f t="shared" si="37"/>
        <v>1</v>
      </c>
      <c r="W80" s="110">
        <f t="shared" si="37"/>
        <v>1</v>
      </c>
    </row>
    <row r="82" spans="2:23" x14ac:dyDescent="0.2">
      <c r="B82" s="51"/>
      <c r="C82" s="85">
        <v>2021</v>
      </c>
      <c r="D82" s="85">
        <v>2022</v>
      </c>
      <c r="E82" s="85">
        <v>2023</v>
      </c>
      <c r="F82" s="85">
        <v>2024</v>
      </c>
      <c r="G82" s="85">
        <v>2025</v>
      </c>
      <c r="H82" s="85">
        <v>2026</v>
      </c>
      <c r="I82" s="85">
        <v>2027</v>
      </c>
      <c r="J82" s="85">
        <v>2028</v>
      </c>
      <c r="K82" s="85">
        <v>2029</v>
      </c>
      <c r="L82" s="85">
        <v>2030</v>
      </c>
      <c r="M82" s="85">
        <v>2031</v>
      </c>
      <c r="N82" s="85">
        <v>2032</v>
      </c>
      <c r="O82" s="85">
        <v>2033</v>
      </c>
      <c r="P82" s="85">
        <v>2034</v>
      </c>
      <c r="Q82" s="85">
        <v>2035</v>
      </c>
      <c r="R82" s="85">
        <v>2036</v>
      </c>
      <c r="S82" s="85">
        <v>2037</v>
      </c>
      <c r="T82" s="85">
        <v>2038</v>
      </c>
      <c r="U82" s="85">
        <v>2039</v>
      </c>
      <c r="V82" s="85">
        <v>2040</v>
      </c>
      <c r="W82" s="85">
        <v>2041</v>
      </c>
    </row>
    <row r="83" spans="2:23" x14ac:dyDescent="0.2">
      <c r="B83" s="105" t="s">
        <v>101</v>
      </c>
      <c r="C83" s="109">
        <f>C56</f>
        <v>82.394589999999994</v>
      </c>
      <c r="D83" s="109">
        <f>D56</f>
        <v>78.375620315610604</v>
      </c>
      <c r="E83" s="109">
        <f>E56</f>
        <v>78.551901298157986</v>
      </c>
      <c r="F83" s="109">
        <f>F56</f>
        <v>79.538050043568091</v>
      </c>
      <c r="G83" s="109">
        <f>G56</f>
        <v>80.81308351777497</v>
      </c>
      <c r="H83" s="109">
        <f>G83*(1+H97/100)*H42-H59-H60+H61+H62+H63+H64+H65+H72</f>
        <v>80.673510410562542</v>
      </c>
      <c r="I83" s="109">
        <f t="shared" ref="I83:W83" si="38">H83*(1+I97/100)*I42-I59-I60+I61+I62+I63+I64+I65+I72</f>
        <v>79.48432826464655</v>
      </c>
      <c r="J83" s="109">
        <f t="shared" si="38"/>
        <v>77.440279840980196</v>
      </c>
      <c r="K83" s="109">
        <f t="shared" si="38"/>
        <v>74.689692779554591</v>
      </c>
      <c r="L83" s="109">
        <f t="shared" si="38"/>
        <v>71.598606253062115</v>
      </c>
      <c r="M83" s="109">
        <f t="shared" si="38"/>
        <v>68.279907069886349</v>
      </c>
      <c r="N83" s="109">
        <f t="shared" si="38"/>
        <v>65.585924348514212</v>
      </c>
      <c r="O83" s="109">
        <f t="shared" si="38"/>
        <v>62.980363990466543</v>
      </c>
      <c r="P83" s="109">
        <f t="shared" si="38"/>
        <v>60.463444036990744</v>
      </c>
      <c r="Q83" s="109">
        <f t="shared" si="38"/>
        <v>58.021658678693619</v>
      </c>
      <c r="R83" s="109">
        <f t="shared" si="38"/>
        <v>55.636312012329157</v>
      </c>
      <c r="S83" s="109">
        <f t="shared" si="38"/>
        <v>53.29582204004268</v>
      </c>
      <c r="T83" s="109">
        <f t="shared" si="38"/>
        <v>50.992507999463157</v>
      </c>
      <c r="U83" s="109">
        <f t="shared" si="38"/>
        <v>48.716077166050191</v>
      </c>
      <c r="V83" s="109">
        <f t="shared" si="38"/>
        <v>46.453031177035122</v>
      </c>
      <c r="W83" s="109">
        <f t="shared" si="38"/>
        <v>44.245876788347466</v>
      </c>
    </row>
    <row r="84" spans="2:23" x14ac:dyDescent="0.2">
      <c r="B84" s="26" t="s">
        <v>124</v>
      </c>
      <c r="C84" s="34"/>
      <c r="D84" s="34"/>
      <c r="E84" s="253">
        <f>'Input data'!$C$66*E$83</f>
        <v>60.525655589893695</v>
      </c>
      <c r="F84" s="34">
        <f t="shared" ref="F84" si="39">IF(F83=0,0,IF(F79=1,E83*F42/((1+F23/100)*(1+F41/100))-F85-F86,IF(AND(F79=0,F80=1),(1-E89-F38*E90)*E83*F42/((1+F23/100)*(1+F41/100)),F83)))</f>
        <v>62.802647329605676</v>
      </c>
      <c r="G84" s="34">
        <f t="shared" ref="G84" si="40">IF(G83=0,0,IF(G79=1,F83*G42/((1+G23/100)*(1+G41/100))-G85-G86,IF(AND(G79=0,G80=1),(1-F89-G38*F90)*F83*G42/((1+G23/100)*(1+G41/100)),G83)))</f>
        <v>64.392644512026649</v>
      </c>
      <c r="H84" s="34">
        <f t="shared" ref="H84:W84" si="41">IF(H83=0,0,IF(H79=1,G83*H42/((1+H23/100)*(1+H41/100))-H85-H86,IF(AND(H79=0,H80=1),(1-G89-H38*G90)*G83*H42/((1+H23/100)*(1+H41/100)),H83)))</f>
        <v>65.180577692643965</v>
      </c>
      <c r="I84" s="34">
        <f t="shared" si="41"/>
        <v>65.001306706845838</v>
      </c>
      <c r="J84" s="34">
        <f t="shared" si="41"/>
        <v>64.069197195735555</v>
      </c>
      <c r="K84" s="34">
        <f t="shared" si="41"/>
        <v>61.933911874122636</v>
      </c>
      <c r="L84" s="34">
        <f t="shared" si="41"/>
        <v>59.677402309478268</v>
      </c>
      <c r="M84" s="34">
        <f t="shared" si="41"/>
        <v>57.270692145424668</v>
      </c>
      <c r="N84" s="34">
        <f t="shared" si="41"/>
        <v>55.152213542977904</v>
      </c>
      <c r="O84" s="34">
        <f t="shared" si="41"/>
        <v>53.107984715722537</v>
      </c>
      <c r="P84" s="34">
        <f t="shared" si="41"/>
        <v>51.094007550076661</v>
      </c>
      <c r="Q84" s="34">
        <f t="shared" si="41"/>
        <v>49.124785926006474</v>
      </c>
      <c r="R84" s="34">
        <f t="shared" si="41"/>
        <v>47.205633859906946</v>
      </c>
      <c r="S84" s="34">
        <f t="shared" si="41"/>
        <v>45.327257306933227</v>
      </c>
      <c r="T84" s="34">
        <f t="shared" si="41"/>
        <v>43.491050210203653</v>
      </c>
      <c r="U84" s="34">
        <f t="shared" si="41"/>
        <v>41.686286026473063</v>
      </c>
      <c r="V84" s="34">
        <f t="shared" si="41"/>
        <v>39.907578005879586</v>
      </c>
      <c r="W84" s="34">
        <f t="shared" si="41"/>
        <v>38.1761388852237</v>
      </c>
    </row>
    <row r="85" spans="2:23" x14ac:dyDescent="0.2">
      <c r="B85" s="104" t="s">
        <v>125</v>
      </c>
      <c r="C85" s="34"/>
      <c r="D85" s="34"/>
      <c r="E85" s="253">
        <f>'Input data'!$C$67*E$83</f>
        <v>8.3684210076244501</v>
      </c>
      <c r="F85" s="34">
        <f t="shared" ref="F85" si="42">IF(F83=0,0,IF(F79=1,F38*E83*E90*F42/((1+F23/100)*(1+F41/100)),IF(AND(F79=0,F80=1),(F38*E83*E90*F42/((1+F23/100)*(1+F41/100)))*(1-ABS(F83-E83*F42/((1+F23/100)*(1+F41/100)))/((F38*E83*E90*F42/((1+F23/100)*(1+F41/100)))+(E89*E83*F42/((1+F23/100)*(1+F41/100))))),0)))</f>
        <v>7.6131291238171945</v>
      </c>
      <c r="G85" s="34">
        <f t="shared" ref="G85" si="43">IF(G83=0,0,IF(G79=1,G38*F83*F90*G42/((1+G23/100)*(1+G41/100)),IF(AND(G79=0,G80=1),(G38*F83*F90*G42/((1+G23/100)*(1+G41/100)))*(1-ABS(G83-F83*G42/((1+G23/100)*(1+G41/100)))/((G38*F83*F90*G42/((1+G23/100)*(1+G41/100)))+(F89*F83*G42/((1+G23/100)*(1+G41/100))))),0)))</f>
        <v>7.772030499095739</v>
      </c>
      <c r="H85" s="34">
        <f t="shared" ref="H85:W85" si="44">IF(H83=0,0,IF(H79=1,H38*G83*G90*H42/((1+H23/100)*(1+H41/100)),IF(AND(H79=0,H80=1),(H38*G83*G90*H42/((1+H23/100)*(1+H41/100)))*(1-ABS(H83-G83*H42/((1+H23/100)*(1+H41/100)))/((H38*G83*G90*H42/((1+H23/100)*(1+H41/100)))+(G89*G83*H42/((1+H23/100)*(1+H41/100))))),0)))</f>
        <v>7.8329070914089343</v>
      </c>
      <c r="I85" s="34">
        <f t="shared" si="44"/>
        <v>7.7772648000482922</v>
      </c>
      <c r="J85" s="34">
        <f t="shared" si="44"/>
        <v>7.6321614996297935</v>
      </c>
      <c r="K85" s="34">
        <f t="shared" si="44"/>
        <v>7.3453693972485468</v>
      </c>
      <c r="L85" s="34">
        <f t="shared" si="44"/>
        <v>6.9065788121116816</v>
      </c>
      <c r="M85" s="34">
        <f t="shared" si="44"/>
        <v>6.4157154710682018</v>
      </c>
      <c r="N85" s="34">
        <f t="shared" si="44"/>
        <v>6.179549644415915</v>
      </c>
      <c r="O85" s="34">
        <f t="shared" si="44"/>
        <v>5.9304240299567548</v>
      </c>
      <c r="P85" s="34">
        <f t="shared" si="44"/>
        <v>5.7046548194310347</v>
      </c>
      <c r="Q85" s="34">
        <f t="shared" si="44"/>
        <v>5.4891861505907231</v>
      </c>
      <c r="R85" s="34">
        <f t="shared" si="44"/>
        <v>5.2680530571842832</v>
      </c>
      <c r="S85" s="34">
        <f t="shared" si="44"/>
        <v>5.0437371569072518</v>
      </c>
      <c r="T85" s="34">
        <f t="shared" si="44"/>
        <v>4.812705789594709</v>
      </c>
      <c r="U85" s="34">
        <f t="shared" si="44"/>
        <v>4.5779858412113814</v>
      </c>
      <c r="V85" s="34">
        <f t="shared" si="44"/>
        <v>4.3350346511125872</v>
      </c>
      <c r="W85" s="34">
        <f t="shared" si="44"/>
        <v>4.0992314088510309</v>
      </c>
    </row>
    <row r="86" spans="2:23" x14ac:dyDescent="0.2">
      <c r="B86" s="104" t="s">
        <v>126</v>
      </c>
      <c r="C86" s="34"/>
      <c r="D86" s="34"/>
      <c r="E86" s="253">
        <f>'Input data'!$C$68*E$83</f>
        <v>5.2995447382705345</v>
      </c>
      <c r="F86" s="34">
        <f t="shared" ref="F86" si="45">IF(F83=0,0,IF(F79=1,(1-E90)*E83*F42/((1+F23/100)*(1+F41/100)),IF(AND(F79=0,F80=1),(E89*E83*F42/((1+F23/100)*(1+F41/100)))*(1-ABS(F83-E83*F42/((1+F23/100)*(1+F41/100)))/((F38*E83*E90*F42/((1+F23/100)*(1+F41/100)))+(E89*E83*F42/((1+F23/100)*(1+F41/100))))),0)))</f>
        <v>5.4165985451724916</v>
      </c>
      <c r="G86" s="34">
        <f t="shared" ref="G86" si="46">IF(G83=0,0,IF(G79=1,(1-F90)*F83*G42/((1+G23/100)*(1+G41/100)),IF(AND(G79=0,G80=1),(F89*F83*G42/((1+G23/100)*(1+G41/100)))*(1-ABS(G83-F83*G42/((1+G23/100)*(1+G41/100)))/((G38*F83*F90*G42/((1+G23/100)*(1+G41/100)))+(F89*F83*G42/((1+G23/100)*(1+G41/100))))),0)))</f>
        <v>5.5444254320799606</v>
      </c>
      <c r="H86" s="34">
        <f t="shared" ref="H86:W86" si="47">IF(H83=0,0,IF(H79=1,(1-G90)*G83*H42/((1+H23/100)*(1+H41/100)),IF(AND(H79=0,H80=1),(G89*G83*H42/((1+H23/100)*(1+H41/100)))*(1-ABS(H83-G83*H42/((1+H23/100)*(1+H41/100)))/((H38*G83*G90*H42/((1+H23/100)*(1+H41/100)))+(G89*G83*H42/((1+H23/100)*(1+H41/100))))),0)))</f>
        <v>5.6043092884990209</v>
      </c>
      <c r="I86" s="34">
        <f t="shared" si="47"/>
        <v>5.5828888382246653</v>
      </c>
      <c r="J86" s="34">
        <f t="shared" si="47"/>
        <v>5.4984513637899308</v>
      </c>
      <c r="K86" s="34">
        <f t="shared" si="47"/>
        <v>5.3123355727586059</v>
      </c>
      <c r="L86" s="34">
        <f t="shared" si="47"/>
        <v>5.0146251314721608</v>
      </c>
      <c r="M86" s="34">
        <f t="shared" si="47"/>
        <v>4.5934994533934725</v>
      </c>
      <c r="N86" s="34">
        <f t="shared" si="47"/>
        <v>4.2541611611203871</v>
      </c>
      <c r="O86" s="34">
        <f t="shared" si="47"/>
        <v>3.9419552447872519</v>
      </c>
      <c r="P86" s="34">
        <f t="shared" si="47"/>
        <v>3.6647816674830453</v>
      </c>
      <c r="Q86" s="34">
        <f t="shared" si="47"/>
        <v>3.4076866020964225</v>
      </c>
      <c r="R86" s="34">
        <f t="shared" si="47"/>
        <v>3.1626250952379258</v>
      </c>
      <c r="S86" s="34">
        <f t="shared" si="47"/>
        <v>2.9248275762022011</v>
      </c>
      <c r="T86" s="34">
        <f t="shared" si="47"/>
        <v>2.6887519996647984</v>
      </c>
      <c r="U86" s="34">
        <f t="shared" si="47"/>
        <v>2.4518052983657479</v>
      </c>
      <c r="V86" s="34">
        <f t="shared" si="47"/>
        <v>2.210418520042948</v>
      </c>
      <c r="W86" s="34">
        <f t="shared" si="47"/>
        <v>1.9705064942727366</v>
      </c>
    </row>
    <row r="87" spans="2:23" x14ac:dyDescent="0.2">
      <c r="B87" s="104" t="s">
        <v>127</v>
      </c>
      <c r="C87" s="34"/>
      <c r="D87" s="34"/>
      <c r="E87" s="253">
        <f>'Input data'!$C$69*E$83</f>
        <v>4.0469720364863182</v>
      </c>
      <c r="F87" s="34">
        <f>IF(F83=0,0,IF(F79=1,'Input data'!$C$58*(F83-E83*F42/((1+F23/100)*(1+F41/100))),0))</f>
        <v>3.4473554021277226</v>
      </c>
      <c r="G87" s="34">
        <f>IF(G83=0,0,IF(G79=1,'Input data'!$C$58*(G83-F83*G42/((1+G23/100)*(1+G41/100))),0))</f>
        <v>2.8876068976306266</v>
      </c>
      <c r="H87" s="34">
        <f>IF(H83=0,0,IF(H79=1,'Input data'!$C$58*(H83-G83*H42/((1+H23/100)*(1+H41/100))),0))</f>
        <v>1.9124139966609757</v>
      </c>
      <c r="I87" s="34">
        <f>IF(I83=0,0,IF(I79=1,'Input data'!$C$58*(I83-H83*I42/((1+I23/100)*(1+I41/100))),0))</f>
        <v>1.0445936951518187</v>
      </c>
      <c r="J87" s="34">
        <f>IF(J83=0,0,IF(J79=1,'Input data'!$C$58*(J83-I83*J42/((1+J23/100)*(1+J41/100))),0))</f>
        <v>0.22370682570973727</v>
      </c>
      <c r="K87" s="34">
        <f>IF(K83=0,0,IF(K79=1,'Input data'!$C$58*(K83-J83*K42/((1+K23/100)*(1+K41/100))),0))</f>
        <v>9.123914042708757E-2</v>
      </c>
      <c r="L87" s="34">
        <f>IF(L83=0,0,IF(L79=1,'Input data'!$C$58*(L83-K83*L42/((1+L23/100)*(1+L41/100))),0))</f>
        <v>0</v>
      </c>
      <c r="M87" s="34">
        <f>IF(M83=0,0,IF(M79=1,'Input data'!$C$58*(M83-L83*M42/((1+M23/100)*(1+M41/100))),0))</f>
        <v>0</v>
      </c>
      <c r="N87" s="34">
        <f>IF(N83=0,0,IF(N79=1,'Input data'!$C$58*(N83-M83*N42/((1+N23/100)*(1+N41/100))),0))</f>
        <v>0</v>
      </c>
      <c r="O87" s="34">
        <f>IF(O83=0,0,IF(O79=1,'Input data'!$C$58*(O83-N83*O42/((1+O23/100)*(1+O41/100))),0))</f>
        <v>0</v>
      </c>
      <c r="P87" s="34">
        <f>IF(P83=0,0,IF(P79=1,'Input data'!$C$58*(P83-O83*P42/((1+P23/100)*(1+P41/100))),0))</f>
        <v>0</v>
      </c>
      <c r="Q87" s="34">
        <f>IF(Q83=0,0,IF(Q79=1,'Input data'!$C$58*(Q83-P83*Q42/((1+Q23/100)*(1+Q41/100))),0))</f>
        <v>0</v>
      </c>
      <c r="R87" s="34">
        <f>IF(R83=0,0,IF(R79=1,'Input data'!$C$58*(R83-Q83*R42/((1+R23/100)*(1+R41/100))),0))</f>
        <v>0</v>
      </c>
      <c r="S87" s="34">
        <f>IF(S83=0,0,IF(S79=1,'Input data'!$C$58*(S83-R83*S42/((1+S23/100)*(1+S41/100))),0))</f>
        <v>0</v>
      </c>
      <c r="T87" s="34">
        <f>IF(T83=0,0,IF(T79=1,'Input data'!$C$58*(T83-S83*T42/((1+T23/100)*(1+T41/100))),0))</f>
        <v>0</v>
      </c>
      <c r="U87" s="34">
        <f>IF(U83=0,0,IF(U79=1,'Input data'!$C$58*(U83-T83*U42/((1+U23/100)*(1+U41/100))),0))</f>
        <v>0</v>
      </c>
      <c r="V87" s="34">
        <f>IF(V83=0,0,IF(V79=1,'Input data'!$C$58*(V83-U83*V42/((1+V23/100)*(1+V41/100))),0))</f>
        <v>0</v>
      </c>
      <c r="W87" s="34">
        <f>IF(W83=0,0,IF(W79=1,'Input data'!$C$58*(W83-V83*W42/((1+W23/100)*(1+W41/100))),0))</f>
        <v>0</v>
      </c>
    </row>
    <row r="88" spans="2:23" x14ac:dyDescent="0.2">
      <c r="B88" s="106" t="s">
        <v>128</v>
      </c>
      <c r="C88" s="49"/>
      <c r="D88" s="49"/>
      <c r="E88" s="254">
        <f>'Input data'!$C$70*E$83</f>
        <v>0.31130552588356658</v>
      </c>
      <c r="F88" s="49">
        <f>IF(F83=0,0,IF(F79=1,'Input data'!$C$57*(F83-E83*F42/((1+F23/100)*(1+F41/100))),0))</f>
        <v>0.25831964284501346</v>
      </c>
      <c r="G88" s="49">
        <f>IF(G83=0,0,IF(G79=1,'Input data'!$C$57*(G83-F83*G42/((1+G23/100)*(1+G41/100))),0))</f>
        <v>0.21637617694199801</v>
      </c>
      <c r="H88" s="49">
        <f>IF(H83=0,0,IF(H79=1,'Input data'!$C$57*(H83-G83*H42/((1+H23/100)*(1+H41/100))),0))</f>
        <v>0.14330234134965034</v>
      </c>
      <c r="I88" s="49">
        <f>IF(I83=0,0,IF(I79=1,'Input data'!$C$57*(I83-H83*I42/((1+I23/100)*(1+I41/100))),0))</f>
        <v>7.8274224375944779E-2</v>
      </c>
      <c r="J88" s="49">
        <f>IF(J83=0,0,IF(J79=1,'Input data'!$C$57*(J83-I83*J42/((1+J23/100)*(1+J41/100))),0))</f>
        <v>1.6762956115190235E-2</v>
      </c>
      <c r="K88" s="49">
        <f>IF(K83=0,0,IF(K79=1,'Input data'!$C$57*(K83-J83*K42/((1+K23/100)*(1+K41/100))),0))</f>
        <v>6.8367949977146212E-3</v>
      </c>
      <c r="L88" s="49">
        <f>IF(L83=0,0,IF(L79=1,'Input data'!$C$57*(L83-K83*L42/((1+L23/100)*(1+L41/100))),0))</f>
        <v>0</v>
      </c>
      <c r="M88" s="49">
        <f>IF(M83=0,0,IF(M79=1,'Input data'!$C$57*(M83-L83*M42/((1+M23/100)*(1+M41/100))),0))</f>
        <v>0</v>
      </c>
      <c r="N88" s="49">
        <f>IF(N83=0,0,IF(N79=1,'Input data'!$C$57*(N83-M83*N42/((1+N23/100)*(1+N41/100))),0))</f>
        <v>0</v>
      </c>
      <c r="O88" s="49">
        <f>IF(O83=0,0,IF(O79=1,'Input data'!$C$57*(O83-N83*O42/((1+O23/100)*(1+O41/100))),0))</f>
        <v>0</v>
      </c>
      <c r="P88" s="49">
        <f>IF(P83=0,0,IF(P79=1,'Input data'!$C$57*(P83-O83*P42/((1+P23/100)*(1+P41/100))),0))</f>
        <v>0</v>
      </c>
      <c r="Q88" s="49">
        <f>IF(Q83=0,0,IF(Q79=1,'Input data'!$C$57*(Q83-P83*Q42/((1+Q23/100)*(1+Q41/100))),0))</f>
        <v>0</v>
      </c>
      <c r="R88" s="49">
        <f>IF(R83=0,0,IF(R79=1,'Input data'!$C$57*(R83-Q83*R42/((1+R23/100)*(1+R41/100))),0))</f>
        <v>0</v>
      </c>
      <c r="S88" s="49">
        <f>IF(S83=0,0,IF(S79=1,'Input data'!$C$57*(S83-R83*S42/((1+S23/100)*(1+S41/100))),0))</f>
        <v>0</v>
      </c>
      <c r="T88" s="49">
        <f>IF(T83=0,0,IF(T79=1,'Input data'!$C$57*(T83-S83*T42/((1+T23/100)*(1+T41/100))),0))</f>
        <v>0</v>
      </c>
      <c r="U88" s="49">
        <f>IF(U83=0,0,IF(U79=1,'Input data'!$C$57*(U83-T83*U42/((1+U23/100)*(1+U41/100))),0))</f>
        <v>0</v>
      </c>
      <c r="V88" s="49">
        <f>IF(V83=0,0,IF(V79=1,'Input data'!$C$57*(V83-U83*V42/((1+V23/100)*(1+V41/100))),0))</f>
        <v>0</v>
      </c>
      <c r="W88" s="49">
        <f>IF(W83=0,0,IF(W79=1,'Input data'!$C$57*(W83-V83*W42/((1+W23/100)*(1+W41/100))),0))</f>
        <v>0</v>
      </c>
    </row>
    <row r="89" spans="2:23" x14ac:dyDescent="0.2">
      <c r="B89" s="26" t="s">
        <v>73</v>
      </c>
      <c r="C89" s="36"/>
      <c r="D89" s="36"/>
      <c r="E89" s="259">
        <f>'Baseline NFPC'!E$93</f>
        <v>7.1428575793291621E-2</v>
      </c>
      <c r="F89" s="36">
        <f t="shared" ref="F89:G89" si="48">IF(F83&lt;&gt;0,(F86+F88)/(F84+F85+F86+F87+F88),0)</f>
        <v>7.1348470133590011E-2</v>
      </c>
      <c r="G89" s="36">
        <f t="shared" si="48"/>
        <v>7.1285506730539017E-2</v>
      </c>
      <c r="H89" s="36">
        <f t="shared" ref="H89" si="49">IF(H83&lt;&gt;0,(H86+H88)/(H84+H85+H86+H87+H88),0)</f>
        <v>7.1245339400727734E-2</v>
      </c>
      <c r="I89" s="36">
        <f t="shared" ref="I89:W89" si="50">IF(I83&lt;&gt;0,(I86+I88)/(I84+I85+I86+I87+I88),0)</f>
        <v>7.1223638498290123E-2</v>
      </c>
      <c r="J89" s="36">
        <f t="shared" si="50"/>
        <v>7.1218935820355281E-2</v>
      </c>
      <c r="K89" s="36">
        <f t="shared" si="50"/>
        <v>7.121695336806072E-2</v>
      </c>
      <c r="L89" s="36">
        <f t="shared" si="50"/>
        <v>7.0038027189358837E-2</v>
      </c>
      <c r="M89" s="36">
        <f t="shared" si="50"/>
        <v>6.727454166995131E-2</v>
      </c>
      <c r="N89" s="36">
        <f t="shared" si="50"/>
        <v>6.486393541569048E-2</v>
      </c>
      <c r="O89" s="36">
        <f t="shared" si="50"/>
        <v>6.2590226461440482E-2</v>
      </c>
      <c r="P89" s="36">
        <f t="shared" si="50"/>
        <v>6.0611526945785289E-2</v>
      </c>
      <c r="Q89" s="36">
        <f t="shared" si="50"/>
        <v>5.8731285518174497E-2</v>
      </c>
      <c r="R89" s="36">
        <f t="shared" si="50"/>
        <v>5.684462145041317E-2</v>
      </c>
      <c r="S89" s="36">
        <f t="shared" si="50"/>
        <v>5.4879115552522943E-2</v>
      </c>
      <c r="T89" s="36">
        <f t="shared" si="50"/>
        <v>5.27283733463964E-2</v>
      </c>
      <c r="U89" s="36">
        <f t="shared" si="50"/>
        <v>5.0328463230089257E-2</v>
      </c>
      <c r="V89" s="36">
        <f t="shared" si="50"/>
        <v>4.7583945848849313E-2</v>
      </c>
      <c r="W89" s="36">
        <f t="shared" si="50"/>
        <v>4.4535370011962033E-2</v>
      </c>
    </row>
    <row r="90" spans="2:23" x14ac:dyDescent="0.2">
      <c r="B90" s="35" t="s">
        <v>74</v>
      </c>
      <c r="C90" s="107"/>
      <c r="D90" s="107"/>
      <c r="E90" s="260">
        <f>'Baseline NFPC'!E$94</f>
        <v>0.92857142420670824</v>
      </c>
      <c r="F90" s="107">
        <f t="shared" ref="F90:G90" si="51">IF(F83&lt;&gt;0,(F84+F85+F87)/(F84+F85+F86+F87+F88),1)</f>
        <v>0.92865152986641009</v>
      </c>
      <c r="G90" s="107">
        <f t="shared" si="51"/>
        <v>0.92871449326946109</v>
      </c>
      <c r="H90" s="107">
        <f t="shared" ref="H90" si="52">IF(H83&lt;&gt;0,(H84+H85+H87)/(H84+H85+H86+H87+H88),1)</f>
        <v>0.92875466059927214</v>
      </c>
      <c r="I90" s="107">
        <f t="shared" ref="I90:W90" si="53">IF(I83&lt;&gt;0,(I84+I85+I87)/(I84+I85+I86+I87+I88),1)</f>
        <v>0.92877636150170995</v>
      </c>
      <c r="J90" s="107">
        <f t="shared" si="53"/>
        <v>0.92878106417964479</v>
      </c>
      <c r="K90" s="107">
        <f t="shared" si="53"/>
        <v>0.92878304663193945</v>
      </c>
      <c r="L90" s="107">
        <f t="shared" si="53"/>
        <v>0.92996197281064119</v>
      </c>
      <c r="M90" s="107">
        <f t="shared" si="53"/>
        <v>0.93272545833004861</v>
      </c>
      <c r="N90" s="107">
        <f t="shared" si="53"/>
        <v>0.93513606458430942</v>
      </c>
      <c r="O90" s="107">
        <f t="shared" si="53"/>
        <v>0.93740977353855948</v>
      </c>
      <c r="P90" s="107">
        <f t="shared" si="53"/>
        <v>0.93938847305421469</v>
      </c>
      <c r="Q90" s="107">
        <f t="shared" si="53"/>
        <v>0.94126871448182547</v>
      </c>
      <c r="R90" s="107">
        <f t="shared" si="53"/>
        <v>0.94315537854958675</v>
      </c>
      <c r="S90" s="107">
        <f t="shared" si="53"/>
        <v>0.94512088444747699</v>
      </c>
      <c r="T90" s="107">
        <f t="shared" si="53"/>
        <v>0.94727162665360365</v>
      </c>
      <c r="U90" s="107">
        <f t="shared" si="53"/>
        <v>0.94967153676991078</v>
      </c>
      <c r="V90" s="107">
        <f t="shared" si="53"/>
        <v>0.9524160541511506</v>
      </c>
      <c r="W90" s="107">
        <f t="shared" si="53"/>
        <v>0.95546462998803805</v>
      </c>
    </row>
    <row r="92" spans="2:23" x14ac:dyDescent="0.2">
      <c r="B92" s="112" t="s">
        <v>129</v>
      </c>
      <c r="C92" s="114">
        <f t="shared" ref="C92:D92" si="54">C103</f>
        <v>1.4190647602081299</v>
      </c>
      <c r="D92" s="114">
        <f t="shared" si="54"/>
        <v>1.2721904516220093</v>
      </c>
      <c r="E92" s="114">
        <f>E103</f>
        <v>1.6214711666107178</v>
      </c>
      <c r="F92" s="114">
        <f t="shared" ref="F92:G92" si="55">F94+F95</f>
        <v>1.9528080000000001</v>
      </c>
      <c r="G92" s="114">
        <f t="shared" si="55"/>
        <v>1.9344650000000001</v>
      </c>
      <c r="H92" s="114">
        <f t="shared" ref="H92:W92" si="56">H94+H95</f>
        <v>1.8809861130955123</v>
      </c>
      <c r="I92" s="114">
        <f t="shared" si="56"/>
        <v>2.0239034219102687</v>
      </c>
      <c r="J92" s="114">
        <f>J94+J95</f>
        <v>2.1462506647711721</v>
      </c>
      <c r="K92" s="114">
        <f t="shared" si="56"/>
        <v>2.4248642342552018</v>
      </c>
      <c r="L92" s="114">
        <f t="shared" si="56"/>
        <v>2.4423583038794701</v>
      </c>
      <c r="M92" s="114">
        <f t="shared" si="56"/>
        <v>2.5259541359823898</v>
      </c>
      <c r="N92" s="114">
        <f t="shared" si="56"/>
        <v>2.6055173012714188</v>
      </c>
      <c r="O92" s="114">
        <f t="shared" si="56"/>
        <v>2.683467313955604</v>
      </c>
      <c r="P92" s="114">
        <f t="shared" si="56"/>
        <v>2.7597492679287199</v>
      </c>
      <c r="Q92" s="114">
        <f t="shared" si="56"/>
        <v>2.8243853170225832</v>
      </c>
      <c r="R92" s="114">
        <f t="shared" si="56"/>
        <v>2.8853953287316072</v>
      </c>
      <c r="S92" s="114">
        <f t="shared" si="56"/>
        <v>2.9430560242074812</v>
      </c>
      <c r="T92" s="114">
        <f t="shared" si="56"/>
        <v>2.9976833230477258</v>
      </c>
      <c r="U92" s="114">
        <f t="shared" si="56"/>
        <v>3.0495763326473599</v>
      </c>
      <c r="V92" s="114">
        <f t="shared" si="56"/>
        <v>3.0990606764460407</v>
      </c>
      <c r="W92" s="114">
        <f t="shared" si="56"/>
        <v>3.1464381347930876</v>
      </c>
    </row>
    <row r="93" spans="2:23" x14ac:dyDescent="0.2">
      <c r="B93" s="33" t="s">
        <v>130</v>
      </c>
      <c r="C93" s="96"/>
      <c r="D93" s="96"/>
      <c r="E93" s="96"/>
      <c r="F93" s="265">
        <f t="shared" ref="F93:G93" si="57">((F35*E83)-(F37*(E86+E88)))/(E84+E85+E87)</f>
        <v>1.8315432870429942</v>
      </c>
      <c r="G93" s="265">
        <f t="shared" si="57"/>
        <v>1.9243399338862257</v>
      </c>
      <c r="H93" s="34">
        <f>IF(G83&gt;0,(G93*G84+
('Baseline NFPC'!H$97*(G84+G85+G87)-'Baseline NFPC'!G$97*G84)/(G85+G87)
*(G87+G85))/(G84+G85+G87),H36)</f>
        <v>1.8721771606223445</v>
      </c>
      <c r="I93" s="34">
        <f t="shared" ref="I93:W93" si="58">IF(H83&gt;0,(H93*H84+I36*(H87+H85))/(H84+H85+H87),I36)</f>
        <v>2.0196550671025473</v>
      </c>
      <c r="J93" s="34">
        <f t="shared" si="58"/>
        <v>2.1449800377489825</v>
      </c>
      <c r="K93" s="34">
        <f t="shared" si="58"/>
        <v>2.3618723189599984</v>
      </c>
      <c r="L93" s="34">
        <f t="shared" si="58"/>
        <v>2.4509821154163136</v>
      </c>
      <c r="M93" s="34">
        <f t="shared" si="58"/>
        <v>2.5344290187366925</v>
      </c>
      <c r="N93" s="34">
        <f t="shared" si="58"/>
        <v>2.6133471965774153</v>
      </c>
      <c r="O93" s="34">
        <f t="shared" si="58"/>
        <v>2.6906097927616051</v>
      </c>
      <c r="P93" s="34">
        <f t="shared" si="58"/>
        <v>2.7661403797194222</v>
      </c>
      <c r="Q93" s="34">
        <f t="shared" si="58"/>
        <v>2.8368740525851579</v>
      </c>
      <c r="R93" s="34">
        <f t="shared" si="58"/>
        <v>2.9033508855431687</v>
      </c>
      <c r="S93" s="34">
        <f t="shared" si="58"/>
        <v>2.9658763455539434</v>
      </c>
      <c r="T93" s="34">
        <f t="shared" si="58"/>
        <v>3.024768615004906</v>
      </c>
      <c r="U93" s="34">
        <f t="shared" si="58"/>
        <v>3.0802777023391816</v>
      </c>
      <c r="V93" s="34">
        <f t="shared" si="58"/>
        <v>3.132672622260114</v>
      </c>
      <c r="W93" s="34">
        <f t="shared" si="58"/>
        <v>3.1821514042843901</v>
      </c>
    </row>
    <row r="94" spans="2:23" x14ac:dyDescent="0.2">
      <c r="B94" s="26" t="s">
        <v>131</v>
      </c>
      <c r="C94" s="96"/>
      <c r="D94" s="96"/>
      <c r="E94" s="34"/>
      <c r="F94" s="34">
        <f t="shared" ref="F94" si="59">(F93*(E84+E85+E87)+F37*(E86+E88))/E83</f>
        <v>1.9528080000000001</v>
      </c>
      <c r="G94" s="34">
        <f t="shared" ref="G94" si="60">(G93*(F84+F85+F87)+G37*(F86+F88))/F83</f>
        <v>1.9344650000000001</v>
      </c>
      <c r="H94" s="34">
        <f t="shared" ref="H94:W94" si="61">(H93*(G84+G85+G87)+H37*(G86+G88))/G83</f>
        <v>1.8809861130955123</v>
      </c>
      <c r="I94" s="34">
        <f t="shared" si="61"/>
        <v>2.0239034219102687</v>
      </c>
      <c r="J94" s="34">
        <f>(J93*(I84+I85+I87)+J37*(I86+I88))/I83</f>
        <v>2.1462506647711721</v>
      </c>
      <c r="K94" s="34">
        <f>(K93*(J84+J85+J87)+K37*(J86+J88))/J83</f>
        <v>2.4248642342552018</v>
      </c>
      <c r="L94" s="34">
        <f t="shared" si="61"/>
        <v>2.4423583038794701</v>
      </c>
      <c r="M94" s="34">
        <f t="shared" si="61"/>
        <v>2.5259541359823898</v>
      </c>
      <c r="N94" s="34">
        <f t="shared" si="61"/>
        <v>2.6055173012714188</v>
      </c>
      <c r="O94" s="34">
        <f t="shared" si="61"/>
        <v>2.683467313955604</v>
      </c>
      <c r="P94" s="34">
        <f t="shared" si="61"/>
        <v>2.7597492679287199</v>
      </c>
      <c r="Q94" s="34">
        <f t="shared" si="61"/>
        <v>2.8243853170225832</v>
      </c>
      <c r="R94" s="34">
        <f t="shared" si="61"/>
        <v>2.8853953287316072</v>
      </c>
      <c r="S94" s="34">
        <f t="shared" si="61"/>
        <v>2.9430560242074812</v>
      </c>
      <c r="T94" s="34">
        <f t="shared" si="61"/>
        <v>2.9976833230477258</v>
      </c>
      <c r="U94" s="96">
        <f t="shared" si="61"/>
        <v>3.0495763326473599</v>
      </c>
      <c r="V94" s="96">
        <f t="shared" si="61"/>
        <v>3.0990606764460407</v>
      </c>
      <c r="W94" s="96">
        <f t="shared" si="61"/>
        <v>3.1464381347930876</v>
      </c>
    </row>
    <row r="95" spans="2:23" x14ac:dyDescent="0.2">
      <c r="B95" s="35" t="s">
        <v>132</v>
      </c>
      <c r="C95" s="35"/>
      <c r="D95" s="35"/>
      <c r="E95" s="49"/>
      <c r="F95" s="49">
        <f>IF('Criteria results'!$F$5=4,F104,F109)</f>
        <v>0</v>
      </c>
      <c r="G95" s="49">
        <f>IF('Criteria results'!$F$5=4,G104,G109)</f>
        <v>0</v>
      </c>
      <c r="H95" s="49">
        <f>IF('Criteria results'!$F$5=4,H104,H109)</f>
        <v>0</v>
      </c>
      <c r="I95" s="49">
        <f>IF('Criteria results'!$F$5=4,I104,I109)</f>
        <v>0</v>
      </c>
      <c r="J95" s="49">
        <f>IF('Criteria results'!$F$5=4,J104,J109)</f>
        <v>0</v>
      </c>
      <c r="K95" s="49">
        <f>IF('Criteria results'!$F$5=4,K104,K109)</f>
        <v>0</v>
      </c>
      <c r="L95" s="49">
        <f>IF('Criteria results'!$F$5=4,L104,L109)</f>
        <v>0</v>
      </c>
      <c r="M95" s="49">
        <f>IF('Criteria results'!$F$5=4,M104,M109)</f>
        <v>0</v>
      </c>
      <c r="N95" s="49">
        <f>IF('Criteria results'!$F$5=4,N104,N109)</f>
        <v>0</v>
      </c>
      <c r="O95" s="49">
        <f>IF('Criteria results'!$F$5=4,O104,O109)</f>
        <v>0</v>
      </c>
      <c r="P95" s="49">
        <f>IF('Criteria results'!$F$5=4,P104,P109)</f>
        <v>0</v>
      </c>
      <c r="Q95" s="49">
        <f>IF('Criteria results'!$F$5=4,Q104,Q109)</f>
        <v>0</v>
      </c>
      <c r="R95" s="49">
        <f>IF('Criteria results'!$F$5=4,R104,R109)</f>
        <v>0</v>
      </c>
      <c r="S95" s="49">
        <f>IF('Criteria results'!$F$5=4,S104,S109)</f>
        <v>0</v>
      </c>
      <c r="T95" s="49">
        <f>IF('Criteria results'!$F$5=4,T104,T109)</f>
        <v>0</v>
      </c>
      <c r="U95" s="49">
        <f>IF('Criteria results'!$F$5=4,U104,U109)</f>
        <v>0</v>
      </c>
      <c r="V95" s="49">
        <f>IF('Criteria results'!$F$5=4,V104,V109)</f>
        <v>0</v>
      </c>
      <c r="W95" s="49">
        <f>IF('Criteria results'!$F$5=4,W104,W109)</f>
        <v>0</v>
      </c>
    </row>
    <row r="97" spans="1:54" x14ac:dyDescent="0.2">
      <c r="B97" s="112" t="s">
        <v>181</v>
      </c>
      <c r="C97" s="114">
        <f t="shared" ref="C97:T97" si="62">((1+C92/100)/((1+C23/100)*(1+C41/100))-1)*100</f>
        <v>-5.0506237666782745</v>
      </c>
      <c r="D97" s="114">
        <f t="shared" si="62"/>
        <v>-8.1711448349229059</v>
      </c>
      <c r="E97" s="114">
        <f>((1+E92/100)/((1+E23/100)*(1+E41/100))-1)*100</f>
        <v>-3.794155362881857</v>
      </c>
      <c r="F97" s="114">
        <f t="shared" si="62"/>
        <v>-1.5755368351901722</v>
      </c>
      <c r="G97" s="114">
        <f t="shared" si="62"/>
        <v>-0.40998026742823379</v>
      </c>
      <c r="H97" s="114">
        <f t="shared" si="62"/>
        <v>-0.8866134357300326</v>
      </c>
      <c r="I97" s="114">
        <f t="shared" si="62"/>
        <v>-0.90003494872706868</v>
      </c>
      <c r="J97" s="114">
        <f t="shared" si="62"/>
        <v>-0.78961071018289752</v>
      </c>
      <c r="K97" s="114">
        <f t="shared" si="62"/>
        <v>-1.3428638950941818</v>
      </c>
      <c r="L97" s="114">
        <f t="shared" si="62"/>
        <v>-1.4659710519007385</v>
      </c>
      <c r="M97" s="114">
        <f t="shared" si="62"/>
        <v>-1.4480647563323568</v>
      </c>
      <c r="N97" s="114">
        <f t="shared" si="62"/>
        <v>-0.74494894994510119</v>
      </c>
      <c r="O97" s="114">
        <f t="shared" si="62"/>
        <v>-0.72549227829795671</v>
      </c>
      <c r="P97" s="114">
        <f t="shared" si="62"/>
        <v>-0.75275983386607903</v>
      </c>
      <c r="Q97" s="114">
        <f t="shared" si="62"/>
        <v>-0.75268567212170012</v>
      </c>
      <c r="R97" s="114">
        <f t="shared" si="62"/>
        <v>-0.75608710405451474</v>
      </c>
      <c r="S97" s="114">
        <f t="shared" si="62"/>
        <v>-0.76268691916673292</v>
      </c>
      <c r="T97" s="114">
        <f t="shared" si="62"/>
        <v>-0.75539559379228516</v>
      </c>
      <c r="U97" s="114">
        <f>((1+U92/100)/((1+U23/100)*(1+U41/100))-1)*100</f>
        <v>-0.75272498182843428</v>
      </c>
      <c r="V97" s="114">
        <f t="shared" ref="V97:W97" si="63">((1+V92/100)/((1+V23/100)*(1+V41/100))-1)*100</f>
        <v>-0.75139140387339154</v>
      </c>
      <c r="W97" s="114">
        <f t="shared" si="63"/>
        <v>-0.67340434320499742</v>
      </c>
    </row>
    <row r="98" spans="1:54" ht="14.4" x14ac:dyDescent="0.2">
      <c r="A98" s="223"/>
      <c r="B98" s="396"/>
      <c r="C98" s="396"/>
      <c r="D98" s="396"/>
      <c r="E98" s="396"/>
      <c r="F98" s="397"/>
      <c r="G98" s="398"/>
      <c r="H98" s="398"/>
      <c r="I98" s="222"/>
      <c r="J98" s="222"/>
      <c r="K98" s="222"/>
      <c r="L98" s="222"/>
      <c r="M98" s="222"/>
      <c r="N98" s="222"/>
      <c r="O98" s="222"/>
      <c r="P98" s="222"/>
      <c r="Q98" s="222"/>
      <c r="R98" s="222"/>
      <c r="S98" s="222"/>
      <c r="T98" s="222"/>
      <c r="U98" s="76"/>
      <c r="V98" s="76"/>
      <c r="W98" s="76"/>
    </row>
    <row r="99" spans="1:54" s="25" customFormat="1" ht="13.2" outlineLevel="1" x14ac:dyDescent="0.25">
      <c r="B99" s="25" t="s">
        <v>133</v>
      </c>
      <c r="C99" s="111"/>
      <c r="D99" s="111"/>
      <c r="E99" s="111"/>
      <c r="F99" s="111"/>
      <c r="G99" s="111"/>
      <c r="H99" s="111"/>
      <c r="I99" s="111"/>
      <c r="J99" s="111"/>
      <c r="K99" s="111"/>
      <c r="L99" s="111"/>
      <c r="M99" s="111"/>
      <c r="N99" s="111"/>
      <c r="O99" s="111"/>
      <c r="P99" s="111"/>
      <c r="Q99" s="111"/>
      <c r="R99" s="111"/>
      <c r="S99" s="111"/>
      <c r="T99" s="111"/>
      <c r="U99" s="111"/>
      <c r="V99" s="111"/>
      <c r="W99" s="111"/>
    </row>
    <row r="100" spans="1:54" s="126" customFormat="1" ht="13.2" outlineLevel="1" x14ac:dyDescent="0.25">
      <c r="C100" s="127"/>
      <c r="D100" s="127"/>
      <c r="E100" s="127"/>
      <c r="F100" s="127"/>
      <c r="G100" s="127"/>
      <c r="H100" s="127"/>
      <c r="I100" s="127"/>
      <c r="J100" s="127"/>
      <c r="K100" s="127"/>
      <c r="L100" s="127"/>
      <c r="M100" s="127"/>
      <c r="N100" s="127"/>
      <c r="O100" s="127"/>
      <c r="P100" s="127"/>
      <c r="Q100" s="127"/>
      <c r="R100" s="127"/>
      <c r="S100" s="127"/>
      <c r="T100" s="127"/>
      <c r="U100" s="127"/>
      <c r="V100" s="127"/>
      <c r="W100" s="127"/>
    </row>
    <row r="101" spans="1:54" s="126" customFormat="1" ht="13.2" outlineLevel="1" x14ac:dyDescent="0.25">
      <c r="B101" s="105" t="s">
        <v>294</v>
      </c>
      <c r="C101" s="128"/>
      <c r="D101" s="128"/>
      <c r="E101" s="128"/>
      <c r="F101" s="128"/>
      <c r="G101" s="128"/>
      <c r="H101" s="128"/>
      <c r="I101" s="128"/>
      <c r="J101" s="128"/>
      <c r="K101" s="128"/>
      <c r="L101" s="128"/>
      <c r="M101" s="128"/>
      <c r="N101" s="128"/>
      <c r="O101" s="128"/>
      <c r="P101" s="128"/>
      <c r="Q101" s="128"/>
      <c r="R101" s="128"/>
      <c r="S101" s="128"/>
      <c r="T101" s="128"/>
      <c r="U101" s="128"/>
      <c r="V101" s="128"/>
      <c r="W101" s="128"/>
    </row>
    <row r="102" spans="1:54" outlineLevel="1" x14ac:dyDescent="0.2">
      <c r="B102" s="119" t="s">
        <v>43</v>
      </c>
      <c r="C102" s="34">
        <v>82.39459228515625</v>
      </c>
      <c r="D102" s="34">
        <v>78.375633239746094</v>
      </c>
      <c r="E102" s="34">
        <v>78.551918029785156</v>
      </c>
      <c r="F102" s="34">
        <v>79.538070678710938</v>
      </c>
      <c r="G102" s="34">
        <v>80.808403015136719</v>
      </c>
      <c r="H102" s="34">
        <v>81.055084228515625</v>
      </c>
      <c r="I102" s="34">
        <v>80.65228271484375</v>
      </c>
      <c r="J102" s="34">
        <v>79.802009582519531</v>
      </c>
      <c r="K102" s="34">
        <v>78.650650024414063</v>
      </c>
      <c r="L102" s="34">
        <v>77.272079467773438</v>
      </c>
      <c r="M102" s="34">
        <v>75.780754089355469</v>
      </c>
      <c r="N102" s="34">
        <v>74.758041381835938</v>
      </c>
      <c r="O102" s="34">
        <v>73.81756591796875</v>
      </c>
      <c r="P102" s="34">
        <v>72.954994201660156</v>
      </c>
      <c r="Q102" s="34">
        <v>72.157600402832031</v>
      </c>
      <c r="R102" s="34">
        <v>71.4052734375</v>
      </c>
      <c r="S102" s="34">
        <v>70.685043334960938</v>
      </c>
      <c r="T102" s="34">
        <v>69.990760803222656</v>
      </c>
      <c r="U102" s="34">
        <v>69.310890197753906</v>
      </c>
      <c r="V102" s="34">
        <v>68.631195068359375</v>
      </c>
      <c r="W102" s="34">
        <v>68.010772705078125</v>
      </c>
      <c r="X102" s="34"/>
      <c r="Y102" s="34"/>
      <c r="Z102" s="34"/>
    </row>
    <row r="103" spans="1:54" s="5" customFormat="1" ht="13.2" x14ac:dyDescent="0.25">
      <c r="A103" s="26"/>
      <c r="B103" s="26" t="s">
        <v>129</v>
      </c>
      <c r="C103" s="1">
        <v>1.4190647602081299</v>
      </c>
      <c r="D103" s="1">
        <v>1.2721904516220093</v>
      </c>
      <c r="E103" s="1">
        <v>1.6214711666107178</v>
      </c>
      <c r="F103" s="1">
        <v>1.9528083801269531</v>
      </c>
      <c r="G103" s="1">
        <v>1.9344645738601685</v>
      </c>
      <c r="H103" s="1">
        <v>1.8831226825714111</v>
      </c>
      <c r="I103" s="1">
        <v>2.0319912433624268</v>
      </c>
      <c r="J103" s="1">
        <v>2.16288161277771</v>
      </c>
      <c r="K103" s="1">
        <v>2.4660816192626953</v>
      </c>
      <c r="L103" s="1">
        <v>2.4915893077850342</v>
      </c>
      <c r="M103" s="1">
        <v>2.5828578472137451</v>
      </c>
      <c r="N103" s="1">
        <v>2.6698262691497803</v>
      </c>
      <c r="O103" s="1">
        <v>2.754889965057373</v>
      </c>
      <c r="P103" s="1">
        <v>2.8381838798522949</v>
      </c>
      <c r="Q103" s="1">
        <v>2.9073340892791748</v>
      </c>
      <c r="R103" s="1">
        <v>2.9714648723602295</v>
      </c>
      <c r="S103" s="1">
        <v>3.0309920310974121</v>
      </c>
      <c r="T103" s="1">
        <v>3.0863559246063232</v>
      </c>
      <c r="U103" s="98">
        <v>3.1379389762878418</v>
      </c>
      <c r="V103" s="98">
        <v>3.186140775680542</v>
      </c>
      <c r="W103" s="98">
        <v>3.2313003540039063</v>
      </c>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row>
    <row r="104" spans="1:54" s="5" customFormat="1" ht="13.2" x14ac:dyDescent="0.25">
      <c r="B104" s="26" t="s">
        <v>180</v>
      </c>
      <c r="C104" s="1"/>
      <c r="D104" s="1"/>
      <c r="E104" s="1"/>
      <c r="F104" s="1"/>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3.2" x14ac:dyDescent="0.25">
      <c r="B105" s="26"/>
      <c r="C105" s="1"/>
      <c r="D105" s="1"/>
      <c r="E105" s="1"/>
      <c r="F105" s="1"/>
      <c r="G105" s="221"/>
      <c r="H105" s="221"/>
      <c r="I105" s="221"/>
      <c r="J105" s="221"/>
      <c r="K105" s="221"/>
      <c r="L105" s="221"/>
      <c r="M105" s="221"/>
      <c r="N105" s="221"/>
      <c r="O105" s="221"/>
      <c r="P105" s="221"/>
      <c r="Q105" s="221"/>
      <c r="R105" s="221"/>
      <c r="S105" s="221"/>
      <c r="T105" s="221"/>
      <c r="U105" s="221"/>
      <c r="V105" s="221"/>
      <c r="W105" s="22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3.2" x14ac:dyDescent="0.25">
      <c r="B106" s="105" t="s">
        <v>295</v>
      </c>
      <c r="C106" s="37"/>
      <c r="D106" s="37"/>
      <c r="E106" s="37"/>
      <c r="F106" s="37"/>
      <c r="G106" s="224"/>
      <c r="H106" s="224"/>
      <c r="I106" s="224"/>
      <c r="J106" s="224"/>
      <c r="K106" s="224"/>
      <c r="L106" s="224"/>
      <c r="M106" s="224"/>
      <c r="N106" s="224"/>
      <c r="O106" s="224"/>
      <c r="P106" s="224"/>
      <c r="Q106" s="224"/>
      <c r="R106" s="224"/>
      <c r="S106" s="224"/>
      <c r="T106" s="224"/>
      <c r="U106" s="37"/>
      <c r="V106" s="37"/>
      <c r="W106" s="37"/>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outlineLevel="1" x14ac:dyDescent="0.2">
      <c r="B107" s="119" t="s">
        <v>43</v>
      </c>
      <c r="C107" s="34">
        <v>82.39459228515625</v>
      </c>
      <c r="D107" s="34">
        <v>78.375633239746094</v>
      </c>
      <c r="E107" s="34">
        <v>78.551918029785156</v>
      </c>
      <c r="F107" s="34">
        <v>79.538070678710938</v>
      </c>
      <c r="G107" s="34">
        <v>80.806404113769531</v>
      </c>
      <c r="H107" s="34">
        <v>81.272010803222656</v>
      </c>
      <c r="I107" s="34">
        <v>81.315498352050781</v>
      </c>
      <c r="J107" s="34">
        <v>81.143211364746094</v>
      </c>
      <c r="K107" s="34">
        <v>80.666961669921875</v>
      </c>
      <c r="L107" s="34">
        <v>79.838478088378906</v>
      </c>
      <c r="M107" s="34">
        <v>78.7188720703125</v>
      </c>
      <c r="N107" s="34">
        <v>77.555938720703125</v>
      </c>
      <c r="O107" s="34">
        <v>76.2767333984375</v>
      </c>
      <c r="P107" s="34">
        <v>74.930755615234375</v>
      </c>
      <c r="Q107" s="34">
        <v>73.840476989746094</v>
      </c>
      <c r="R107" s="34">
        <v>72.792839050292969</v>
      </c>
      <c r="S107" s="34">
        <v>71.775489807128906</v>
      </c>
      <c r="T107" s="34">
        <v>70.783027648925781</v>
      </c>
      <c r="U107" s="34">
        <v>69.8043212890625</v>
      </c>
      <c r="V107" s="34">
        <v>68.825523376464844</v>
      </c>
      <c r="W107" s="34">
        <v>67.906242370605469</v>
      </c>
      <c r="X107" s="34"/>
      <c r="Y107" s="34"/>
      <c r="Z107" s="34"/>
    </row>
    <row r="108" spans="1:54" x14ac:dyDescent="0.2">
      <c r="B108" s="26" t="s">
        <v>129</v>
      </c>
      <c r="C108" s="1">
        <v>1.4190647602081299</v>
      </c>
      <c r="D108" s="1">
        <v>1.2721904516220093</v>
      </c>
      <c r="E108" s="1">
        <v>1.6214711666107178</v>
      </c>
      <c r="F108" s="1">
        <v>1.9528083801269531</v>
      </c>
      <c r="G108" s="1">
        <v>1.9344645738601685</v>
      </c>
      <c r="H108" s="1">
        <v>1.8826382160186768</v>
      </c>
      <c r="I108" s="1">
        <v>2.0350871086120605</v>
      </c>
      <c r="J108" s="1">
        <v>2.1708476543426514</v>
      </c>
      <c r="K108" s="1">
        <v>2.2940125465393066</v>
      </c>
      <c r="L108" s="1">
        <v>2.4067330360412598</v>
      </c>
      <c r="M108" s="1">
        <v>2.5106868743896484</v>
      </c>
      <c r="N108" s="1">
        <v>2.791489839553833</v>
      </c>
      <c r="O108" s="1">
        <v>2.7999885082244873</v>
      </c>
      <c r="P108" s="1">
        <v>2.8769872188568115</v>
      </c>
      <c r="Q108" s="1">
        <v>2.9396638870239258</v>
      </c>
      <c r="R108" s="1">
        <v>2.9981386661529541</v>
      </c>
      <c r="S108" s="1">
        <v>3.0527493953704834</v>
      </c>
      <c r="T108" s="1">
        <v>3.103856086730957</v>
      </c>
      <c r="U108" s="1">
        <v>3.1517672538757324</v>
      </c>
      <c r="V108" s="1">
        <v>3.1968097686767578</v>
      </c>
      <c r="W108" s="1">
        <v>3.2392578125</v>
      </c>
      <c r="X108" s="1"/>
      <c r="Y108" s="1"/>
      <c r="Z108" s="1"/>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60"/>
    </row>
    <row r="109" spans="1:54" x14ac:dyDescent="0.2">
      <c r="B109" s="26" t="s">
        <v>180</v>
      </c>
      <c r="C109" s="34"/>
      <c r="D109" s="34"/>
      <c r="E109" s="34"/>
      <c r="F109" s="34"/>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v>0</v>
      </c>
      <c r="W109" s="34">
        <v>0</v>
      </c>
    </row>
    <row r="112" spans="1:54" x14ac:dyDescent="0.2">
      <c r="E112" s="34"/>
      <c r="F112" s="34"/>
      <c r="G112" s="120"/>
      <c r="H112" s="120"/>
      <c r="I112" s="120"/>
      <c r="J112" s="120"/>
      <c r="K112" s="120"/>
      <c r="L112" s="120"/>
      <c r="M112" s="120"/>
      <c r="N112" s="120"/>
      <c r="O112" s="120"/>
      <c r="P112" s="120"/>
      <c r="Q112" s="120"/>
      <c r="R112" s="120"/>
      <c r="S112" s="120"/>
      <c r="T112" s="120"/>
      <c r="U112" s="120"/>
      <c r="V112" s="120"/>
      <c r="W112" s="120"/>
    </row>
    <row r="113" spans="5:23" x14ac:dyDescent="0.2">
      <c r="E113" s="34"/>
      <c r="F113" s="34"/>
      <c r="G113" s="120"/>
      <c r="H113" s="120"/>
      <c r="I113" s="120"/>
      <c r="J113" s="120"/>
      <c r="K113" s="120"/>
      <c r="L113" s="120"/>
      <c r="M113" s="120"/>
      <c r="N113" s="120"/>
      <c r="O113" s="120"/>
      <c r="P113" s="120"/>
      <c r="Q113" s="120"/>
      <c r="R113" s="120"/>
      <c r="S113" s="120"/>
      <c r="T113" s="120"/>
      <c r="U113" s="120"/>
      <c r="V113" s="120"/>
      <c r="W113" s="120"/>
    </row>
    <row r="115" spans="5:23" x14ac:dyDescent="0.2">
      <c r="E115" s="34"/>
      <c r="F115" s="34"/>
      <c r="G115" s="120"/>
      <c r="H115" s="120"/>
      <c r="I115" s="120"/>
      <c r="J115" s="120"/>
      <c r="K115" s="120"/>
      <c r="L115" s="120"/>
      <c r="M115" s="120"/>
      <c r="N115" s="120"/>
      <c r="O115" s="120"/>
      <c r="P115" s="120"/>
      <c r="Q115" s="120"/>
      <c r="R115" s="120"/>
      <c r="S115" s="120"/>
      <c r="T115" s="120"/>
      <c r="U115" s="120"/>
      <c r="V115" s="120"/>
      <c r="W115" s="120"/>
    </row>
    <row r="116" spans="5:23" x14ac:dyDescent="0.2">
      <c r="E116" s="34"/>
      <c r="F116" s="34"/>
      <c r="G116" s="120"/>
      <c r="H116" s="120"/>
      <c r="I116" s="120"/>
      <c r="J116" s="120"/>
      <c r="K116" s="120"/>
      <c r="L116" s="120"/>
      <c r="M116" s="120"/>
      <c r="N116" s="120"/>
      <c r="O116" s="120"/>
      <c r="P116" s="120"/>
      <c r="Q116" s="120"/>
      <c r="R116" s="120"/>
      <c r="S116" s="120"/>
      <c r="T116" s="120"/>
      <c r="U116" s="120"/>
      <c r="V116" s="120"/>
      <c r="W116" s="120"/>
    </row>
    <row r="117" spans="5:23" x14ac:dyDescent="0.2">
      <c r="G117" s="53"/>
      <c r="H117" s="53"/>
      <c r="I117" s="53"/>
      <c r="J117" s="53"/>
      <c r="K117" s="53"/>
      <c r="L117" s="53"/>
      <c r="M117" s="53"/>
      <c r="N117" s="53"/>
      <c r="O117" s="53"/>
      <c r="P117" s="53"/>
      <c r="Q117" s="53"/>
      <c r="R117" s="53"/>
      <c r="S117" s="53"/>
      <c r="T117" s="53"/>
      <c r="U117" s="53"/>
      <c r="V117" s="53"/>
      <c r="W117" s="53"/>
    </row>
    <row r="118" spans="5:23" x14ac:dyDescent="0.2">
      <c r="E118" s="34"/>
      <c r="F118" s="34"/>
      <c r="G118" s="120"/>
      <c r="H118" s="120"/>
      <c r="I118" s="120"/>
      <c r="J118" s="120"/>
      <c r="K118" s="120"/>
      <c r="L118" s="120"/>
      <c r="M118" s="120"/>
      <c r="N118" s="120"/>
      <c r="O118" s="120"/>
      <c r="P118" s="120"/>
      <c r="Q118" s="120"/>
      <c r="R118" s="120"/>
      <c r="S118" s="120"/>
      <c r="T118" s="120"/>
      <c r="U118" s="120"/>
      <c r="V118" s="120"/>
      <c r="W118" s="120"/>
    </row>
    <row r="119" spans="5:23" x14ac:dyDescent="0.2">
      <c r="E119" s="34"/>
      <c r="F119" s="34"/>
      <c r="G119" s="120"/>
      <c r="H119" s="120"/>
      <c r="I119" s="120"/>
      <c r="J119" s="120"/>
      <c r="K119" s="120"/>
      <c r="L119" s="120"/>
      <c r="M119" s="120"/>
      <c r="N119" s="120"/>
      <c r="O119" s="120"/>
      <c r="P119" s="120"/>
      <c r="Q119" s="120"/>
      <c r="R119" s="120"/>
      <c r="S119" s="120"/>
      <c r="T119" s="120"/>
      <c r="U119" s="120"/>
      <c r="V119" s="120"/>
      <c r="W119" s="120"/>
    </row>
    <row r="120" spans="5:23" x14ac:dyDescent="0.2">
      <c r="G120" s="53"/>
      <c r="H120" s="53"/>
      <c r="I120" s="53"/>
      <c r="J120" s="53"/>
      <c r="K120" s="53"/>
      <c r="L120" s="53"/>
      <c r="M120" s="53"/>
      <c r="N120" s="53"/>
      <c r="O120" s="53"/>
      <c r="P120" s="53"/>
      <c r="Q120" s="53"/>
      <c r="R120" s="53"/>
      <c r="S120" s="53"/>
      <c r="T120" s="53"/>
      <c r="U120" s="53"/>
      <c r="V120" s="53"/>
      <c r="W120" s="53"/>
    </row>
    <row r="121" spans="5:23" x14ac:dyDescent="0.2">
      <c r="E121" s="34"/>
      <c r="F121" s="34"/>
      <c r="G121" s="120"/>
      <c r="H121" s="120"/>
      <c r="I121" s="120"/>
      <c r="J121" s="120"/>
      <c r="K121" s="120"/>
      <c r="L121" s="120"/>
      <c r="M121" s="120"/>
      <c r="N121" s="120"/>
      <c r="O121" s="120"/>
      <c r="P121" s="120"/>
      <c r="Q121" s="120"/>
      <c r="R121" s="120"/>
      <c r="S121" s="120"/>
      <c r="T121" s="120"/>
      <c r="U121" s="120"/>
      <c r="V121" s="120"/>
      <c r="W121" s="120"/>
    </row>
    <row r="122" spans="5:23" x14ac:dyDescent="0.2">
      <c r="E122" s="34"/>
      <c r="F122" s="34"/>
      <c r="G122" s="120"/>
      <c r="H122" s="120"/>
      <c r="I122" s="120"/>
      <c r="J122" s="120"/>
      <c r="K122" s="120"/>
      <c r="L122" s="120"/>
      <c r="M122" s="120"/>
      <c r="N122" s="120"/>
      <c r="O122" s="120"/>
      <c r="P122" s="120"/>
      <c r="Q122" s="120"/>
      <c r="R122" s="120"/>
      <c r="S122" s="120"/>
      <c r="T122" s="120"/>
      <c r="U122" s="120"/>
      <c r="V122" s="120"/>
      <c r="W122" s="120"/>
    </row>
    <row r="123" spans="5:23" x14ac:dyDescent="0.2">
      <c r="G123" s="120"/>
      <c r="H123" s="120"/>
      <c r="I123" s="120"/>
      <c r="J123" s="120"/>
      <c r="K123" s="120"/>
      <c r="L123" s="120"/>
      <c r="M123" s="120"/>
      <c r="N123" s="120"/>
      <c r="O123" s="120"/>
      <c r="P123" s="120"/>
      <c r="Q123" s="120"/>
      <c r="R123" s="120"/>
      <c r="S123" s="120"/>
      <c r="T123" s="120"/>
      <c r="U123" s="120"/>
      <c r="V123" s="120"/>
      <c r="W123" s="120"/>
    </row>
    <row r="124" spans="5:23" x14ac:dyDescent="0.2">
      <c r="E124" s="34"/>
      <c r="F124" s="34"/>
      <c r="G124" s="120"/>
      <c r="H124" s="120"/>
      <c r="I124" s="120"/>
      <c r="J124" s="120"/>
      <c r="K124" s="120"/>
      <c r="L124" s="120"/>
      <c r="M124" s="120"/>
      <c r="N124" s="120"/>
      <c r="O124" s="120"/>
      <c r="P124" s="120"/>
      <c r="Q124" s="120"/>
      <c r="R124" s="120"/>
      <c r="S124" s="120"/>
      <c r="T124" s="120"/>
      <c r="U124" s="120"/>
      <c r="V124" s="120"/>
      <c r="W124" s="120"/>
    </row>
    <row r="125" spans="5:23" x14ac:dyDescent="0.2">
      <c r="E125" s="34"/>
      <c r="F125" s="34"/>
      <c r="G125" s="120"/>
      <c r="H125" s="120"/>
      <c r="I125" s="120"/>
      <c r="J125" s="120"/>
      <c r="K125" s="120"/>
      <c r="L125" s="120"/>
      <c r="M125" s="120"/>
      <c r="N125" s="120"/>
      <c r="O125" s="120"/>
      <c r="P125" s="120"/>
      <c r="Q125" s="120"/>
      <c r="R125" s="120"/>
      <c r="S125" s="120"/>
      <c r="T125" s="120"/>
      <c r="U125" s="120"/>
      <c r="V125" s="120"/>
      <c r="W125" s="120"/>
    </row>
    <row r="126" spans="5:23" x14ac:dyDescent="0.2">
      <c r="G126" s="120"/>
      <c r="H126" s="120"/>
      <c r="I126" s="120"/>
      <c r="J126" s="120"/>
      <c r="K126" s="120"/>
      <c r="L126" s="120"/>
      <c r="M126" s="120"/>
      <c r="N126" s="120"/>
      <c r="O126" s="120"/>
      <c r="P126" s="120"/>
      <c r="Q126" s="120"/>
      <c r="R126" s="120"/>
      <c r="S126" s="120"/>
      <c r="T126" s="120"/>
      <c r="U126" s="120"/>
      <c r="V126" s="120"/>
      <c r="W126" s="120"/>
    </row>
    <row r="127" spans="5:23" x14ac:dyDescent="0.2">
      <c r="G127" s="120"/>
      <c r="H127" s="120"/>
      <c r="I127" s="120"/>
      <c r="J127" s="120"/>
      <c r="K127" s="120"/>
      <c r="L127" s="120"/>
      <c r="M127" s="120"/>
      <c r="N127" s="120"/>
      <c r="O127" s="120"/>
      <c r="P127" s="120"/>
      <c r="Q127" s="120"/>
      <c r="R127" s="120"/>
      <c r="S127" s="120"/>
      <c r="T127" s="120"/>
      <c r="U127" s="120"/>
      <c r="V127" s="120"/>
      <c r="W127" s="120"/>
    </row>
    <row r="128" spans="5:23" x14ac:dyDescent="0.2">
      <c r="G128" s="120"/>
      <c r="H128" s="120"/>
      <c r="I128" s="120"/>
      <c r="J128" s="120"/>
      <c r="K128" s="120"/>
      <c r="L128" s="120"/>
      <c r="M128" s="120"/>
      <c r="N128" s="120"/>
      <c r="O128" s="120"/>
      <c r="P128" s="120"/>
      <c r="Q128" s="120"/>
      <c r="R128" s="120"/>
      <c r="S128" s="120"/>
      <c r="T128" s="120"/>
      <c r="U128" s="120"/>
      <c r="V128" s="120"/>
      <c r="W128" s="120"/>
    </row>
    <row r="129" spans="7:23" x14ac:dyDescent="0.2">
      <c r="G129" s="120"/>
      <c r="H129" s="120"/>
      <c r="I129" s="120"/>
      <c r="J129" s="120"/>
      <c r="K129" s="120"/>
      <c r="L129" s="120"/>
      <c r="M129" s="120"/>
      <c r="N129" s="120"/>
      <c r="O129" s="120"/>
      <c r="P129" s="120"/>
      <c r="Q129" s="120"/>
      <c r="R129" s="120"/>
      <c r="S129" s="120"/>
      <c r="T129" s="120"/>
      <c r="U129" s="120"/>
      <c r="V129" s="120"/>
      <c r="W129" s="120"/>
    </row>
  </sheetData>
  <conditionalFormatting sqref="K36:O36">
    <cfRule type="expression" dxfId="30" priority="8">
      <formula>K10=$C$6+1</formula>
    </cfRule>
  </conditionalFormatting>
  <conditionalFormatting sqref="K37:O37">
    <cfRule type="expression" dxfId="29" priority="9">
      <formula>K10=$C$6+1</formula>
    </cfRule>
  </conditionalFormatting>
  <conditionalFormatting sqref="U10:W43 U45:W52 U54:W76 U78:W98 U100:W130">
    <cfRule type="expression" dxfId="28" priority="3">
      <formula>U$10&gt;$C$7</formula>
    </cfRule>
  </conditionalFormatting>
  <conditionalFormatting sqref="G12:M12">
    <cfRule type="expression" dxfId="27" priority="50">
      <formula>AND(G10&gt;$C$5,G10&lt;=$C$6)</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7" id="{61052BD5-AD8A-4BB2-862D-CE762EAD4EEA}">
            <xm:f>'Criteria results'!$F$5=7</xm:f>
            <x14:dxf>
              <fill>
                <patternFill>
                  <bgColor theme="0" tint="-0.34998626667073579"/>
                </patternFill>
              </fill>
            </x14:dxf>
          </x14:cfRule>
          <xm:sqref>N36:N37</xm:sqref>
        </x14:conditionalFormatting>
        <x14:conditionalFormatting xmlns:xm="http://schemas.microsoft.com/office/excel/2006/main">
          <x14:cfRule type="expression" priority="5" id="{47F7DBED-0C23-454F-801E-ED2E3DAA754C}">
            <xm:f>'Criteria results'!$F$5=7</xm:f>
            <x14:dxf>
              <fill>
                <patternFill>
                  <bgColor theme="0"/>
                </patternFill>
              </fill>
            </x14:dxf>
          </x14:cfRule>
          <xm:sqref>K35:M35</xm:sqref>
        </x14:conditionalFormatting>
        <x14:conditionalFormatting xmlns:xm="http://schemas.microsoft.com/office/excel/2006/main">
          <x14:cfRule type="expression" priority="52" id="{6869C80F-226A-4E6B-8E82-1C590454F27E}">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53" id="{EF89FFEC-805B-44CB-80CA-34B558135CB5}">
            <xm:f>AND($O$10&gt;2024,$O$10&lt;=2024+'Criteria results'!#REF!)</xm:f>
            <x14:dxf>
              <fill>
                <patternFill>
                  <bgColor theme="0" tint="-0.14996795556505021"/>
                </patternFill>
              </fill>
            </x14:dxf>
          </x14:cfRule>
          <xm:sqref>O12</xm:sqref>
        </x14:conditionalFormatting>
        <x14:conditionalFormatting xmlns:xm="http://schemas.microsoft.com/office/excel/2006/main">
          <x14:cfRule type="expression" priority="54" id="{FBE5528E-1123-4677-9DE6-5E90CA8A7C56}">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55" id="{8951C7CF-B485-425C-9942-73B06456B0B5}">
            <xm:f>OR('Criteria results'!#REF!=7,'Criteria results'!#REF!=10)</xm:f>
            <x14:dxf>
              <font>
                <color theme="0"/>
              </font>
            </x14:dxf>
          </x14:cfRule>
          <xm:sqref>K75:M75</xm:sqref>
        </x14:conditionalFormatting>
        <x14:conditionalFormatting xmlns:xm="http://schemas.microsoft.com/office/excel/2006/main">
          <x14:cfRule type="expression" priority="56" id="{116E26F3-65D6-4A9D-BBEB-1F21709D15A5}">
            <xm:f>OR('Criteria results'!#REF!=10)</xm:f>
            <x14:dxf>
              <font>
                <color theme="0"/>
              </font>
            </x14:dxf>
          </x14:cfRule>
          <xm:sqref>N75:P75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92D050"/>
  </sheetPr>
  <dimension ref="A1:BB129"/>
  <sheetViews>
    <sheetView zoomScaleNormal="100" workbookViewId="0"/>
  </sheetViews>
  <sheetFormatPr defaultColWidth="9.33203125" defaultRowHeight="10.199999999999999" outlineLevelRow="1" x14ac:dyDescent="0.2"/>
  <cols>
    <col min="1" max="1" width="9.33203125" style="26" customWidth="1"/>
    <col min="2" max="2" width="57.44140625" style="26" customWidth="1"/>
    <col min="3" max="38" width="9.33203125" style="26" customWidth="1"/>
    <col min="39" max="48" width="11.44140625" style="26" bestFit="1" customWidth="1"/>
    <col min="49" max="16384" width="9.33203125" style="26"/>
  </cols>
  <sheetData>
    <row r="1" spans="1:51" ht="24.75" customHeight="1" x14ac:dyDescent="0.2">
      <c r="B1" s="39"/>
    </row>
    <row r="2" spans="1:51" ht="11.25" customHeight="1" x14ac:dyDescent="0.2">
      <c r="B2" s="27"/>
    </row>
    <row r="3" spans="1:51" ht="11.25" customHeight="1" x14ac:dyDescent="0.2">
      <c r="B3" s="19" t="s">
        <v>15</v>
      </c>
      <c r="C3" s="20" t="str">
        <f>'Input data'!C3</f>
        <v>AT</v>
      </c>
    </row>
    <row r="4" spans="1:51" x14ac:dyDescent="0.2">
      <c r="B4" s="64" t="s">
        <v>38</v>
      </c>
      <c r="C4" s="21"/>
    </row>
    <row r="5" spans="1:51" x14ac:dyDescent="0.2">
      <c r="A5" s="29"/>
      <c r="B5" s="22" t="str">
        <f>'Input data'!B5</f>
        <v>Last year before the adjustment</v>
      </c>
      <c r="C5" s="23">
        <f>+'Input data'!C5</f>
        <v>2024</v>
      </c>
      <c r="K5" s="79"/>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3.2" x14ac:dyDescent="0.25">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'Adjustment scenario'!C12</f>
        <v>-3.4934150000000002</v>
      </c>
      <c r="D12" s="2">
        <f>'Adjustment scenario'!D12</f>
        <v>-3.493954</v>
      </c>
      <c r="E12" s="2">
        <f>'Adjustment scenario'!E12</f>
        <v>-1.399295</v>
      </c>
      <c r="F12" s="2">
        <f>'Adjust. no safeguard'!F12</f>
        <v>-1.3351299999999999</v>
      </c>
      <c r="G12" s="3">
        <f>'Adjust. no safeguard'!G12</f>
        <v>-0.35512999999999995</v>
      </c>
      <c r="H12" s="3">
        <f>'Adjust. no safeguard'!H12</f>
        <v>0.62487000000000004</v>
      </c>
      <c r="I12" s="3">
        <f>'Adjust. no safeguard'!I12</f>
        <v>1.60487</v>
      </c>
      <c r="J12" s="3">
        <f>'Adjust. no safeguard'!J12</f>
        <v>2.58487</v>
      </c>
      <c r="K12" s="3">
        <f>IF(AND('Criteria results'!$F$5=4,'Criteria results'!$F$5=4),'Adjust. no safeguard'!K12-0.25,IF(AND('Criteria results'!$F$5=4,'Criteria results'!$F$5=7),'Adjust. no safeguard'!K12-0.5/3,IF(AND('Criteria results'!$F$5=7,'Criteria results'!$F$5=7),'Adjust. no safeguard'!K12,'Adjust. no safeguard'!K12)))</f>
        <v>2.33487</v>
      </c>
      <c r="L12" s="3">
        <f>IF(AND('Criteria results'!$F$5=4,'Criteria results'!$F$5=4),'Adjust. no safeguard'!L12-0.5,IF(AND('Criteria results'!$F$5=4,'Criteria results'!$F$5=7),'Adjust. no safeguard'!L12-0.5*2/3,IF(AND('Criteria results'!$F$5=7,'Criteria results'!$F$5=7),'Adjust. no safeguard'!L12,'Adjust. no safeguard'!L12)))</f>
        <v>2.08487</v>
      </c>
      <c r="M12" s="3">
        <f>IF('Criteria results'!$F$5=4,'Adjust. no safeguard'!M12-0.5,'Adjust. no safeguard'!M12)</f>
        <v>2.08487</v>
      </c>
      <c r="N12" s="3">
        <f>IF('Criteria results'!$F$5=4,'Adjust. no safeguard'!N12-0.5,IF(AND('Criteria results'!$F$5=7,'Criteria results'!$F$5=7),'Adjust. no safeguard'!N12-0.25,'Adjust. no safeguard'!N12-1/3*0.5))</f>
        <v>2.08487</v>
      </c>
      <c r="O12" s="3">
        <f>IF('Criteria results'!$F$5=4,'Adjust. no safeguard'!N12-0.5,IF(AND('Criteria results'!$F$5=7,'Criteria results'!$F$5=7),'Adjust. no safeguard'!O12-0.5,'Adjust. no safeguard'!O12-2/3*0.5))</f>
        <v>2.08487</v>
      </c>
      <c r="P12" s="3">
        <f>'Adjust. no safeguard'!P12-0.5</f>
        <v>2.08487</v>
      </c>
      <c r="Q12" s="3">
        <f>'Adjust. no safeguard'!Q12-0.5</f>
        <v>2.08487</v>
      </c>
      <c r="R12" s="3">
        <f>'Adjust. no safeguard'!R12-0.5</f>
        <v>2.08487</v>
      </c>
      <c r="S12" s="3">
        <f>'Adjust. no safeguard'!S12-0.5</f>
        <v>2.08487</v>
      </c>
      <c r="T12" s="3">
        <f>'Adjust. no safeguard'!T12-0.5</f>
        <v>2.08487</v>
      </c>
      <c r="U12" s="3">
        <f>'Adjust. no safeguard'!U12-0.5</f>
        <v>2.08487</v>
      </c>
      <c r="V12" s="3">
        <f>'Adjust. no safeguard'!V12-0.5</f>
        <v>2.08487</v>
      </c>
      <c r="W12" s="3">
        <f>'Adjust. no safeguard'!W12-0.5</f>
        <v>2.08487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2.1047099999999999E-2</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-1.168344</v>
      </c>
      <c r="D14" s="2">
        <f>'Input data'!D15</f>
        <v>0.33345029999999998</v>
      </c>
      <c r="E14" s="2">
        <f>'Input data'!E15</f>
        <v>1.738494</v>
      </c>
      <c r="F14" s="2">
        <f>'Input data'!F15</f>
        <v>0.1010605</v>
      </c>
      <c r="G14" s="2">
        <f>'Input data'!G15</f>
        <v>9.9622799999999997E-2</v>
      </c>
      <c r="H14" s="2">
        <f>'Input data'!H15</f>
        <v>0.1</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7"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61"/>
      <c r="B17" s="26" t="s">
        <v>52</v>
      </c>
      <c r="C17" s="1">
        <f>'Input data'!C20</f>
        <v>0</v>
      </c>
      <c r="D17" s="100">
        <f>'Input data'!D20</f>
        <v>25.324309999999997</v>
      </c>
      <c r="E17" s="100">
        <f>'Input data'!E20</f>
        <v>25.242449999999998</v>
      </c>
      <c r="F17" s="100">
        <f>'Input data'!F20</f>
        <v>25.614070000000002</v>
      </c>
      <c r="G17" s="100">
        <f>'Input data'!G20</f>
        <v>25.90615</v>
      </c>
      <c r="H17" s="100">
        <f>'Input data'!H20</f>
        <v>26.090959999999999</v>
      </c>
      <c r="I17" s="100">
        <f>'Input data'!I20</f>
        <v>26.301199999999998</v>
      </c>
      <c r="J17" s="100">
        <f>'Input data'!J20</f>
        <v>26.42249</v>
      </c>
      <c r="K17" s="100">
        <f>'Input data'!K20</f>
        <v>26.510670000000001</v>
      </c>
      <c r="L17" s="100">
        <f>'Input data'!L20</f>
        <v>26.607600000000001</v>
      </c>
      <c r="M17" s="100">
        <f>'Input data'!M20</f>
        <v>26.704270000000001</v>
      </c>
      <c r="N17" s="100">
        <f>'Input data'!N20</f>
        <v>26.793779999999998</v>
      </c>
      <c r="O17" s="100">
        <f>'Input data'!O20</f>
        <v>26.842309999999998</v>
      </c>
      <c r="P17" s="100">
        <f>'Input data'!P20</f>
        <v>26.922160000000002</v>
      </c>
      <c r="Q17" s="100">
        <f>'Input data'!Q20</f>
        <v>26.971239999999998</v>
      </c>
      <c r="R17" s="100">
        <f>'Input data'!R20</f>
        <v>27.00421</v>
      </c>
      <c r="S17" s="100">
        <f>'Input data'!S20</f>
        <v>27.027639999999998</v>
      </c>
      <c r="T17" s="100">
        <f>'Input data'!T20</f>
        <v>27.036020000000001</v>
      </c>
      <c r="U17" s="100">
        <f>'Input data'!U20</f>
        <v>27.037079999999996</v>
      </c>
      <c r="V17" s="100">
        <f>'Input data'!V20</f>
        <v>27.02562</v>
      </c>
      <c r="W17" s="100">
        <f>'Input data'!W20</f>
        <v>27.02122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61"/>
      <c r="B18" s="26" t="s">
        <v>58</v>
      </c>
      <c r="C18" s="1">
        <f>'Input data'!C26</f>
        <v>0.69878779999999996</v>
      </c>
      <c r="D18" s="100">
        <f>'Input data'!D26</f>
        <v>0.67838160000000003</v>
      </c>
      <c r="E18" s="100">
        <f>'Input data'!E26</f>
        <v>0.90806710000000002</v>
      </c>
      <c r="F18" s="100">
        <f>'Input data'!F26</f>
        <v>0.90100539999999996</v>
      </c>
      <c r="G18" s="100">
        <f>'Input data'!G26</f>
        <v>0.89394379999999996</v>
      </c>
      <c r="H18" s="100">
        <f>'Input data'!H26</f>
        <v>0.88688210000000001</v>
      </c>
      <c r="I18" s="100">
        <f>'Input data'!I26</f>
        <v>0.87982050000000001</v>
      </c>
      <c r="J18" s="100">
        <f>'Input data'!J26</f>
        <v>0.8727589</v>
      </c>
      <c r="K18" s="100">
        <f>'Input data'!K26</f>
        <v>0.8656973</v>
      </c>
      <c r="L18" s="100">
        <f>'Input data'!L26</f>
        <v>0.85863560000000005</v>
      </c>
      <c r="M18" s="100">
        <f>'Input data'!M26</f>
        <v>0.85157389999999999</v>
      </c>
      <c r="N18" s="100">
        <f>'Input data'!N26</f>
        <v>0.84451229999999999</v>
      </c>
      <c r="O18" s="100">
        <f>'Input data'!O26</f>
        <v>0.83745069999999999</v>
      </c>
      <c r="P18" s="100">
        <f>'Input data'!P26</f>
        <v>0.83038909999999999</v>
      </c>
      <c r="Q18" s="100">
        <f>'Input data'!Q26</f>
        <v>0.82332740000000004</v>
      </c>
      <c r="R18" s="100">
        <f>'Input data'!R26</f>
        <v>0.81626580000000004</v>
      </c>
      <c r="S18" s="100">
        <f>'Input data'!S26</f>
        <v>0.80920420000000004</v>
      </c>
      <c r="T18" s="100">
        <f>'Input data'!T26</f>
        <v>0.80214260000000004</v>
      </c>
      <c r="U18" s="100">
        <f>'Input data'!U26</f>
        <v>0.79508089999999998</v>
      </c>
      <c r="V18" s="100">
        <f>'Input data'!V26</f>
        <v>0.78801929999999998</v>
      </c>
      <c r="W18" s="100">
        <f>'Input data'!W26</f>
        <v>0.78095769999999998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28" t="s">
        <v>85</v>
      </c>
    </row>
    <row r="21" spans="1:50" ht="10.5" customHeight="1" x14ac:dyDescent="0.2">
      <c r="B21" s="30" t="s">
        <v>86</v>
      </c>
    </row>
    <row r="22" spans="1:50" x14ac:dyDescent="0.2">
      <c r="B22" s="26" t="s">
        <v>61</v>
      </c>
      <c r="C22" s="34">
        <f>'Input data'!C31</f>
        <v>331.5462</v>
      </c>
      <c r="D22" s="99">
        <f>IF(AND(D49&gt;1,C49&gt;1),IF(AND(D49&gt;0,C49&gt;0),D26*(D50/100+1),0)+IF(D49&gt;0,C22*(1+D51/100),0)-C22*(1+'Input data'!D30/100),IF(D49=1,D26,C22*(1+D51/100)))</f>
        <v>349.04485699702803</v>
      </c>
      <c r="E22" s="99">
        <f>IF(AND(E49&gt;1,D49&gt;1),IF(AND(E49&gt;0,D49&gt;0),E26*(E50/100+1),0)+IF(E49&gt;0,D22*(1+E51/100),0)-D22*(1+'Input data'!E30/100),IF(E49=1,E26,D22*(1+E51/100)))</f>
        <v>345.71160461789975</v>
      </c>
      <c r="F22" s="99">
        <f>IF(AND(F49&gt;1,E49&gt;1),IF(AND(F49&gt;0,E49&gt;0),F26*(F50/100+1),0)+IF(F49&gt;0,E22*(1+F51/100),0)-E22*(1+'Input data'!F30/100),IF(F49=1,F26,E22*(1+F51/100)))</f>
        <v>343.56249568773626</v>
      </c>
      <c r="G22" s="34">
        <f>IF(AND(G49&gt;1,F49&gt;1),
G26*(1+('Baseline NFPC'!G$29+G50)/100)-F22*$C$46*(G12-F12)/100,
IF(G49=1,G26,F22*(1+G51/100)))</f>
        <v>343.78779984965831</v>
      </c>
      <c r="H22" s="34">
        <f>IF(AND(H49&gt;1,G49&gt;1),
H26*(1+('Baseline NFPC'!H$29+H50)/100)-G22*$C$46*(H12-G12)/100,
IF(H49=1,H26,G22*(1+H51/100)))</f>
        <v>346.87073120317223</v>
      </c>
      <c r="I22" s="34">
        <f>IF(AND(I49&gt;1,H49&gt;1),
I26*(1+I50/100)-H22*$C$46*(I12-H12)/100,
IF(I49=1,I26,H22*(1+I51/100)))</f>
        <v>350.31717286119243</v>
      </c>
      <c r="J22" s="34">
        <f t="shared" ref="J22:W22" si="0">IF(AND(J49&gt;1,I49&gt;1),
J26*(1+J50/100)-I22*$C$46*(J12-I12)/100,
IF(J49=1,J26,I22*(1+J51/100)))</f>
        <v>353.62352785907694</v>
      </c>
      <c r="K22" s="34">
        <f t="shared" si="0"/>
        <v>360.39726220147276</v>
      </c>
      <c r="L22" s="34">
        <f t="shared" si="0"/>
        <v>366.54312666054267</v>
      </c>
      <c r="M22" s="34">
        <f t="shared" si="0"/>
        <v>371.41909176718212</v>
      </c>
      <c r="N22" s="34">
        <f t="shared" si="0"/>
        <v>376.33377230527577</v>
      </c>
      <c r="O22" s="34">
        <f t="shared" si="0"/>
        <v>381.30711581803666</v>
      </c>
      <c r="P22" s="34">
        <f t="shared" si="0"/>
        <v>385.73732110395503</v>
      </c>
      <c r="Q22" s="34">
        <f t="shared" si="0"/>
        <v>390.53092893916562</v>
      </c>
      <c r="R22" s="34">
        <f t="shared" si="0"/>
        <v>395.69993382965583</v>
      </c>
      <c r="S22" s="34">
        <f t="shared" si="0"/>
        <v>401.2573652923225</v>
      </c>
      <c r="T22" s="34">
        <f t="shared" si="0"/>
        <v>407.14850956490847</v>
      </c>
      <c r="U22" s="34">
        <f t="shared" si="0"/>
        <v>413.39389898361782</v>
      </c>
      <c r="V22" s="34">
        <f t="shared" si="0"/>
        <v>420.00287685393675</v>
      </c>
      <c r="W22" s="34">
        <f t="shared" si="0"/>
        <v>426.65143419393041</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0" x14ac:dyDescent="0.2">
      <c r="A23" s="61"/>
      <c r="B23" s="62" t="s">
        <v>60</v>
      </c>
      <c r="C23" s="34">
        <f>+'Input data'!C30</f>
        <v>4.7953340000000004</v>
      </c>
      <c r="D23" s="99">
        <f t="shared" ref="D23:T23" si="1">100*(D22/C22-1)</f>
        <v>5.2778940000000052</v>
      </c>
      <c r="E23" s="99">
        <f t="shared" si="1"/>
        <v>-0.95496390000001652</v>
      </c>
      <c r="F23" s="99">
        <f t="shared" si="1"/>
        <v>-0.6216478999999997</v>
      </c>
      <c r="G23" s="34">
        <f t="shared" si="1"/>
        <v>6.5578799999999049E-2</v>
      </c>
      <c r="H23" s="34">
        <f t="shared" si="1"/>
        <v>0.89675414743108917</v>
      </c>
      <c r="I23" s="34">
        <f t="shared" si="1"/>
        <v>0.99358099372228725</v>
      </c>
      <c r="J23" s="34">
        <f t="shared" si="1"/>
        <v>0.94381756134878092</v>
      </c>
      <c r="K23" s="34">
        <f t="shared" si="1"/>
        <v>1.9155213974040741</v>
      </c>
      <c r="L23" s="34">
        <f t="shared" si="1"/>
        <v>1.7053027599400084</v>
      </c>
      <c r="M23" s="34">
        <f t="shared" si="1"/>
        <v>1.3302568652869828</v>
      </c>
      <c r="N23" s="34">
        <f>100*(N22/M22-1)</f>
        <v>1.3232169931572502</v>
      </c>
      <c r="O23" s="34">
        <f t="shared" si="1"/>
        <v>1.3215246355106736</v>
      </c>
      <c r="P23" s="34">
        <f t="shared" si="1"/>
        <v>1.1618469999999936</v>
      </c>
      <c r="Q23" s="34">
        <f t="shared" si="1"/>
        <v>1.2427130000000064</v>
      </c>
      <c r="R23" s="34">
        <f t="shared" si="1"/>
        <v>1.323584000000011</v>
      </c>
      <c r="S23" s="34">
        <f t="shared" si="1"/>
        <v>1.4044560000000095</v>
      </c>
      <c r="T23" s="34">
        <f t="shared" si="1"/>
        <v>1.468171000000007</v>
      </c>
      <c r="U23" s="34">
        <f t="shared" ref="U23" si="2">100*(U22/T22-1)</f>
        <v>1.5339339999999924</v>
      </c>
      <c r="V23" s="34">
        <f t="shared" ref="V23" si="3">100*(V22/U22-1)</f>
        <v>1.598711999999991</v>
      </c>
      <c r="W23" s="34">
        <f t="shared" ref="W23" si="4">100*(W22/V22-1)</f>
        <v>1.5829789999999955</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row>
    <row r="25" spans="1:50" x14ac:dyDescent="0.2">
      <c r="B25" s="30" t="s">
        <v>87</v>
      </c>
    </row>
    <row r="26" spans="1:50" x14ac:dyDescent="0.2">
      <c r="B26" s="26" t="s">
        <v>61</v>
      </c>
      <c r="C26" s="34">
        <f>'Input data'!C34</f>
        <v>338.15530000000001</v>
      </c>
      <c r="D26" s="99">
        <f>+C26*(1+'Input data'!D33/100)</f>
        <v>342.225837660644</v>
      </c>
      <c r="E26" s="99">
        <f>+D26*(1+'Input data'!E33/100)</f>
        <v>345.81733013623199</v>
      </c>
      <c r="F26" s="99">
        <f>+E26*(1+'Input data'!F33/100)</f>
        <v>348.37401022216329</v>
      </c>
      <c r="G26" s="34">
        <f>+F26*(1+'Input data'!G33/100)</f>
        <v>350.82887192869305</v>
      </c>
      <c r="H26" s="34">
        <f>+G26*(1+'Input data'!H33/100)</f>
        <v>353.69561041475009</v>
      </c>
      <c r="I26" s="34">
        <f>+H26*(1+'Input data'!I33/100)</f>
        <v>357.46508247622813</v>
      </c>
      <c r="J26" s="34">
        <f>+I26*(1+'Input data'!J33/100)</f>
        <v>361.01090052490298</v>
      </c>
      <c r="K26" s="34">
        <f>+J26*(1+'Input data'!K33/100)</f>
        <v>364.70959077481382</v>
      </c>
      <c r="L26" s="34">
        <f>+K26*(1+'Input data'!L33/100)</f>
        <v>368.77430834076637</v>
      </c>
      <c r="M26" s="34">
        <f>+L26*(1+'Input data'!M33/100)</f>
        <v>372.92328113935895</v>
      </c>
      <c r="N26" s="34">
        <f>+M26*(1+'Input data'!N33/100)</f>
        <v>377.0942788695902</v>
      </c>
      <c r="O26" s="34">
        <f>+N26*(1+'Input data'!O33/100)</f>
        <v>381.30711581803666</v>
      </c>
      <c r="P26" s="34">
        <f>+O26*(1+'Input data'!P33/100)</f>
        <v>385.73731347781273</v>
      </c>
      <c r="Q26" s="34">
        <f>+P26*(1+'Input data'!Q33/100)</f>
        <v>390.53093279037171</v>
      </c>
      <c r="R26" s="34">
        <f>+Q26*(1+'Input data'!R33/100)</f>
        <v>395.6999494477638</v>
      </c>
      <c r="S26" s="34">
        <f>+R26*(1+'Input data'!S33/100)</f>
        <v>401.25739300077834</v>
      </c>
      <c r="T26" s="34">
        <f>+S26*(1+'Input data'!T33/100)</f>
        <v>407.14852162987609</v>
      </c>
      <c r="U26" s="34">
        <f>+T26*(1+'Input data'!U33/100)</f>
        <v>413.39391530513939</v>
      </c>
      <c r="V26" s="34">
        <f>+U26*(1+'Input data'!V33/100)</f>
        <v>420.00288103457507</v>
      </c>
      <c r="W26" s="34">
        <f>+V26*(1+'Input data'!W33/100)</f>
        <v>426.65142584066092</v>
      </c>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row>
    <row r="27" spans="1:50"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0"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0" x14ac:dyDescent="0.2">
      <c r="B29" s="26" t="s">
        <v>88</v>
      </c>
      <c r="C29" s="34">
        <f t="shared" ref="C29:T29" si="5">100*(C22/C26-1)</f>
        <v>-1.9544570201916134</v>
      </c>
      <c r="D29" s="99">
        <f t="shared" si="5"/>
        <v>1.9925495348325661</v>
      </c>
      <c r="E29" s="99">
        <f t="shared" si="5"/>
        <v>-3.0572648944626746E-2</v>
      </c>
      <c r="F29" s="99">
        <f t="shared" si="5"/>
        <v>-1.3811347555343301</v>
      </c>
      <c r="G29" s="34">
        <f t="shared" si="5"/>
        <v>-2.0069819340484241</v>
      </c>
      <c r="H29" s="34">
        <f t="shared" si="5"/>
        <v>-1.9295911542625221</v>
      </c>
      <c r="I29" s="34">
        <f t="shared" si="5"/>
        <v>-1.9996105816883603</v>
      </c>
      <c r="J29" s="34">
        <f t="shared" si="5"/>
        <v>-2.0463018305222791</v>
      </c>
      <c r="K29" s="34">
        <f t="shared" si="5"/>
        <v>-1.1824006503858731</v>
      </c>
      <c r="L29" s="34">
        <f t="shared" si="5"/>
        <v>-0.60502633447067078</v>
      </c>
      <c r="M29" s="34">
        <f t="shared" si="5"/>
        <v>-0.40335088964711385</v>
      </c>
      <c r="N29" s="34">
        <f t="shared" si="5"/>
        <v>-0.20167544482355693</v>
      </c>
      <c r="O29" s="34">
        <f t="shared" si="5"/>
        <v>0</v>
      </c>
      <c r="P29" s="34">
        <f t="shared" si="5"/>
        <v>1.9770299619636944E-6</v>
      </c>
      <c r="Q29" s="34">
        <f t="shared" si="5"/>
        <v>-9.8614623134096746E-7</v>
      </c>
      <c r="R29" s="34">
        <f t="shared" si="5"/>
        <v>-3.9469572832295796E-6</v>
      </c>
      <c r="S29" s="34">
        <f t="shared" si="5"/>
        <v>-6.905406935153735E-6</v>
      </c>
      <c r="T29" s="34">
        <f t="shared" si="5"/>
        <v>-2.9632841513915764E-6</v>
      </c>
      <c r="U29" s="34">
        <f t="shared" ref="U29:W29" si="6">100*(U22/U26-1)</f>
        <v>-3.9481765412574532E-6</v>
      </c>
      <c r="V29" s="34">
        <f t="shared" si="6"/>
        <v>-9.9538324249692778E-7</v>
      </c>
      <c r="W29" s="34">
        <f t="shared" si="6"/>
        <v>1.9578674681497432E-6</v>
      </c>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0"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0"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0" x14ac:dyDescent="0.2">
      <c r="B32" s="26" t="s">
        <v>60</v>
      </c>
      <c r="C32" s="1">
        <f t="shared" ref="C32:W32" si="7">100*((1+C23/100)*(1+C41/100)-1)</f>
        <v>6.8138294147275458</v>
      </c>
      <c r="D32" s="2">
        <f t="shared" si="7"/>
        <v>10.283625195554279</v>
      </c>
      <c r="E32" s="2">
        <f t="shared" si="7"/>
        <v>5.6292074041030871</v>
      </c>
      <c r="F32" s="2">
        <f t="shared" si="7"/>
        <v>3.584825074719511</v>
      </c>
      <c r="G32" s="1">
        <f t="shared" si="7"/>
        <v>2.3540965989601759</v>
      </c>
      <c r="H32" s="1">
        <f t="shared" si="7"/>
        <v>2.7923569608136578</v>
      </c>
      <c r="I32" s="1">
        <f t="shared" si="7"/>
        <v>2.9504938464151254</v>
      </c>
      <c r="J32" s="1">
        <f t="shared" si="7"/>
        <v>2.9592277542402456</v>
      </c>
      <c r="K32" s="1">
        <f t="shared" si="7"/>
        <v>4.0103662759873204</v>
      </c>
      <c r="L32" s="1">
        <f t="shared" si="7"/>
        <v>3.8557367978030666</v>
      </c>
      <c r="M32" s="1">
        <f t="shared" si="7"/>
        <v>3.5324502382594325</v>
      </c>
      <c r="N32" s="1">
        <f t="shared" si="7"/>
        <v>3.5849424440165922</v>
      </c>
      <c r="O32" s="1">
        <f t="shared" si="7"/>
        <v>3.6428963870990927</v>
      </c>
      <c r="P32" s="1">
        <f t="shared" si="7"/>
        <v>3.5391504044999911</v>
      </c>
      <c r="Q32" s="1">
        <f t="shared" si="7"/>
        <v>3.6041992807250178</v>
      </c>
      <c r="R32" s="1">
        <f t="shared" si="7"/>
        <v>3.6692249696000045</v>
      </c>
      <c r="S32" s="1">
        <f t="shared" si="7"/>
        <v>3.7342233766000099</v>
      </c>
      <c r="T32" s="1">
        <f t="shared" si="7"/>
        <v>3.7816452988000071</v>
      </c>
      <c r="U32" s="1">
        <f t="shared" si="7"/>
        <v>3.8311392567499825</v>
      </c>
      <c r="V32" s="1">
        <f t="shared" si="7"/>
        <v>3.8796030844000073</v>
      </c>
      <c r="W32" s="1">
        <f t="shared" si="7"/>
        <v>3.8457398572250057</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28" t="s">
        <v>138</v>
      </c>
    </row>
    <row r="35" spans="2:51" x14ac:dyDescent="0.2">
      <c r="B35" s="26" t="s">
        <v>63</v>
      </c>
      <c r="C35" s="34">
        <f>'Input data'!C37</f>
        <v>1.419065</v>
      </c>
      <c r="D35" s="99">
        <f>'Input data'!D37</f>
        <v>1.2721899999999999</v>
      </c>
      <c r="E35" s="99">
        <f>'Input data'!E37</f>
        <v>1.6214710000000001</v>
      </c>
      <c r="F35" s="99">
        <f>'Input data'!F37</f>
        <v>1.9528080000000001</v>
      </c>
      <c r="G35" s="99">
        <f>'Input data'!G37</f>
        <v>1.9344650000000001</v>
      </c>
      <c r="H35" s="34">
        <f t="shared" ref="H35:W35" si="8">H92</f>
        <v>1.8809861130955123</v>
      </c>
      <c r="I35" s="34">
        <f t="shared" si="8"/>
        <v>2.0239034219102687</v>
      </c>
      <c r="J35" s="34">
        <f t="shared" si="8"/>
        <v>2.1462506647711721</v>
      </c>
      <c r="K35" s="34">
        <f t="shared" si="8"/>
        <v>2.2522010843711691</v>
      </c>
      <c r="L35" s="34">
        <f t="shared" si="8"/>
        <v>2.3519406338626387</v>
      </c>
      <c r="M35" s="34">
        <f t="shared" si="8"/>
        <v>2.4478959805914182</v>
      </c>
      <c r="N35" s="34">
        <f t="shared" si="8"/>
        <v>2.5401265172092549</v>
      </c>
      <c r="O35" s="34">
        <f t="shared" si="8"/>
        <v>2.6289214238336416</v>
      </c>
      <c r="P35" s="34">
        <f t="shared" si="8"/>
        <v>2.714186405224178</v>
      </c>
      <c r="Q35" s="34">
        <f t="shared" si="8"/>
        <v>2.7860760777575049</v>
      </c>
      <c r="R35" s="34">
        <f t="shared" si="8"/>
        <v>2.8533054074019586</v>
      </c>
      <c r="S35" s="34">
        <f t="shared" si="8"/>
        <v>2.9161530413428682</v>
      </c>
      <c r="T35" s="34">
        <f t="shared" si="8"/>
        <v>2.9749511784533786</v>
      </c>
      <c r="U35" s="34">
        <f t="shared" si="8"/>
        <v>3.0299673818422721</v>
      </c>
      <c r="V35" s="34">
        <f t="shared" si="8"/>
        <v>3.0815199536058477</v>
      </c>
      <c r="W35" s="34">
        <f t="shared" si="8"/>
        <v>3.1298580290755829</v>
      </c>
    </row>
    <row r="36" spans="2:51" x14ac:dyDescent="0.2">
      <c r="B36" s="32" t="s">
        <v>91</v>
      </c>
      <c r="C36" s="1"/>
      <c r="D36" s="2">
        <f>'Input data'!D$39</f>
        <v>1.71</v>
      </c>
      <c r="E36" s="2">
        <f>'Input data'!E$39</f>
        <v>3.08</v>
      </c>
      <c r="F36" s="165">
        <f>'Input data'!F$39</f>
        <v>2.8521350000000001</v>
      </c>
      <c r="G36" s="165">
        <f>'Input data'!G$39</f>
        <v>2.809685</v>
      </c>
      <c r="H36" s="165">
        <f>'Input data'!H$39</f>
        <v>2.9436909999999998</v>
      </c>
      <c r="I36" s="1">
        <f>H36+($P$36-$H$36)/($P$10-$H$10)</f>
        <v>3.0060458749999999</v>
      </c>
      <c r="J36" s="1">
        <f t="shared" ref="J36:O36" si="9">I36+($P$36-$H$36)/($P$10-$H$10)</f>
        <v>3.0684007499999999</v>
      </c>
      <c r="K36" s="1">
        <f t="shared" si="9"/>
        <v>3.1307556249999999</v>
      </c>
      <c r="L36" s="1">
        <f t="shared" si="9"/>
        <v>3.1931105</v>
      </c>
      <c r="M36" s="1">
        <f t="shared" si="9"/>
        <v>3.255465375</v>
      </c>
      <c r="N36" s="1">
        <f t="shared" si="9"/>
        <v>3.31782025</v>
      </c>
      <c r="O36" s="1">
        <f t="shared" si="9"/>
        <v>3.3801751250000001</v>
      </c>
      <c r="P36" s="251">
        <f>'Input data'!$C$52</f>
        <v>3.4425300000000001</v>
      </c>
      <c r="Q36" s="1">
        <f>'Baseline NFPC'!Q36</f>
        <v>3.4704035000000002</v>
      </c>
      <c r="R36" s="1">
        <f>'Baseline NFPC'!R36</f>
        <v>3.4982769999999999</v>
      </c>
      <c r="S36" s="1">
        <f>'Baseline NFPC'!S36</f>
        <v>3.5261505</v>
      </c>
      <c r="T36" s="1">
        <f>'Baseline NFPC'!T36</f>
        <v>3.5540240000000001</v>
      </c>
      <c r="U36" s="1">
        <f>'Baseline NFPC'!U36</f>
        <v>3.5818975000000002</v>
      </c>
      <c r="V36" s="1">
        <f>'Baseline NFPC'!V36</f>
        <v>3.6097710000000003</v>
      </c>
      <c r="W36" s="1">
        <f>'Baseline NFPC'!W36</f>
        <v>3.6376444999999999</v>
      </c>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60"/>
    </row>
    <row r="37" spans="2:51" x14ac:dyDescent="0.2">
      <c r="B37" s="32" t="s">
        <v>92</v>
      </c>
      <c r="C37" s="1"/>
      <c r="D37" s="2">
        <f>'Input data'!D$38</f>
        <v>0.35</v>
      </c>
      <c r="E37" s="2">
        <f>'Input data'!E$38</f>
        <v>3.43</v>
      </c>
      <c r="F37" s="165">
        <f>'Input data'!F$38</f>
        <v>3.5292500000000002</v>
      </c>
      <c r="G37" s="165">
        <f>'Input data'!G$38</f>
        <v>2.0662500000000001</v>
      </c>
      <c r="H37" s="165">
        <f>'Input data'!H$38</f>
        <v>1.9957499999999999</v>
      </c>
      <c r="I37" s="1">
        <f>H37+($P$37-$H$37)/($P$10-$H$10)</f>
        <v>2.079285</v>
      </c>
      <c r="J37" s="1">
        <f t="shared" ref="J37:O37" si="10">I37+($P$37-$H$37)/($P$10-$H$10)</f>
        <v>2.16282</v>
      </c>
      <c r="K37" s="1">
        <f t="shared" si="10"/>
        <v>2.2463549999999999</v>
      </c>
      <c r="L37" s="1">
        <f t="shared" si="10"/>
        <v>2.3298899999999998</v>
      </c>
      <c r="M37" s="1">
        <f t="shared" si="10"/>
        <v>2.4134249999999997</v>
      </c>
      <c r="N37" s="1">
        <f t="shared" si="10"/>
        <v>2.4969599999999996</v>
      </c>
      <c r="O37" s="1">
        <f t="shared" si="10"/>
        <v>2.5804949999999995</v>
      </c>
      <c r="P37" s="251">
        <f>'Input data'!$C$53</f>
        <v>2.6640299999999999</v>
      </c>
      <c r="Q37" s="1">
        <f>'Baseline NFPC'!Q37</f>
        <v>2.6308284999999998</v>
      </c>
      <c r="R37" s="1">
        <f>'Baseline NFPC'!R37</f>
        <v>2.5976270000000001</v>
      </c>
      <c r="S37" s="1">
        <f>'Baseline NFPC'!S37</f>
        <v>2.5644255</v>
      </c>
      <c r="T37" s="1">
        <f>'Baseline NFPC'!T37</f>
        <v>2.5312239999999999</v>
      </c>
      <c r="U37" s="1">
        <f>'Baseline NFPC'!U37</f>
        <v>2.4980224999999998</v>
      </c>
      <c r="V37" s="1">
        <f>'Baseline NFPC'!V37</f>
        <v>2.4648209999999997</v>
      </c>
      <c r="W37" s="1">
        <f>'Baseline NFPC'!W37</f>
        <v>2.4316195</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s="5" customFormat="1" ht="13.2" x14ac:dyDescent="0.25">
      <c r="B38" s="26" t="s">
        <v>93</v>
      </c>
      <c r="C38" s="34">
        <f>'Baseline NFPC'!C38</f>
        <v>7.7717170000000002E-2</v>
      </c>
      <c r="D38" s="34">
        <f>'Baseline NFPC'!D38</f>
        <v>0.11443643000000001</v>
      </c>
      <c r="E38" s="34">
        <f>'Baseline NFPC'!E38</f>
        <v>0.12146793</v>
      </c>
      <c r="F38" s="34">
        <f>'Baseline NFPC'!F38</f>
        <v>0.10811680999999999</v>
      </c>
      <c r="G38" s="34">
        <f>'Baseline NFPC'!G38</f>
        <v>0.10769854499999999</v>
      </c>
      <c r="H38" s="34">
        <f>'Baseline NFPC'!H38</f>
        <v>0.10728027999999999</v>
      </c>
      <c r="I38" s="34">
        <f>'Baseline NFPC'!I38</f>
        <v>0.10686201499999999</v>
      </c>
      <c r="J38" s="34">
        <f>'Baseline NFPC'!J38</f>
        <v>0.10644374999999999</v>
      </c>
      <c r="K38" s="34">
        <f>'Baseline NFPC'!K38</f>
        <v>0.106025485</v>
      </c>
      <c r="L38" s="34">
        <f>'Baseline NFPC'!L38</f>
        <v>0.10560722</v>
      </c>
      <c r="M38" s="34">
        <f>'Baseline NFPC'!M38</f>
        <v>0.105188955</v>
      </c>
      <c r="N38" s="34">
        <f>'Baseline NFPC'!N38</f>
        <v>0.10477069</v>
      </c>
      <c r="O38" s="34">
        <f>'Baseline NFPC'!O38</f>
        <v>0.104352425</v>
      </c>
      <c r="P38" s="34">
        <f>'Baseline NFPC'!P38</f>
        <v>0.10393416</v>
      </c>
      <c r="Q38" s="34">
        <f>'Baseline NFPC'!Q38</f>
        <v>0.10393416</v>
      </c>
      <c r="R38" s="34">
        <f>'Baseline NFPC'!R38</f>
        <v>0.10393416</v>
      </c>
      <c r="S38" s="34">
        <f>'Baseline NFPC'!S38</f>
        <v>0.10393416</v>
      </c>
      <c r="T38" s="34">
        <f>'Baseline NFPC'!T38</f>
        <v>0.10393416</v>
      </c>
      <c r="U38" s="34">
        <f>'Baseline NFPC'!U38</f>
        <v>0.10393416</v>
      </c>
      <c r="V38" s="34">
        <f>'Baseline NFPC'!V38</f>
        <v>0.10393416</v>
      </c>
      <c r="W38" s="34">
        <f>'Baseline NFPC'!W38</f>
        <v>0.10393416</v>
      </c>
    </row>
    <row r="39" spans="2:51" x14ac:dyDescent="0.2">
      <c r="C39" s="1"/>
      <c r="D39" s="1"/>
      <c r="E39" s="1"/>
      <c r="F39" s="1"/>
      <c r="G39" s="1"/>
      <c r="H39" s="1"/>
      <c r="I39" s="1"/>
      <c r="J39" s="1"/>
      <c r="K39" s="1"/>
      <c r="L39" s="1"/>
      <c r="M39" s="1"/>
      <c r="N39" s="1"/>
      <c r="O39" s="1"/>
      <c r="P39" s="1"/>
      <c r="Q39" s="1"/>
      <c r="R39" s="1"/>
      <c r="S39" s="1"/>
      <c r="T39" s="1"/>
      <c r="U39" s="1"/>
      <c r="V39" s="1"/>
      <c r="W39" s="1"/>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60"/>
    </row>
    <row r="40" spans="2:51" x14ac:dyDescent="0.2">
      <c r="B40" s="28" t="s">
        <v>94</v>
      </c>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6" t="s">
        <v>139</v>
      </c>
      <c r="C41" s="1">
        <f>'Input data'!C42</f>
        <v>1.926131</v>
      </c>
      <c r="D41" s="2">
        <f>'Input data'!D42</f>
        <v>4.7547790000000001</v>
      </c>
      <c r="E41" s="2">
        <f>'Input data'!E42</f>
        <v>6.6476540000000002</v>
      </c>
      <c r="F41" s="2">
        <f>'Input data'!F42</f>
        <v>4.2327859999999999</v>
      </c>
      <c r="G41" s="2">
        <f>'Input data'!G42</f>
        <v>2.2870180000000002</v>
      </c>
      <c r="H41" s="1">
        <f>'Baseline NFPC'!H41</f>
        <v>1.878755</v>
      </c>
      <c r="I41" s="1">
        <f>'Baseline NFPC'!I41</f>
        <v>1.9376606249999999</v>
      </c>
      <c r="J41" s="1">
        <f>'Baseline NFPC'!J41</f>
        <v>1.9965662499999999</v>
      </c>
      <c r="K41" s="1">
        <f>'Baseline NFPC'!K41</f>
        <v>2.0554718749999998</v>
      </c>
      <c r="L41" s="1">
        <f>'Baseline NFPC'!L41</f>
        <v>2.1143774999999998</v>
      </c>
      <c r="M41" s="1">
        <f>'Baseline NFPC'!M41</f>
        <v>2.1732831250000002</v>
      </c>
      <c r="N41" s="1">
        <f>'Baseline NFPC'!N41</f>
        <v>2.2321887500000002</v>
      </c>
      <c r="O41" s="1">
        <f>'Baseline NFPC'!O41</f>
        <v>2.2910943750000001</v>
      </c>
      <c r="P41" s="251">
        <f>'Baseline NFPC'!P41</f>
        <v>2.35</v>
      </c>
      <c r="Q41" s="1">
        <f>'Baseline NFPC'!Q41</f>
        <v>2.3325</v>
      </c>
      <c r="R41" s="1">
        <f>'Baseline NFPC'!R41</f>
        <v>2.3149999999999999</v>
      </c>
      <c r="S41" s="1">
        <f>'Baseline NFPC'!S41</f>
        <v>2.2974999999999999</v>
      </c>
      <c r="T41" s="1">
        <f>'Baseline NFPC'!T41</f>
        <v>2.2800000000000002</v>
      </c>
      <c r="U41" s="1">
        <f>'Baseline NFPC'!U41</f>
        <v>2.2625000000000002</v>
      </c>
      <c r="V41" s="1">
        <f>'Baseline NFPC'!V41</f>
        <v>2.2450000000000001</v>
      </c>
      <c r="W41" s="1">
        <f>'Baseline NFPC'!W41</f>
        <v>2.2275</v>
      </c>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95</v>
      </c>
      <c r="C42" s="1">
        <f>'Baseline NFPC'!C42</f>
        <v>0.9999093</v>
      </c>
      <c r="D42" s="1">
        <f>'Baseline NFPC'!D42</f>
        <v>1.0003169999999999</v>
      </c>
      <c r="E42" s="1">
        <f>'Baseline NFPC'!E42</f>
        <v>0.99993010000000004</v>
      </c>
      <c r="F42" s="1">
        <f>'Baseline NFPC'!F42</f>
        <v>0.99998640000000005</v>
      </c>
      <c r="G42" s="1">
        <f>'Baseline NFPC'!G42</f>
        <v>1.000005</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1">
        <f>'Baseline NFPC'!V42</f>
        <v>1</v>
      </c>
      <c r="W42" s="1">
        <f>'Baseline NFPC'!W42</f>
        <v>1</v>
      </c>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0"/>
    </row>
    <row r="43" spans="2:51" x14ac:dyDescent="0.2">
      <c r="C43" s="36"/>
      <c r="U43" s="1"/>
      <c r="V43" s="1"/>
      <c r="W43" s="1"/>
    </row>
    <row r="44" spans="2:51" s="67" customFormat="1" ht="13.2" x14ac:dyDescent="0.2">
      <c r="B44" s="75" t="s">
        <v>96</v>
      </c>
      <c r="C44" s="68"/>
    </row>
    <row r="45" spans="2:51" x14ac:dyDescent="0.2">
      <c r="C45" s="36"/>
    </row>
    <row r="46" spans="2:51" x14ac:dyDescent="0.2">
      <c r="B46" s="54" t="s">
        <v>68</v>
      </c>
      <c r="C46" s="55">
        <f>'Input data'!C49</f>
        <v>0.75</v>
      </c>
    </row>
    <row r="47" spans="2:51" x14ac:dyDescent="0.2">
      <c r="B47" s="56" t="s">
        <v>247</v>
      </c>
      <c r="C47" s="57">
        <f>'Input data'!C50</f>
        <v>0.57099999999999995</v>
      </c>
    </row>
    <row r="48" spans="2:51" x14ac:dyDescent="0.2">
      <c r="C48" s="58"/>
    </row>
    <row r="49" spans="2:48" outlineLevel="1" x14ac:dyDescent="0.2">
      <c r="B49" s="26" t="s">
        <v>97</v>
      </c>
      <c r="C49" s="34">
        <v>0</v>
      </c>
      <c r="D49" s="34">
        <f>IF(AND(ABS((D12-C12)-('Input data'!D13-'Input data'!C13))&gt;0.0001,ABS(D12-C12)&gt;0.0001,D$10&gt;$C$5),4,IF(C49=4,3,IF(C49=3,2,IF(C49=2,1,0))))</f>
        <v>0</v>
      </c>
      <c r="E49" s="34">
        <f>IF(AND(ABS((E12-D12)-('Input data'!E13-'Input data'!D13))&gt;0.0001,ABS(E12-D12)&gt;0.0001,E$10&gt;$C$5),4,IF(D49=4,3,IF(D49=3,2,IF(D49=2,1,0))))</f>
        <v>0</v>
      </c>
      <c r="F49" s="34">
        <f>IF(AND(ABS((F12-E12)-('Input data'!F13-'Input data'!E13))&gt;0.0001,ABS(F12-E12)&gt;0.0001,F$10&gt;$C$5),4,IF(E49=4,3,IF(E49=3,2,IF(E49=2,1,0))))</f>
        <v>0</v>
      </c>
      <c r="G49" s="34">
        <f>IF(AND(ABS((G12-F12)-('Baseline NFPC'!G12-'Baseline NFPC'!F12))&gt;0.0001,ABS(G12-F12)&gt;0.0001,G$10&gt;$C$5),4,IF(F49=4,3,IF(F49=3,2,IF(F49=2,1,0))))</f>
        <v>4</v>
      </c>
      <c r="H49" s="34">
        <f>IF(AND(ABS((H12-G12)-('Baseline NFPC'!H12-'Baseline NFPC'!G12))&gt;0.0001,ABS(H12-G12)&gt;0.0001,H$10&gt;$C$5),4,IF(G49=4,3,IF(G49=3,2,IF(G49=2,1,0))))</f>
        <v>4</v>
      </c>
      <c r="I49" s="34">
        <f>IF(AND(ABS((I12-H12)-('Baseline NFPC'!I12-'Baseline NFPC'!H12))&gt;0.0001,ABS(I12-H12)&gt;0.0001,I$10&gt;$C$5),4,IF(H49=4,3,IF(H49=3,2,IF(H49=2,1,0))))</f>
        <v>4</v>
      </c>
      <c r="J49" s="34">
        <f>IF(AND(ABS((J12-I12)-('Baseline NFPC'!J12-'Baseline NFPC'!I12))&gt;0.0001,ABS(J12-I12)&gt;0.0001,J$10&gt;$C$5),4,IF(I49=4,3,IF(I49=3,2,IF(I49=2,1,0))))</f>
        <v>4</v>
      </c>
      <c r="K49" s="34">
        <f>IF(AND(ABS((K12-J12)-('Baseline NFPC'!K12-'Baseline NFPC'!J12))&gt;0.0001,ABS(K12-J12)&gt;0.0001,K$10&gt;$C$5),4,IF(J49=4,3,IF(J49=3,2,IF(J49=2,1,0))))</f>
        <v>4</v>
      </c>
      <c r="L49" s="34">
        <f>IF(AND(ABS((L12-K12)-('Baseline NFPC'!L12-'Baseline NFPC'!K12))&gt;0.0001,ABS(L12-K12)&gt;0.0001,L$10&gt;$C$5),4,IF(K49=4,3,IF(K49=3,2,IF(K49=2,1,0))))</f>
        <v>4</v>
      </c>
      <c r="M49" s="34">
        <f>IF(AND(ABS((M12-L12)-('Baseline NFPC'!M12-'Baseline NFPC'!L12))&gt;0.0001,ABS(M12-L12)&gt;0.0001,M$10&gt;$C$5),4,IF(L49=4,3,IF(L49=3,2,IF(L49=2,1,0))))</f>
        <v>3</v>
      </c>
      <c r="N49" s="34">
        <f>IF(AND(ABS((N12-M12)-('Baseline NFPC'!N12-'Baseline NFPC'!M12))&gt;0.0001,ABS(N12-M12)&gt;0.0001,N$10&gt;$C$5),4,IF(M49=4,3,IF(M49=3,2,IF(M49=2,1,0))))</f>
        <v>2</v>
      </c>
      <c r="O49" s="34">
        <f>IF(AND(ABS((O12-N12)-('Baseline NFPC'!O12-'Baseline NFPC'!N12))&gt;0.0001,ABS(O12-N12)&gt;0.0001,O$10&gt;$C$5),4,IF(N49=4,3,IF(N49=3,2,IF(N49=2,1,0))))</f>
        <v>1</v>
      </c>
      <c r="P49" s="34">
        <f>IF(AND(ABS((P12-O12)-('Baseline NFPC'!P12-'Baseline NFPC'!O12))&gt;0.0001,ABS(P12-O12)&gt;0.0001,P$10&gt;$C$5),4,IF(O49=4,3,IF(O49=3,2,IF(O49=2,1,0))))</f>
        <v>0</v>
      </c>
      <c r="Q49" s="34">
        <f>IF(AND(ABS((Q12-P12)-('Baseline NFPC'!Q12-'Baseline NFPC'!P12))&gt;0.0001,ABS(Q12-P12)&gt;0.0001,Q$10&gt;$C$5),4,IF(P49=4,3,IF(P49=3,2,IF(P49=2,1,0))))</f>
        <v>0</v>
      </c>
      <c r="R49" s="34">
        <f>IF(AND(ABS((R12-Q12)-('Baseline NFPC'!R12-'Baseline NFPC'!Q12))&gt;0.0001,ABS(R12-Q12)&gt;0.0001,R$10&gt;$C$5),4,IF(Q49=4,3,IF(Q49=3,2,IF(Q49=2,1,0))))</f>
        <v>0</v>
      </c>
      <c r="S49" s="34">
        <f>IF(AND(ABS((S12-R12)-('Baseline NFPC'!S12-'Baseline NFPC'!R12))&gt;0.0001,ABS(S12-R12)&gt;0.0001,S$10&gt;$C$5),4,IF(R49=4,3,IF(R49=3,2,IF(R49=2,1,0))))</f>
        <v>0</v>
      </c>
      <c r="T49" s="34">
        <f>IF(AND(ABS((T12-S12)-('Baseline NFPC'!T12-'Baseline NFPC'!S12))&gt;0.0001,ABS(T12-S12)&gt;0.0001,T$10&gt;$C$5),4,IF(S49=4,3,IF(S49=3,2,IF(S49=2,1,0))))</f>
        <v>0</v>
      </c>
      <c r="U49" s="34">
        <f>IF(AND(ABS((U12-T12)-('Baseline NFPC'!U12-'Baseline NFPC'!T12))&gt;0.0001,ABS(U12-T12)&gt;0.0001,U$10&gt;$C$5),4,IF(T49=4,3,IF(T49=3,2,IF(T49=2,1,0))))</f>
        <v>0</v>
      </c>
      <c r="V49" s="34">
        <f>IF(AND(ABS((V12-U12)-('Baseline NFPC'!V12-'Baseline NFPC'!U12))&gt;0.0001,ABS(V12-U12)&gt;0.0001,V$10&gt;$C$5),4,IF(U49=4,3,IF(U49=3,2,IF(U49=2,1,0))))</f>
        <v>0</v>
      </c>
      <c r="W49" s="34">
        <f>IF(AND(ABS((W12-V12)-('Baseline NFPC'!W12-'Baseline NFPC'!V12))&gt;0.0001,ABS(W12-V12)&gt;0.0001,W$10&gt;$C$5),4,IF(V49=4,3,IF(V49=3,2,IF(V49=2,1,0))))</f>
        <v>0</v>
      </c>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row>
    <row r="50" spans="2:48" outlineLevel="1" x14ac:dyDescent="0.2">
      <c r="B50" s="26" t="s">
        <v>98</v>
      </c>
      <c r="C50" s="34">
        <v>0</v>
      </c>
      <c r="D50" s="34">
        <v>0</v>
      </c>
      <c r="E50" s="34">
        <f>IF(D49=4,2/3*(D29-'Baseline NFPC'!D29),IF(D49=3,1/3*(C29-'Baseline NFPC'!C29),0))</f>
        <v>0</v>
      </c>
      <c r="F50" s="34">
        <f>IF(E49=4,2/3*(E29-'Baseline NFPC'!E29),IF(E49=3,1/3*(D29-'Baseline NFPC'!D29),0))</f>
        <v>0</v>
      </c>
      <c r="G50" s="34">
        <f>IF(F49=4,2/3*(F29-'Baseline NFPC'!F29),IF(F49=3,1/3*(E29-'Baseline NFPC'!E29),0))</f>
        <v>0</v>
      </c>
      <c r="H50" s="34">
        <f>IF(G49=4,2/3*(G29-'Baseline NFPC'!G29),IF(G49=3,1/3*(F29-'Baseline NFPC'!F29),0))</f>
        <v>-0.4798511079248039</v>
      </c>
      <c r="I50" s="34">
        <f>IF(H49=4,2/3*H29,IF(H49=3,1/3*G29,0))</f>
        <v>-1.2863941028416814</v>
      </c>
      <c r="J50" s="34">
        <f t="shared" ref="J50:W50" si="11">IF(I49=4,2/3*I29,IF(I49=3,1/3*H29,0))</f>
        <v>-1.3330737211255734</v>
      </c>
      <c r="K50" s="34">
        <f t="shared" si="11"/>
        <v>-1.3642012203481859</v>
      </c>
      <c r="L50" s="34">
        <f t="shared" si="11"/>
        <v>-0.78826710025724867</v>
      </c>
      <c r="M50" s="34">
        <f t="shared" si="11"/>
        <v>-0.40335088964711385</v>
      </c>
      <c r="N50" s="34">
        <f t="shared" si="11"/>
        <v>-0.20167544482355693</v>
      </c>
      <c r="O50" s="34">
        <f t="shared" si="11"/>
        <v>0</v>
      </c>
      <c r="P50" s="34">
        <f t="shared" si="11"/>
        <v>0</v>
      </c>
      <c r="Q50" s="34">
        <f t="shared" si="11"/>
        <v>0</v>
      </c>
      <c r="R50" s="34">
        <f t="shared" si="11"/>
        <v>0</v>
      </c>
      <c r="S50" s="34">
        <f t="shared" si="11"/>
        <v>0</v>
      </c>
      <c r="T50" s="34">
        <f t="shared" si="11"/>
        <v>0</v>
      </c>
      <c r="U50" s="34">
        <f t="shared" si="11"/>
        <v>0</v>
      </c>
      <c r="V50" s="34">
        <f t="shared" si="11"/>
        <v>0</v>
      </c>
      <c r="W50" s="34">
        <f t="shared" si="11"/>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99</v>
      </c>
      <c r="C51" s="34"/>
      <c r="D51" s="34">
        <f>'Input data'!D30-$C$46*((D12-C12)-('Input data'!D13-'Input data'!C13))</f>
        <v>5.2778939999999999</v>
      </c>
      <c r="E51" s="34">
        <f>'Input data'!E30-$C$46*((E12-D12)-('Input data'!E13-'Input data'!D13))</f>
        <v>-0.95496389999999998</v>
      </c>
      <c r="F51" s="34">
        <f>'Input data'!F30-$C$46*((F12-E12)-('Input data'!F13-'Input data'!E13))</f>
        <v>-0.62164790000000003</v>
      </c>
      <c r="G51" s="34">
        <f>'Input data'!G30-$C$46*(G12-F12)</f>
        <v>6.5578800000000048E-2</v>
      </c>
      <c r="H51" s="34">
        <f>'Input data'!H30-$C$46*(H12-G12)</f>
        <v>0.64577399999999996</v>
      </c>
      <c r="I51" s="34">
        <f>'Input data'!I30-$C$46*(I12-H12)</f>
        <v>0.58029199999999992</v>
      </c>
      <c r="J51" s="34">
        <f>'Input data'!J30-$C$46*(J12-I12)</f>
        <v>0.50570900000000008</v>
      </c>
      <c r="K51" s="34">
        <f>'Input data'!K30-$C$46*(K12-J12)</f>
        <v>1.4602729999999999</v>
      </c>
      <c r="L51" s="34">
        <f>'Input data'!L30-$C$46*(L12-K12)</f>
        <v>1.302011</v>
      </c>
      <c r="M51" s="34">
        <f>'Input data'!M30-$C$46*(M12-L12)</f>
        <v>1.125075</v>
      </c>
      <c r="N51" s="34">
        <f>'Input data'!N30-$C$46*(N12-M12)</f>
        <v>1.118458</v>
      </c>
      <c r="O51" s="34">
        <f>'Input data'!O30-$C$46*(O12-N12)</f>
        <v>1.1171819999999999</v>
      </c>
      <c r="P51" s="34">
        <f>'Input data'!P30-$C$46*(P12-O12)</f>
        <v>1.1618470000000001</v>
      </c>
      <c r="Q51" s="34">
        <f>'Input data'!Q30-$C$46*(Q12-P12)</f>
        <v>1.242713</v>
      </c>
      <c r="R51" s="34">
        <f>'Input data'!R30-$C$46*(R12-Q12)</f>
        <v>1.3235840000000001</v>
      </c>
      <c r="S51" s="34">
        <f>'Input data'!S30-$C$46*(S12-R12)</f>
        <v>1.4044559999999999</v>
      </c>
      <c r="T51" s="34">
        <f>'Input data'!T30-$C$46*(T12-S12)</f>
        <v>1.4681709999999999</v>
      </c>
      <c r="U51" s="34">
        <f>'Input data'!U30-$C$46*(U12-T12)</f>
        <v>1.5339339999999999</v>
      </c>
      <c r="V51" s="34">
        <f>'Input data'!V30-$C$46*(V12-U12)</f>
        <v>1.5987119999999999</v>
      </c>
      <c r="W51" s="34">
        <f>'Input data'!W30-$C$46*(W12-V12)</f>
        <v>1.5829789999999999</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x14ac:dyDescent="0.2">
      <c r="C52" s="36"/>
    </row>
    <row r="53" spans="2:48" s="67" customFormat="1" ht="13.2" outlineLevel="1" x14ac:dyDescent="0.2">
      <c r="B53" s="72" t="s">
        <v>100</v>
      </c>
      <c r="C53" s="69"/>
      <c r="E53" s="70"/>
      <c r="F53" s="69"/>
    </row>
    <row r="54" spans="2:48" outlineLevel="1" x14ac:dyDescent="0.2">
      <c r="B54" s="43"/>
      <c r="C54" s="29"/>
      <c r="E54" s="44"/>
      <c r="F54" s="29"/>
    </row>
    <row r="55" spans="2:48" outlineLevel="1" x14ac:dyDescent="0.2">
      <c r="B55" s="84"/>
      <c r="C55" s="85">
        <v>2021</v>
      </c>
      <c r="D55" s="85">
        <v>2022</v>
      </c>
      <c r="E55" s="85">
        <v>2023</v>
      </c>
      <c r="F55" s="85">
        <v>2024</v>
      </c>
      <c r="G55" s="85">
        <v>2025</v>
      </c>
      <c r="H55" s="85">
        <v>2026</v>
      </c>
      <c r="I55" s="85">
        <v>2027</v>
      </c>
      <c r="J55" s="85">
        <v>2028</v>
      </c>
      <c r="K55" s="85">
        <v>2029</v>
      </c>
      <c r="L55" s="85">
        <v>2030</v>
      </c>
      <c r="M55" s="85">
        <v>2031</v>
      </c>
      <c r="N55" s="85">
        <v>2032</v>
      </c>
      <c r="O55" s="85">
        <v>2033</v>
      </c>
      <c r="P55" s="85">
        <v>2034</v>
      </c>
      <c r="Q55" s="85">
        <v>2035</v>
      </c>
      <c r="R55" s="85">
        <v>2036</v>
      </c>
      <c r="S55" s="85">
        <v>2037</v>
      </c>
      <c r="T55" s="85">
        <v>2038</v>
      </c>
      <c r="U55" s="85">
        <v>2039</v>
      </c>
      <c r="V55" s="85">
        <v>2040</v>
      </c>
      <c r="W55" s="85">
        <v>2041</v>
      </c>
    </row>
    <row r="56" spans="2:48" ht="10.5" customHeight="1" outlineLevel="1" x14ac:dyDescent="0.2">
      <c r="B56" s="86" t="s">
        <v>101</v>
      </c>
      <c r="C56" s="45">
        <f>+'Input data'!C12</f>
        <v>82.394589999999994</v>
      </c>
      <c r="D56" s="45">
        <f t="shared" ref="D56:T56" si="12">+C56+D57</f>
        <v>78.37562031561059</v>
      </c>
      <c r="E56" s="45">
        <f t="shared" si="12"/>
        <v>78.551901298157986</v>
      </c>
      <c r="F56" s="45">
        <f t="shared" si="12"/>
        <v>79.538050043568091</v>
      </c>
      <c r="G56" s="45">
        <f t="shared" si="12"/>
        <v>80.81308351777497</v>
      </c>
      <c r="H56" s="45">
        <f t="shared" si="12"/>
        <v>80.673518010562546</v>
      </c>
      <c r="I56" s="45">
        <f t="shared" si="12"/>
        <v>79.484335796243897</v>
      </c>
      <c r="J56" s="45">
        <f t="shared" si="12"/>
        <v>77.440287313107248</v>
      </c>
      <c r="K56" s="45">
        <f t="shared" si="12"/>
        <v>74.566778455596193</v>
      </c>
      <c r="L56" s="45">
        <f t="shared" si="12"/>
        <v>71.946909901702824</v>
      </c>
      <c r="M56" s="45">
        <f t="shared" si="12"/>
        <v>69.641638352759955</v>
      </c>
      <c r="N56" s="45">
        <f t="shared" si="12"/>
        <v>67.369016940439678</v>
      </c>
      <c r="O56" s="46">
        <f t="shared" si="12"/>
        <v>65.080180317170004</v>
      </c>
      <c r="P56" s="46">
        <f t="shared" si="12"/>
        <v>63.018812708837054</v>
      </c>
      <c r="Q56" s="46">
        <f t="shared" si="12"/>
        <v>61.03448902686506</v>
      </c>
      <c r="R56" s="46">
        <f t="shared" si="12"/>
        <v>59.107467776309292</v>
      </c>
      <c r="S56" s="46">
        <f t="shared" si="12"/>
        <v>57.225172250591115</v>
      </c>
      <c r="T56" s="46">
        <f t="shared" si="12"/>
        <v>55.379639314282869</v>
      </c>
      <c r="U56" s="46">
        <f t="shared" ref="U56" si="13">+T56+U57</f>
        <v>53.559724509079118</v>
      </c>
      <c r="V56" s="46">
        <f t="shared" ref="V56" si="14">+U56+V57</f>
        <v>51.751237615965174</v>
      </c>
      <c r="W56" s="46">
        <f t="shared" ref="W56" si="15">+V56+W57</f>
        <v>50.000139966367726</v>
      </c>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row>
    <row r="57" spans="2:48" outlineLevel="1" x14ac:dyDescent="0.2">
      <c r="B57" s="87" t="s">
        <v>102</v>
      </c>
      <c r="C57" s="47"/>
      <c r="D57" s="47">
        <f t="shared" ref="D57:T57" si="16">-D58+D66+D71</f>
        <v>-4.0189696843894005</v>
      </c>
      <c r="E57" s="47">
        <f t="shared" si="16"/>
        <v>0.17628098254739477</v>
      </c>
      <c r="F57" s="47">
        <f t="shared" si="16"/>
        <v>0.98614874541010245</v>
      </c>
      <c r="G57" s="47">
        <f t="shared" si="16"/>
        <v>1.2750334742068725</v>
      </c>
      <c r="H57" s="47">
        <f t="shared" si="16"/>
        <v>-0.1395655072124222</v>
      </c>
      <c r="I57" s="47">
        <f t="shared" si="16"/>
        <v>-1.1891822143186457</v>
      </c>
      <c r="J57" s="47">
        <f t="shared" si="16"/>
        <v>-2.0440484831366503</v>
      </c>
      <c r="K57" s="47">
        <f t="shared" si="16"/>
        <v>-2.8735088575110548</v>
      </c>
      <c r="L57" s="47">
        <f t="shared" si="16"/>
        <v>-2.6198685538933661</v>
      </c>
      <c r="M57" s="47">
        <f t="shared" si="16"/>
        <v>-2.3052715489428648</v>
      </c>
      <c r="N57" s="47">
        <f t="shared" si="16"/>
        <v>-2.2726214123202797</v>
      </c>
      <c r="O57" s="47">
        <f t="shared" si="16"/>
        <v>-2.2888366232696762</v>
      </c>
      <c r="P57" s="47">
        <f t="shared" si="16"/>
        <v>-2.0613676083329513</v>
      </c>
      <c r="Q57" s="47">
        <f t="shared" si="16"/>
        <v>-1.984323681971996</v>
      </c>
      <c r="R57" s="47">
        <f t="shared" si="16"/>
        <v>-1.9270212505557711</v>
      </c>
      <c r="S57" s="47">
        <f t="shared" si="16"/>
        <v>-1.8822955257181793</v>
      </c>
      <c r="T57" s="47">
        <f t="shared" si="16"/>
        <v>-1.8455329363082471</v>
      </c>
      <c r="U57" s="47">
        <f t="shared" ref="U57:W57" si="17">-U58+U66+U71</f>
        <v>-1.8199148052037506</v>
      </c>
      <c r="V57" s="47">
        <f t="shared" si="17"/>
        <v>-1.8084868931139462</v>
      </c>
      <c r="W57" s="47">
        <f t="shared" si="17"/>
        <v>-1.7510976495974497</v>
      </c>
    </row>
    <row r="58" spans="2:48" outlineLevel="1" x14ac:dyDescent="0.2">
      <c r="B58" s="83" t="s">
        <v>103</v>
      </c>
      <c r="C58" s="48"/>
      <c r="D58" s="48">
        <f t="shared" ref="D58:T58" si="18">D59+D60-D61-D62-D63-D64-D65</f>
        <v>-2.3562082156106046</v>
      </c>
      <c r="E58" s="48">
        <f t="shared" si="18"/>
        <v>-1.4167519825473818</v>
      </c>
      <c r="F58" s="48">
        <f t="shared" si="18"/>
        <v>-2.1237579454101025</v>
      </c>
      <c r="G58" s="48">
        <f t="shared" si="18"/>
        <v>-1.5011166843416499</v>
      </c>
      <c r="H58" s="48">
        <f t="shared" si="18"/>
        <v>-0.47692654908390009</v>
      </c>
      <c r="I58" s="48">
        <f t="shared" si="18"/>
        <v>0.46309235785594649</v>
      </c>
      <c r="J58" s="48">
        <f t="shared" si="18"/>
        <v>1.4164316547717788</v>
      </c>
      <c r="K58" s="48">
        <f t="shared" si="18"/>
        <v>1.5644776286296653</v>
      </c>
      <c r="L58" s="48">
        <f t="shared" si="18"/>
        <v>1.5401666630172453</v>
      </c>
      <c r="M58" s="48">
        <f t="shared" si="18"/>
        <v>1.5515916420114968</v>
      </c>
      <c r="N58" s="48">
        <f t="shared" si="18"/>
        <v>1.5701767210057507</v>
      </c>
      <c r="O58" s="48">
        <f t="shared" si="18"/>
        <v>1.6297418000000021</v>
      </c>
      <c r="P58" s="48">
        <f t="shared" si="18"/>
        <v>1.5428313288841067</v>
      </c>
      <c r="Q58" s="48">
        <f t="shared" si="18"/>
        <v>1.4866879369105037</v>
      </c>
      <c r="R58" s="48">
        <f t="shared" si="18"/>
        <v>1.4466546462873908</v>
      </c>
      <c r="S58" s="48">
        <f t="shared" si="18"/>
        <v>1.4161613570126415</v>
      </c>
      <c r="T58" s="48">
        <f t="shared" si="18"/>
        <v>1.4007220079647487</v>
      </c>
      <c r="U58" s="48">
        <f t="shared" ref="U58:W58" si="19">U59+U60-U61-U62-U63-U64-U65</f>
        <v>1.3925997455911987</v>
      </c>
      <c r="V58" s="48">
        <f t="shared" si="19"/>
        <v>1.3969998316361683</v>
      </c>
      <c r="W58" s="48">
        <f t="shared" si="19"/>
        <v>1.3943399179423248</v>
      </c>
    </row>
    <row r="59" spans="2:48" outlineLevel="1" x14ac:dyDescent="0.2">
      <c r="B59" s="78" t="s">
        <v>104</v>
      </c>
      <c r="C59" s="1"/>
      <c r="D59" s="1">
        <f>D12</f>
        <v>-3.493954</v>
      </c>
      <c r="E59" s="1">
        <f>E12</f>
        <v>-1.399295</v>
      </c>
      <c r="F59" s="1">
        <f>F12</f>
        <v>-1.3351299999999999</v>
      </c>
      <c r="G59" s="1">
        <f t="shared" ref="G59:W59" si="20">IF(G12="",F59,G12)</f>
        <v>-0.35512999999999995</v>
      </c>
      <c r="H59" s="1">
        <f t="shared" si="20"/>
        <v>0.62487000000000004</v>
      </c>
      <c r="I59" s="1">
        <f t="shared" si="20"/>
        <v>1.60487</v>
      </c>
      <c r="J59" s="1">
        <f t="shared" si="20"/>
        <v>2.58487</v>
      </c>
      <c r="K59" s="1">
        <f t="shared" si="20"/>
        <v>2.33487</v>
      </c>
      <c r="L59" s="1">
        <f t="shared" si="20"/>
        <v>2.08487</v>
      </c>
      <c r="M59" s="1">
        <f t="shared" si="20"/>
        <v>2.08487</v>
      </c>
      <c r="N59" s="1">
        <f t="shared" si="20"/>
        <v>2.08487</v>
      </c>
      <c r="O59" s="1">
        <f t="shared" si="20"/>
        <v>2.08487</v>
      </c>
      <c r="P59" s="1">
        <f t="shared" si="20"/>
        <v>2.08487</v>
      </c>
      <c r="Q59" s="1">
        <f t="shared" si="20"/>
        <v>2.08487</v>
      </c>
      <c r="R59" s="1">
        <f t="shared" si="20"/>
        <v>2.08487</v>
      </c>
      <c r="S59" s="1">
        <f t="shared" si="20"/>
        <v>2.08487</v>
      </c>
      <c r="T59" s="1">
        <f t="shared" si="20"/>
        <v>2.08487</v>
      </c>
      <c r="U59" s="1">
        <f t="shared" si="20"/>
        <v>2.08487</v>
      </c>
      <c r="V59" s="1">
        <f t="shared" si="20"/>
        <v>2.08487</v>
      </c>
      <c r="W59" s="1">
        <f t="shared" si="20"/>
        <v>2.08487</v>
      </c>
    </row>
    <row r="60" spans="2:48" outlineLevel="1" x14ac:dyDescent="0.2">
      <c r="B60" s="78"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78" t="s">
        <v>106</v>
      </c>
      <c r="C61" s="1"/>
      <c r="D61" s="1">
        <f t="shared" ref="D61:W61" si="21">-$C$47*D29</f>
        <v>-1.1377457843893952</v>
      </c>
      <c r="E61" s="1">
        <f t="shared" si="21"/>
        <v>1.7456982547381872E-2</v>
      </c>
      <c r="F61" s="1">
        <f t="shared" si="21"/>
        <v>0.78862794541010239</v>
      </c>
      <c r="G61" s="1">
        <f t="shared" si="21"/>
        <v>1.14598668434165</v>
      </c>
      <c r="H61" s="1">
        <f t="shared" si="21"/>
        <v>1.1017965490839001</v>
      </c>
      <c r="I61" s="1">
        <f t="shared" si="21"/>
        <v>1.1417776421440535</v>
      </c>
      <c r="J61" s="1">
        <f t="shared" si="21"/>
        <v>1.1684383452282212</v>
      </c>
      <c r="K61" s="1">
        <f t="shared" si="21"/>
        <v>0.67515077137033341</v>
      </c>
      <c r="L61" s="1">
        <f t="shared" si="21"/>
        <v>0.34547003698275297</v>
      </c>
      <c r="M61" s="1">
        <f t="shared" si="21"/>
        <v>0.230313357988502</v>
      </c>
      <c r="N61" s="1">
        <f t="shared" si="21"/>
        <v>0.115156678994251</v>
      </c>
      <c r="O61" s="1">
        <f t="shared" si="21"/>
        <v>0</v>
      </c>
      <c r="P61" s="1">
        <f t="shared" si="21"/>
        <v>-1.1288841082812694E-6</v>
      </c>
      <c r="Q61" s="1">
        <f t="shared" si="21"/>
        <v>5.6308949809569236E-7</v>
      </c>
      <c r="R61" s="1">
        <f t="shared" si="21"/>
        <v>2.2537126087240896E-6</v>
      </c>
      <c r="S61" s="1">
        <f t="shared" si="21"/>
        <v>3.9429873599727824E-6</v>
      </c>
      <c r="T61" s="1">
        <f t="shared" si="21"/>
        <v>1.69203525044459E-6</v>
      </c>
      <c r="U61" s="1">
        <f t="shared" si="21"/>
        <v>2.2544088050580057E-6</v>
      </c>
      <c r="V61" s="1">
        <f t="shared" si="21"/>
        <v>5.6836383146574574E-7</v>
      </c>
      <c r="W61" s="1">
        <f t="shared" si="21"/>
        <v>-1.1179423243135033E-6</v>
      </c>
    </row>
    <row r="62" spans="2:48" outlineLevel="1" x14ac:dyDescent="0.2">
      <c r="B62" s="78" t="s">
        <v>107</v>
      </c>
      <c r="C62" s="1"/>
      <c r="D62" s="1">
        <f t="shared" ref="D62:W62" si="22">-D13</f>
        <v>0</v>
      </c>
      <c r="E62" s="1">
        <f t="shared" si="22"/>
        <v>0</v>
      </c>
      <c r="F62" s="1">
        <f t="shared" si="22"/>
        <v>0</v>
      </c>
      <c r="G62" s="1">
        <f t="shared" si="22"/>
        <v>0</v>
      </c>
      <c r="H62" s="1">
        <f t="shared" si="22"/>
        <v>0</v>
      </c>
      <c r="I62" s="1">
        <f t="shared" si="22"/>
        <v>0</v>
      </c>
      <c r="J62" s="1">
        <f t="shared" si="22"/>
        <v>0</v>
      </c>
      <c r="K62" s="1">
        <f t="shared" si="22"/>
        <v>0</v>
      </c>
      <c r="L62" s="1">
        <f t="shared" si="22"/>
        <v>0</v>
      </c>
      <c r="M62" s="1">
        <f t="shared" si="22"/>
        <v>0</v>
      </c>
      <c r="N62" s="1">
        <f t="shared" si="22"/>
        <v>0</v>
      </c>
      <c r="O62" s="1">
        <f t="shared" si="22"/>
        <v>0</v>
      </c>
      <c r="P62" s="1">
        <f t="shared" si="22"/>
        <v>0</v>
      </c>
      <c r="Q62" s="1">
        <f t="shared" si="22"/>
        <v>0</v>
      </c>
      <c r="R62" s="1">
        <f t="shared" si="22"/>
        <v>0</v>
      </c>
      <c r="S62" s="1">
        <f t="shared" si="22"/>
        <v>0</v>
      </c>
      <c r="T62" s="1">
        <f t="shared" si="22"/>
        <v>0</v>
      </c>
      <c r="U62" s="1">
        <f t="shared" si="22"/>
        <v>0</v>
      </c>
      <c r="V62" s="1">
        <f t="shared" si="22"/>
        <v>0</v>
      </c>
      <c r="W62" s="1">
        <f t="shared" si="22"/>
        <v>0</v>
      </c>
    </row>
    <row r="63" spans="2:48" outlineLevel="1" x14ac:dyDescent="0.2">
      <c r="B63" s="78" t="s">
        <v>108</v>
      </c>
      <c r="C63" s="1"/>
      <c r="D63" s="1">
        <f>IF(D$55&lt;=$C$6,0,HLOOKUP(D$55,'Input data'!$C$9:$BB$26,12,FALSE)-HLOOKUP($C$6,'Input data'!$C$9:$BB$26,12,FALSE))</f>
        <v>0</v>
      </c>
      <c r="E63" s="1">
        <f>IF(E$55&lt;=$C$6,0,HLOOKUP(E$55,'Input data'!$C$9:$BB$26,12,FALSE)-HLOOKUP($C$6,'Input data'!$C$9:$BB$26,12,FALSE))</f>
        <v>0</v>
      </c>
      <c r="F63" s="1">
        <f>IF(F$55&lt;=$C$6,0,HLOOKUP(F$55,'Input data'!$C$9:$BB$26,12,FALSE)-HLOOKUP($C$6,'Input data'!$C$9:$BB$26,12,FALSE))</f>
        <v>0</v>
      </c>
      <c r="G63" s="1">
        <f>IF(G$55&lt;=$C$6,0,HLOOKUP(G$55,'Input data'!$C$9:$BB$26,12,FALSE)-HLOOKUP($C$6,'Input data'!$C$9:$BB$26,12,FALSE))</f>
        <v>0</v>
      </c>
      <c r="H63" s="1">
        <f>IF(H$55&lt;=$C$6,0,HLOOKUP(H$55,'Input data'!$C$9:$BB$26,12,FALSE)-HLOOKUP($C$6,'Input data'!$C$9:$BB$26,12,FALSE))</f>
        <v>0</v>
      </c>
      <c r="I63" s="1">
        <f>IF(I$55&lt;=$C$6,0,HLOOKUP(I$55,'Input data'!$C$9:$BB$26,12,FALSE)-HLOOKUP($C$6,'Input data'!$C$9:$BB$26,12,FALSE))</f>
        <v>0</v>
      </c>
      <c r="J63" s="1">
        <f>IF(J$55&lt;=$C$6,0,HLOOKUP(J$55,'Input data'!$C$9:$BB$26,12,FALSE)-HLOOKUP($C$6,'Input data'!$C$9:$BB$26,12,FALSE))</f>
        <v>0</v>
      </c>
      <c r="K63" s="1">
        <f>IF(K$55&lt;=$C$6,0,HLOOKUP(K$55,'Input data'!$C$9:$BB$26,12,FALSE)-HLOOKUP($C$6,'Input data'!$C$9:$BB$26,12,FALSE))</f>
        <v>8.8180000000001257E-2</v>
      </c>
      <c r="L63" s="1">
        <f>IF(L$55&lt;=$C$6,0,HLOOKUP(L$55,'Input data'!$C$9:$BB$26,12,FALSE)-HLOOKUP($C$6,'Input data'!$C$9:$BB$26,12,FALSE))</f>
        <v>0.18511000000000166</v>
      </c>
      <c r="M63" s="1">
        <f>IF(M$55&lt;=$C$6,0,HLOOKUP(M$55,'Input data'!$C$9:$BB$26,12,FALSE)-HLOOKUP($C$6,'Input data'!$C$9:$BB$26,12,FALSE))</f>
        <v>0.28178000000000125</v>
      </c>
      <c r="N63" s="1">
        <f>IF(N$55&lt;=$C$6,0,HLOOKUP(N$55,'Input data'!$C$9:$BB$26,12,FALSE)-HLOOKUP($C$6,'Input data'!$C$9:$BB$26,12,FALSE))</f>
        <v>0.37128999999999834</v>
      </c>
      <c r="O63" s="1">
        <f>IF(O$55&lt;=$C$6,0,HLOOKUP(O$55,'Input data'!$C$9:$BB$26,12,FALSE)-HLOOKUP($C$6,'Input data'!$C$9:$BB$26,12,FALSE))</f>
        <v>0.41981999999999786</v>
      </c>
      <c r="P63" s="1">
        <f>IF(P$55&lt;=$C$6,0,HLOOKUP(P$55,'Input data'!$C$9:$BB$26,12,FALSE)-HLOOKUP($C$6,'Input data'!$C$9:$BB$26,12,FALSE))</f>
        <v>0.49967000000000183</v>
      </c>
      <c r="Q63" s="1">
        <f>IF(Q$55&lt;=$C$6,0,HLOOKUP(Q$55,'Input data'!$C$9:$BB$26,12,FALSE)-HLOOKUP($C$6,'Input data'!$C$9:$BB$26,12,FALSE))</f>
        <v>0.54874999999999829</v>
      </c>
      <c r="R63" s="1">
        <f>IF(R$55&lt;=$C$6,0,HLOOKUP(R$55,'Input data'!$C$9:$BB$26,12,FALSE)-HLOOKUP($C$6,'Input data'!$C$9:$BB$26,12,FALSE))</f>
        <v>0.58172000000000068</v>
      </c>
      <c r="S63" s="1">
        <f>IF(S$55&lt;=$C$6,0,HLOOKUP(S$55,'Input data'!$C$9:$BB$26,12,FALSE)-HLOOKUP($C$6,'Input data'!$C$9:$BB$26,12,FALSE))</f>
        <v>0.6051499999999983</v>
      </c>
      <c r="T63" s="1">
        <f>IF(T$55&lt;=$C$6,0,HLOOKUP(T$55,'Input data'!$C$9:$BB$26,12,FALSE)-HLOOKUP($C$6,'Input data'!$C$9:$BB$26,12,FALSE))</f>
        <v>0.6135300000000008</v>
      </c>
      <c r="U63" s="1">
        <f>IF(U$55&lt;=$C$6,0,HLOOKUP(U$55,'Input data'!$C$9:$BB$26,12,FALSE)-HLOOKUP($C$6,'Input data'!$C$9:$BB$26,12,FALSE))</f>
        <v>0.61458999999999619</v>
      </c>
      <c r="V63" s="1">
        <f>IF(V$55&lt;=$C$6,0,HLOOKUP(V$55,'Input data'!$C$9:$BB$26,12,FALSE)-HLOOKUP($C$6,'Input data'!$C$9:$BB$26,12,FALSE))</f>
        <v>0.60313000000000017</v>
      </c>
      <c r="W63" s="1">
        <f>IF(W$55&lt;=$C$6,0,HLOOKUP(W$55,'Input data'!$C$9:$BB$26,12,FALSE)-HLOOKUP($C$6,'Input data'!$C$9:$BB$26,12,FALSE))</f>
        <v>0.59872999999999976</v>
      </c>
    </row>
    <row r="64" spans="2:48" outlineLevel="1" x14ac:dyDescent="0.2">
      <c r="B64" s="78" t="s">
        <v>109</v>
      </c>
      <c r="C64" s="1"/>
      <c r="D64" s="1">
        <f>IF(D$55&lt;=$C$5,0,-HLOOKUP(D$55,'Input data'!$C$9:$BB$26,18,FALSE)+HLOOKUP($C$6,'Input data'!$C$9:$BB$26,18,FALSE))</f>
        <v>0</v>
      </c>
      <c r="E64" s="1">
        <f>IF(E$55&lt;=$C$5,0,-HLOOKUP(E$55,'Input data'!$C$9:$BB$26,18,FALSE)+HLOOKUP($C$6,'Input data'!$C$9:$BB$26,18,FALSE))</f>
        <v>0</v>
      </c>
      <c r="F64" s="1">
        <f>IF(F$55&lt;=$C$5,0,-HLOOKUP(F$55,'Input data'!$C$9:$BB$26,18,FALSE)+HLOOKUP($C$6,'Input data'!$C$9:$BB$26,18,FALSE))</f>
        <v>0</v>
      </c>
      <c r="G64" s="1">
        <f>IF(G$55&lt;=$C$6,0,-HLOOKUP(G$55,'Input data'!$C$9:$BB$26,18,FALSE)+HLOOKUP($C$6,'Input data'!$C$9:$BB$26,18,FALSE))</f>
        <v>0</v>
      </c>
      <c r="H64" s="1">
        <f>IF(H$55&lt;=$C$6,0,-HLOOKUP(H$55,'Input data'!$C$9:$BB$26,18,FALSE)+HLOOKUP($C$6,'Input data'!$C$9:$BB$26,18,FALSE))</f>
        <v>0</v>
      </c>
      <c r="I64" s="1">
        <f>IF(I$55&lt;=$C$6,0,-HLOOKUP(I$55,'Input data'!$C$9:$BB$26,18,FALSE)+HLOOKUP($C$6,'Input data'!$C$9:$BB$26,18,FALSE))</f>
        <v>0</v>
      </c>
      <c r="J64" s="1">
        <f>IF(J$55&lt;=$C$6,0,-HLOOKUP(J$55,'Input data'!$C$9:$BB$26,18,FALSE)+HLOOKUP($C$6,'Input data'!$C$9:$BB$26,18,FALSE))</f>
        <v>0</v>
      </c>
      <c r="K64" s="1">
        <f>IF(K$55&lt;=$C$6,0,-HLOOKUP(K$55,'Input data'!$C$9:$BB$26,18,FALSE)+HLOOKUP($C$6,'Input data'!$C$9:$BB$26,18,FALSE))</f>
        <v>7.0616000000000012E-3</v>
      </c>
      <c r="L64" s="1">
        <f>IF(L$55&lt;=$C$6,0,-HLOOKUP(L$55,'Input data'!$C$9:$BB$26,18,FALSE)+HLOOKUP($C$6,'Input data'!$C$9:$BB$26,18,FALSE))</f>
        <v>1.412329999999995E-2</v>
      </c>
      <c r="M64" s="1">
        <f>IF(M$55&lt;=$C$6,0,-HLOOKUP(M$55,'Input data'!$C$9:$BB$26,18,FALSE)+HLOOKUP($C$6,'Input data'!$C$9:$BB$26,18,FALSE))</f>
        <v>2.1185000000000009E-2</v>
      </c>
      <c r="N64" s="1">
        <f>IF(N$55&lt;=$C$6,0,-HLOOKUP(N$55,'Input data'!$C$9:$BB$26,18,FALSE)+HLOOKUP($C$6,'Input data'!$C$9:$BB$26,18,FALSE))</f>
        <v>2.8246600000000011E-2</v>
      </c>
      <c r="O64" s="1">
        <f>IF(O$55&lt;=$C$6,0,-HLOOKUP(O$55,'Input data'!$C$9:$BB$26,18,FALSE)+HLOOKUP($C$6,'Input data'!$C$9:$BB$26,18,FALSE))</f>
        <v>3.5308200000000012E-2</v>
      </c>
      <c r="P64" s="1">
        <f>IF(P$55&lt;=$C$6,0,-HLOOKUP(P$55,'Input data'!$C$9:$BB$26,18,FALSE)+HLOOKUP($C$6,'Input data'!$C$9:$BB$26,18,FALSE))</f>
        <v>4.2369800000000013E-2</v>
      </c>
      <c r="Q64" s="1">
        <f>IF(Q$55&lt;=$C$6,0,-HLOOKUP(Q$55,'Input data'!$C$9:$BB$26,18,FALSE)+HLOOKUP($C$6,'Input data'!$C$9:$BB$26,18,FALSE))</f>
        <v>4.9431499999999962E-2</v>
      </c>
      <c r="R64" s="1">
        <f>IF(R$55&lt;=$C$6,0,-HLOOKUP(R$55,'Input data'!$C$9:$BB$26,18,FALSE)+HLOOKUP($C$6,'Input data'!$C$9:$BB$26,18,FALSE))</f>
        <v>5.6493099999999963E-2</v>
      </c>
      <c r="S64" s="1">
        <f>IF(S$55&lt;=$C$6,0,-HLOOKUP(S$55,'Input data'!$C$9:$BB$26,18,FALSE)+HLOOKUP($C$6,'Input data'!$C$9:$BB$26,18,FALSE))</f>
        <v>6.3554699999999964E-2</v>
      </c>
      <c r="T64" s="1">
        <f>IF(T$55&lt;=$C$6,0,-HLOOKUP(T$55,'Input data'!$C$9:$BB$26,18,FALSE)+HLOOKUP($C$6,'Input data'!$C$9:$BB$26,18,FALSE))</f>
        <v>7.0616299999999965E-2</v>
      </c>
      <c r="U64" s="1">
        <f>IF(U$55&lt;=$C$6,0,-HLOOKUP(U$55,'Input data'!$C$9:$BB$26,18,FALSE)+HLOOKUP($C$6,'Input data'!$C$9:$BB$26,18,FALSE))</f>
        <v>7.7678000000000025E-2</v>
      </c>
      <c r="V64" s="1">
        <f>IF(V$55&lt;=$C$6,0,-HLOOKUP(V$55,'Input data'!$C$9:$BB$26,18,FALSE)+HLOOKUP($C$6,'Input data'!$C$9:$BB$26,18,FALSE))</f>
        <v>8.4739600000000026E-2</v>
      </c>
      <c r="W64" s="1">
        <f>IF(W$55&lt;=$C$6,0,-HLOOKUP(W$55,'Input data'!$C$9:$BB$26,18,FALSE)+HLOOKUP($C$6,'Input data'!$C$9:$BB$26,18,FALSE))</f>
        <v>9.1801200000000027E-2</v>
      </c>
    </row>
    <row r="65" spans="2:23" outlineLevel="1" x14ac:dyDescent="0.2">
      <c r="B65" s="78"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row>
    <row r="66" spans="2:23" outlineLevel="1" x14ac:dyDescent="0.2">
      <c r="B66" s="83" t="s">
        <v>111</v>
      </c>
      <c r="C66" s="48"/>
      <c r="D66" s="48">
        <f t="shared" ref="D66:T66" si="23">SUM(D67:D70)</f>
        <v>-6.7322810000000048</v>
      </c>
      <c r="E66" s="48">
        <f t="shared" si="23"/>
        <v>-2.9737779999999869</v>
      </c>
      <c r="F66" s="48">
        <f t="shared" si="23"/>
        <v>-1.2376340000000001</v>
      </c>
      <c r="G66" s="48">
        <f t="shared" si="23"/>
        <v>-0.32608321013477748</v>
      </c>
      <c r="H66" s="48">
        <f t="shared" si="23"/>
        <v>-0.71649965629632228</v>
      </c>
      <c r="I66" s="48">
        <f t="shared" si="23"/>
        <v>-0.7260898564626993</v>
      </c>
      <c r="J66" s="48">
        <f t="shared" si="23"/>
        <v>-0.62761682836487154</v>
      </c>
      <c r="K66" s="48">
        <f t="shared" si="23"/>
        <v>-1.3090312288813895</v>
      </c>
      <c r="L66" s="48">
        <f t="shared" si="23"/>
        <v>-1.0797018908761207</v>
      </c>
      <c r="M66" s="48">
        <f t="shared" si="23"/>
        <v>-0.75367990693136822</v>
      </c>
      <c r="N66" s="48">
        <f t="shared" si="23"/>
        <v>-0.70244469131452913</v>
      </c>
      <c r="O66" s="48">
        <f t="shared" si="23"/>
        <v>-0.65909482326967417</v>
      </c>
      <c r="P66" s="48">
        <f t="shared" si="23"/>
        <v>-0.51853627944884462</v>
      </c>
      <c r="Q66" s="48">
        <f t="shared" si="23"/>
        <v>-0.49763574506149222</v>
      </c>
      <c r="R66" s="48">
        <f t="shared" si="23"/>
        <v>-0.4803666042683804</v>
      </c>
      <c r="S66" s="48">
        <f t="shared" si="23"/>
        <v>-0.46613416870553781</v>
      </c>
      <c r="T66" s="48">
        <f t="shared" si="23"/>
        <v>-0.44481092834349845</v>
      </c>
      <c r="U66" s="48">
        <f t="shared" ref="U66:W66" si="24">SUM(U67:U70)</f>
        <v>-0.42731505961255178</v>
      </c>
      <c r="V66" s="48">
        <f t="shared" si="24"/>
        <v>-0.4114870614777778</v>
      </c>
      <c r="W66" s="48">
        <f t="shared" si="24"/>
        <v>-0.35675773165512503</v>
      </c>
    </row>
    <row r="67" spans="2:23" outlineLevel="1" x14ac:dyDescent="0.2">
      <c r="B67" s="78" t="s">
        <v>112</v>
      </c>
      <c r="C67" s="34"/>
      <c r="D67" s="34">
        <f>C56*D35/100*(1/(1+D32/100))</f>
        <v>0.95047268591534773</v>
      </c>
      <c r="E67" s="34">
        <f t="shared" ref="E67:W67" si="25">D56*E35/100*(1/(1+E32/100))</f>
        <v>1.2031122695315895</v>
      </c>
      <c r="F67" s="34">
        <f t="shared" si="25"/>
        <v>1.4808808255417976</v>
      </c>
      <c r="G67" s="34">
        <f t="shared" si="25"/>
        <v>1.5032478336494259</v>
      </c>
      <c r="H67" s="34">
        <f t="shared" si="25"/>
        <v>1.4787897889267285</v>
      </c>
      <c r="I67" s="34">
        <f t="shared" si="25"/>
        <v>1.5859604267920924</v>
      </c>
      <c r="J67" s="34">
        <f t="shared" si="25"/>
        <v>1.6569015935976448</v>
      </c>
      <c r="K67" s="34">
        <f t="shared" si="25"/>
        <v>1.6768626561491209</v>
      </c>
      <c r="L67" s="34">
        <f t="shared" si="25"/>
        <v>1.6886562225001684</v>
      </c>
      <c r="M67" s="34">
        <f t="shared" si="25"/>
        <v>1.7010951750784347</v>
      </c>
      <c r="N67" s="34">
        <f t="shared" si="25"/>
        <v>1.7077633882680296</v>
      </c>
      <c r="O67" s="34">
        <f t="shared" si="25"/>
        <v>1.7088276969397667</v>
      </c>
      <c r="P67" s="34">
        <f t="shared" si="25"/>
        <v>1.7060188341928282</v>
      </c>
      <c r="Q67" s="34">
        <f t="shared" si="25"/>
        <v>1.6946726846566758</v>
      </c>
      <c r="R67" s="34">
        <f t="shared" si="25"/>
        <v>1.6798624435500256</v>
      </c>
      <c r="S67" s="34">
        <f t="shared" si="25"/>
        <v>1.6616157745375451</v>
      </c>
      <c r="T67" s="34">
        <f t="shared" si="25"/>
        <v>1.6403873067722707</v>
      </c>
      <c r="U67" s="34">
        <f t="shared" si="25"/>
        <v>1.6160710740690307</v>
      </c>
      <c r="V67" s="34">
        <f t="shared" si="25"/>
        <v>1.5888139238485881</v>
      </c>
      <c r="W67" s="34">
        <f t="shared" si="25"/>
        <v>1.5597561035206751</v>
      </c>
    </row>
    <row r="68" spans="2:23" outlineLevel="1" x14ac:dyDescent="0.2">
      <c r="B68" s="78" t="s">
        <v>113</v>
      </c>
      <c r="C68" s="34"/>
      <c r="D68" s="34">
        <f t="shared" ref="D68:W68" si="26">-C56*(D23/100)*(1/(1+D32/100))</f>
        <v>-3.9431956595764022</v>
      </c>
      <c r="E68" s="34">
        <f t="shared" si="26"/>
        <v>0.7085718986338686</v>
      </c>
      <c r="F68" s="34">
        <f t="shared" si="26"/>
        <v>0.47141677796707321</v>
      </c>
      <c r="G68" s="34">
        <f t="shared" si="26"/>
        <v>-5.0960440759242234E-2</v>
      </c>
      <c r="H68" s="34">
        <f t="shared" si="26"/>
        <v>-0.70500832896444232</v>
      </c>
      <c r="I68" s="34">
        <f t="shared" si="26"/>
        <v>-0.7785846497403538</v>
      </c>
      <c r="J68" s="34">
        <f t="shared" si="26"/>
        <v>-0.72862543370765498</v>
      </c>
      <c r="K68" s="34">
        <f t="shared" si="26"/>
        <v>-1.4261898374222226</v>
      </c>
      <c r="L68" s="34">
        <f t="shared" si="26"/>
        <v>-1.2243804436892043</v>
      </c>
      <c r="M68" s="34">
        <f t="shared" si="26"/>
        <v>-0.92442389427345217</v>
      </c>
      <c r="N68" s="34">
        <f t="shared" si="26"/>
        <v>-0.88961771011735113</v>
      </c>
      <c r="O68" s="34">
        <f t="shared" si="26"/>
        <v>-0.85900547611489653</v>
      </c>
      <c r="P68" s="34">
        <f t="shared" si="26"/>
        <v>-0.7302861957584339</v>
      </c>
      <c r="Q68" s="34">
        <f t="shared" si="26"/>
        <v>-0.75589887612217044</v>
      </c>
      <c r="R68" s="34">
        <f t="shared" si="26"/>
        <v>-0.77925028520107131</v>
      </c>
      <c r="S68" s="34">
        <f t="shared" si="26"/>
        <v>-0.80025506588957374</v>
      </c>
      <c r="T68" s="34">
        <f t="shared" si="26"/>
        <v>-0.80954910790274837</v>
      </c>
      <c r="U68" s="34">
        <f t="shared" si="26"/>
        <v>-0.8181429218633206</v>
      </c>
      <c r="V68" s="34">
        <f t="shared" si="26"/>
        <v>-0.82428669100505336</v>
      </c>
      <c r="W68" s="34">
        <f t="shared" si="26"/>
        <v>-0.78887321215789952</v>
      </c>
    </row>
    <row r="69" spans="2:23" outlineLevel="1" x14ac:dyDescent="0.2">
      <c r="B69" s="78" t="s">
        <v>114</v>
      </c>
      <c r="C69" s="34"/>
      <c r="D69" s="34">
        <f t="shared" ref="D69:T69" si="27">-C56*D41/100*(1/(1+D41/100))</f>
        <v>-3.7398586487935788</v>
      </c>
      <c r="E69" s="34">
        <f t="shared" si="27"/>
        <v>-4.8853770931852845</v>
      </c>
      <c r="F69" s="34">
        <f t="shared" si="27"/>
        <v>-3.1899117432035724</v>
      </c>
      <c r="G69" s="34">
        <f t="shared" si="27"/>
        <v>-1.7783777031660166</v>
      </c>
      <c r="H69" s="34">
        <f t="shared" si="27"/>
        <v>-1.4902811162586085</v>
      </c>
      <c r="I69" s="34">
        <f t="shared" si="27"/>
        <v>-1.5334656335144379</v>
      </c>
      <c r="J69" s="34">
        <f t="shared" si="27"/>
        <v>-1.5558929882548613</v>
      </c>
      <c r="K69" s="34">
        <f t="shared" si="27"/>
        <v>-1.5597040476082877</v>
      </c>
      <c r="L69" s="34">
        <f t="shared" si="27"/>
        <v>-1.5439776696870848</v>
      </c>
      <c r="M69" s="34">
        <f t="shared" si="27"/>
        <v>-1.5303511877363507</v>
      </c>
      <c r="N69" s="34">
        <f t="shared" si="27"/>
        <v>-1.5205903694652076</v>
      </c>
      <c r="O69" s="34">
        <f t="shared" si="27"/>
        <v>-1.5089170440945443</v>
      </c>
      <c r="P69" s="34">
        <f t="shared" si="27"/>
        <v>-1.4942689178832389</v>
      </c>
      <c r="Q69" s="34">
        <f t="shared" si="27"/>
        <v>-1.4364095535959975</v>
      </c>
      <c r="R69" s="34">
        <f t="shared" si="27"/>
        <v>-1.3809787626173347</v>
      </c>
      <c r="S69" s="34">
        <f t="shared" si="27"/>
        <v>-1.3274948773535091</v>
      </c>
      <c r="T69" s="34">
        <f t="shared" si="27"/>
        <v>-1.2756491272130208</v>
      </c>
      <c r="U69" s="34">
        <f t="shared" ref="U69" si="28">-T56*U41/100*(1/(1+U41/100))</f>
        <v>-1.2252432118182619</v>
      </c>
      <c r="V69" s="34">
        <f t="shared" ref="V69" si="29">-U56*V41/100*(1/(1+V41/100))</f>
        <v>-1.1760142943213125</v>
      </c>
      <c r="W69" s="34">
        <f t="shared" ref="W69" si="30">-V56*W41/100*(1/(1+W41/100))</f>
        <v>-1.1276406230179006</v>
      </c>
    </row>
    <row r="70" spans="2:23" outlineLevel="1" x14ac:dyDescent="0.2">
      <c r="B70" s="78" t="s">
        <v>115</v>
      </c>
      <c r="C70" s="49"/>
      <c r="D70" s="49">
        <f>'Baseline NFPC'!D70</f>
        <v>3.0062245462847415E-4</v>
      </c>
      <c r="E70" s="49">
        <f>'Baseline NFPC'!E70</f>
        <v>-8.5074980160637637E-5</v>
      </c>
      <c r="F70" s="49">
        <f>'Baseline NFPC'!F70</f>
        <v>-1.9860305298546876E-5</v>
      </c>
      <c r="G70" s="49">
        <f>'Baseline NFPC'!G70</f>
        <v>7.1001410555382449E-6</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c r="V70" s="49">
        <f>'Baseline NFPC'!V70</f>
        <v>0</v>
      </c>
      <c r="W70" s="49">
        <f>'Baseline NFPC'!W70</f>
        <v>0</v>
      </c>
    </row>
    <row r="71" spans="2:23" outlineLevel="1" x14ac:dyDescent="0.2">
      <c r="B71" s="83" t="s">
        <v>116</v>
      </c>
      <c r="C71" s="50"/>
      <c r="D71" s="50">
        <f>'Input data'!D16</f>
        <v>0.35710310000000001</v>
      </c>
      <c r="E71" s="50">
        <f>'Input data'!E16</f>
        <v>1.7333069999999999</v>
      </c>
      <c r="F71" s="50">
        <f>'Input data'!F16</f>
        <v>0.1000248</v>
      </c>
      <c r="G71" s="50">
        <f>'Input data'!G16</f>
        <v>0.1</v>
      </c>
      <c r="H71" s="50">
        <f>'Input data'!H16</f>
        <v>0.1000076</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c r="V71" s="50">
        <f>'Input data'!V16</f>
        <v>0</v>
      </c>
      <c r="W71" s="50">
        <f>'Input data'!W16</f>
        <v>0</v>
      </c>
    </row>
    <row r="72" spans="2:23" outlineLevel="1" x14ac:dyDescent="0.2">
      <c r="B72" s="78" t="s">
        <v>117</v>
      </c>
      <c r="C72" s="34"/>
      <c r="D72" s="34">
        <f t="shared" ref="D72:W72" si="31">D14</f>
        <v>0.33345029999999998</v>
      </c>
      <c r="E72" s="34">
        <f t="shared" si="31"/>
        <v>1.738494</v>
      </c>
      <c r="F72" s="34">
        <f t="shared" si="31"/>
        <v>0.1010605</v>
      </c>
      <c r="G72" s="34">
        <f t="shared" si="31"/>
        <v>9.9622799999999997E-2</v>
      </c>
      <c r="H72" s="34">
        <f t="shared" si="31"/>
        <v>0.1</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c r="V72" s="34">
        <f t="shared" si="31"/>
        <v>0</v>
      </c>
      <c r="W72" s="34">
        <f t="shared" si="31"/>
        <v>0</v>
      </c>
    </row>
    <row r="73" spans="2:23" outlineLevel="1" x14ac:dyDescent="0.2">
      <c r="B73" s="88" t="s">
        <v>118</v>
      </c>
      <c r="C73" s="49"/>
      <c r="D73" s="49">
        <f t="shared" ref="D73:T73" si="32">+D71-D72</f>
        <v>2.3652800000000029E-2</v>
      </c>
      <c r="E73" s="49">
        <f t="shared" si="32"/>
        <v>-5.1870000000000527E-3</v>
      </c>
      <c r="F73" s="49">
        <f t="shared" si="32"/>
        <v>-1.0357000000000005E-3</v>
      </c>
      <c r="G73" s="49">
        <f t="shared" si="32"/>
        <v>3.7720000000000808E-4</v>
      </c>
      <c r="H73" s="49">
        <f t="shared" si="32"/>
        <v>7.5999999999964984E-6</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si="32"/>
        <v>0</v>
      </c>
      <c r="T73" s="49">
        <f t="shared" si="32"/>
        <v>0</v>
      </c>
      <c r="U73" s="49">
        <f t="shared" ref="U73:W73" si="33">+U71-U72</f>
        <v>0</v>
      </c>
      <c r="V73" s="49">
        <f t="shared" si="33"/>
        <v>0</v>
      </c>
      <c r="W73" s="49">
        <f t="shared" si="33"/>
        <v>0</v>
      </c>
    </row>
    <row r="75" spans="2:23" x14ac:dyDescent="0.2">
      <c r="B75" s="51" t="s">
        <v>182</v>
      </c>
      <c r="C75" s="51"/>
      <c r="D75" s="51"/>
      <c r="E75" s="51"/>
      <c r="F75" s="51"/>
      <c r="G75" s="51"/>
      <c r="H75" s="51"/>
      <c r="I75" s="51"/>
      <c r="J75" s="51"/>
      <c r="K75" s="51">
        <f t="shared" ref="K75:W75" si="34">IF(K56&lt;J56,0,1)</f>
        <v>0</v>
      </c>
      <c r="L75" s="51">
        <f t="shared" si="34"/>
        <v>0</v>
      </c>
      <c r="M75" s="51">
        <f t="shared" si="34"/>
        <v>0</v>
      </c>
      <c r="N75" s="51">
        <f t="shared" si="34"/>
        <v>0</v>
      </c>
      <c r="O75" s="51">
        <f t="shared" si="34"/>
        <v>0</v>
      </c>
      <c r="P75" s="51">
        <f t="shared" si="34"/>
        <v>0</v>
      </c>
      <c r="Q75" s="51">
        <f t="shared" si="34"/>
        <v>0</v>
      </c>
      <c r="R75" s="51">
        <f t="shared" si="34"/>
        <v>0</v>
      </c>
      <c r="S75" s="51">
        <f t="shared" si="34"/>
        <v>0</v>
      </c>
      <c r="T75" s="51">
        <f t="shared" si="34"/>
        <v>0</v>
      </c>
      <c r="U75" s="51">
        <f t="shared" si="34"/>
        <v>0</v>
      </c>
      <c r="V75" s="51">
        <f t="shared" si="34"/>
        <v>0</v>
      </c>
      <c r="W75" s="51">
        <f t="shared" si="34"/>
        <v>0</v>
      </c>
    </row>
    <row r="76" spans="2:23" x14ac:dyDescent="0.2">
      <c r="D76" s="53"/>
    </row>
    <row r="77" spans="2:23" s="92" customFormat="1" ht="13.2" outlineLevel="1" x14ac:dyDescent="0.25">
      <c r="B77" s="93" t="s">
        <v>121</v>
      </c>
      <c r="C77" s="94"/>
      <c r="E77" s="95"/>
      <c r="F77" s="94"/>
    </row>
    <row r="78" spans="2:23" x14ac:dyDescent="0.2">
      <c r="C78" s="34"/>
      <c r="D78" s="34"/>
      <c r="E78" s="34"/>
      <c r="F78" s="34"/>
      <c r="G78" s="34"/>
      <c r="H78" s="34"/>
      <c r="I78" s="34"/>
      <c r="J78" s="34"/>
      <c r="K78" s="34"/>
      <c r="L78" s="34"/>
      <c r="M78" s="34"/>
      <c r="N78" s="34"/>
      <c r="O78" s="34"/>
      <c r="P78" s="34"/>
      <c r="Q78" s="34"/>
      <c r="R78" s="34"/>
      <c r="S78" s="34"/>
      <c r="T78" s="34"/>
      <c r="U78" s="34"/>
      <c r="V78" s="34"/>
      <c r="W78" s="34"/>
    </row>
    <row r="79" spans="2:23" x14ac:dyDescent="0.2">
      <c r="B79" s="26" t="s">
        <v>122</v>
      </c>
      <c r="E79" s="29"/>
      <c r="F79" s="29">
        <f t="shared" ref="F79" si="35">IF((F83-E83*F42/((1+F23/100)*(1+F41/100)))&gt;0,1,0)</f>
        <v>1</v>
      </c>
      <c r="G79" s="29">
        <f t="shared" ref="G79:W79" si="36">IF((G83-F83*G42/((1+G23/100)*(1+G41/100)))&gt;0,1,0)</f>
        <v>1</v>
      </c>
      <c r="H79" s="29">
        <f t="shared" si="36"/>
        <v>1</v>
      </c>
      <c r="I79" s="29">
        <f t="shared" si="36"/>
        <v>1</v>
      </c>
      <c r="J79" s="29">
        <f t="shared" si="36"/>
        <v>1</v>
      </c>
      <c r="K79" s="29">
        <f t="shared" si="36"/>
        <v>1</v>
      </c>
      <c r="L79" s="29">
        <f t="shared" si="36"/>
        <v>1</v>
      </c>
      <c r="M79" s="29">
        <f t="shared" si="36"/>
        <v>1</v>
      </c>
      <c r="N79" s="29">
        <f t="shared" si="36"/>
        <v>1</v>
      </c>
      <c r="O79" s="29">
        <f t="shared" si="36"/>
        <v>1</v>
      </c>
      <c r="P79" s="29">
        <f t="shared" si="36"/>
        <v>1</v>
      </c>
      <c r="Q79" s="29">
        <f t="shared" si="36"/>
        <v>1</v>
      </c>
      <c r="R79" s="29">
        <f t="shared" si="36"/>
        <v>1</v>
      </c>
      <c r="S79" s="29">
        <f t="shared" si="36"/>
        <v>1</v>
      </c>
      <c r="T79" s="29">
        <f t="shared" si="36"/>
        <v>1</v>
      </c>
      <c r="U79" s="29">
        <f t="shared" si="36"/>
        <v>1</v>
      </c>
      <c r="V79" s="29">
        <f t="shared" si="36"/>
        <v>1</v>
      </c>
      <c r="W79" s="29">
        <f t="shared" si="36"/>
        <v>1</v>
      </c>
    </row>
    <row r="80" spans="2:23" x14ac:dyDescent="0.2">
      <c r="B80" s="26" t="s">
        <v>123</v>
      </c>
      <c r="E80" s="29"/>
      <c r="F80" s="29">
        <f t="shared" ref="F80" si="37">IF(AND(F79=0,ABS(F83-E83*F42/((1+F23/100)*(1+F41/100)))&lt;((E89*E83*F42/((1+F23/100)*(1+F41/100))+(F38*E83*E90*F42/((1+F23/100)*(1+F41/100)))))),1,0)</f>
        <v>0</v>
      </c>
      <c r="G80" s="29">
        <f t="shared" ref="G80:W80" si="38">IF(AND(G79=0,ABS(G83-F83*G42/((1+G23/100)*(1+G41/100)))&lt;((F89*F83*G42/((1+G23/100)*(1+G41/100))+(G38*F83*F90*G42/((1+G23/100)*(1+G41/100)))))),1,0)</f>
        <v>0</v>
      </c>
      <c r="H80" s="29">
        <f t="shared" si="38"/>
        <v>0</v>
      </c>
      <c r="I80" s="29">
        <f t="shared" si="38"/>
        <v>0</v>
      </c>
      <c r="J80" s="29">
        <f t="shared" si="38"/>
        <v>0</v>
      </c>
      <c r="K80" s="29">
        <f t="shared" si="38"/>
        <v>0</v>
      </c>
      <c r="L80" s="29">
        <f t="shared" si="38"/>
        <v>0</v>
      </c>
      <c r="M80" s="29">
        <f t="shared" si="38"/>
        <v>0</v>
      </c>
      <c r="N80" s="29">
        <f t="shared" si="38"/>
        <v>0</v>
      </c>
      <c r="O80" s="29">
        <f t="shared" si="38"/>
        <v>0</v>
      </c>
      <c r="P80" s="29">
        <f t="shared" si="38"/>
        <v>0</v>
      </c>
      <c r="Q80" s="29">
        <f t="shared" si="38"/>
        <v>0</v>
      </c>
      <c r="R80" s="29">
        <f t="shared" si="38"/>
        <v>0</v>
      </c>
      <c r="S80" s="29">
        <f t="shared" si="38"/>
        <v>0</v>
      </c>
      <c r="T80" s="29">
        <f t="shared" si="38"/>
        <v>0</v>
      </c>
      <c r="U80" s="29">
        <f t="shared" si="38"/>
        <v>0</v>
      </c>
      <c r="V80" s="29">
        <f t="shared" si="38"/>
        <v>0</v>
      </c>
      <c r="W80" s="29">
        <f t="shared" si="38"/>
        <v>0</v>
      </c>
    </row>
    <row r="82" spans="2:24" x14ac:dyDescent="0.2">
      <c r="B82" s="51"/>
      <c r="C82" s="85">
        <v>2021</v>
      </c>
      <c r="D82" s="85">
        <v>2022</v>
      </c>
      <c r="E82" s="85">
        <v>2023</v>
      </c>
      <c r="F82" s="85">
        <v>2024</v>
      </c>
      <c r="G82" s="85">
        <v>2025</v>
      </c>
      <c r="H82" s="85">
        <v>2026</v>
      </c>
      <c r="I82" s="85">
        <v>2027</v>
      </c>
      <c r="J82" s="85">
        <v>2028</v>
      </c>
      <c r="K82" s="85">
        <v>2029</v>
      </c>
      <c r="L82" s="85">
        <v>2030</v>
      </c>
      <c r="M82" s="85">
        <v>2031</v>
      </c>
      <c r="N82" s="85">
        <v>2032</v>
      </c>
      <c r="O82" s="85">
        <v>2033</v>
      </c>
      <c r="P82" s="85">
        <v>2034</v>
      </c>
      <c r="Q82" s="85">
        <v>2035</v>
      </c>
      <c r="R82" s="85">
        <v>2036</v>
      </c>
      <c r="S82" s="85">
        <v>2037</v>
      </c>
      <c r="T82" s="85">
        <v>2038</v>
      </c>
      <c r="U82" s="85">
        <v>2039</v>
      </c>
      <c r="V82" s="85">
        <v>2040</v>
      </c>
      <c r="W82" s="85">
        <v>2041</v>
      </c>
    </row>
    <row r="83" spans="2:24" x14ac:dyDescent="0.2">
      <c r="B83" s="105" t="s">
        <v>101</v>
      </c>
      <c r="C83" s="109">
        <f>C56</f>
        <v>82.394589999999994</v>
      </c>
      <c r="D83" s="109">
        <f>D56</f>
        <v>78.37562031561059</v>
      </c>
      <c r="E83" s="109">
        <f>E56</f>
        <v>78.551901298157986</v>
      </c>
      <c r="F83" s="109">
        <f>F56</f>
        <v>79.538050043568091</v>
      </c>
      <c r="G83" s="109">
        <f>G56</f>
        <v>80.81308351777497</v>
      </c>
      <c r="H83" s="109">
        <f>G83*(1+H97/100)*H42-H59-H60+H61+H62+H63+H64+H65+H72</f>
        <v>80.673510410562542</v>
      </c>
      <c r="I83" s="109">
        <f t="shared" ref="I83:W83" si="39">H83*(1+I97/100)*I42-I59-I60+I61+I62+I63+I64+I65+I72</f>
        <v>79.48432826464655</v>
      </c>
      <c r="J83" s="109">
        <f t="shared" si="39"/>
        <v>77.440279840980196</v>
      </c>
      <c r="K83" s="109">
        <f t="shared" si="39"/>
        <v>74.566771109776127</v>
      </c>
      <c r="L83" s="109">
        <f t="shared" si="39"/>
        <v>71.946902662247766</v>
      </c>
      <c r="M83" s="109">
        <f t="shared" si="39"/>
        <v>69.641631189141819</v>
      </c>
      <c r="N83" s="109">
        <f t="shared" si="39"/>
        <v>67.369009849077827</v>
      </c>
      <c r="O83" s="109">
        <f t="shared" si="39"/>
        <v>65.08017329518546</v>
      </c>
      <c r="P83" s="109">
        <f t="shared" si="39"/>
        <v>63.018805742801248</v>
      </c>
      <c r="Q83" s="109">
        <f t="shared" si="39"/>
        <v>61.034482115837406</v>
      </c>
      <c r="R83" s="109">
        <f t="shared" si="39"/>
        <v>59.107460919674267</v>
      </c>
      <c r="S83" s="109">
        <f t="shared" si="39"/>
        <v>57.225165448028974</v>
      </c>
      <c r="T83" s="109">
        <f t="shared" si="39"/>
        <v>55.379632564597003</v>
      </c>
      <c r="U83" s="109">
        <f t="shared" si="39"/>
        <v>53.559717811474535</v>
      </c>
      <c r="V83" s="109">
        <f t="shared" si="39"/>
        <v>51.751230969816731</v>
      </c>
      <c r="W83" s="109">
        <f t="shared" si="39"/>
        <v>50.000133366035861</v>
      </c>
    </row>
    <row r="84" spans="2:24" x14ac:dyDescent="0.2">
      <c r="B84" s="26" t="s">
        <v>124</v>
      </c>
      <c r="C84" s="34"/>
      <c r="D84" s="34"/>
      <c r="E84" s="253">
        <f>'Input data'!$C$66*E$83</f>
        <v>60.525655589893695</v>
      </c>
      <c r="F84" s="34">
        <f t="shared" ref="F84" si="40">IF(F83=0,0,IF(F79=1,E83*F42/((1+F23/100)*(1+F41/100))-F85-F86,IF(AND(F79=0,F80=1),(1-E89-F38*E90)*E83*F42/((1+F23/100)*(1+F41/100)),F83)))</f>
        <v>62.802647329605676</v>
      </c>
      <c r="G84" s="34">
        <f>IF(G83=0,0,IF(G79=1,F83*G42/((1+G23/100)*(1+G41/100))-G85-G86,IF(AND(G79=0,G80=1),(1-F89-G38*F90)*F83*G42/((1+G23/100)*(1+G41/100)),G83)))</f>
        <v>64.392644512026649</v>
      </c>
      <c r="H84" s="34">
        <f t="shared" ref="H84:W84" si="41">IF(H83=0,0,IF(H79=1,G83*H42/((1+H23/100)*(1+H41/100))-H85-H86,IF(AND(H79=0,H80=1),(1-G89-H38*G90)*G83*H42/((1+H23/100)*(1+H41/100)),H83)))</f>
        <v>65.180577692643965</v>
      </c>
      <c r="I84" s="34">
        <f t="shared" si="41"/>
        <v>65.001306706845838</v>
      </c>
      <c r="J84" s="34">
        <f t="shared" si="41"/>
        <v>64.069197195735555</v>
      </c>
      <c r="K84" s="34">
        <f t="shared" si="41"/>
        <v>61.81996840096788</v>
      </c>
      <c r="L84" s="34">
        <f t="shared" si="41"/>
        <v>59.642734630046434</v>
      </c>
      <c r="M84" s="34">
        <f t="shared" si="41"/>
        <v>57.75409956615492</v>
      </c>
      <c r="N84" s="34">
        <f t="shared" si="41"/>
        <v>55.901566723470282</v>
      </c>
      <c r="O84" s="34">
        <f t="shared" si="41"/>
        <v>54.072517815418188</v>
      </c>
      <c r="P84" s="34">
        <f t="shared" si="41"/>
        <v>52.312285082839111</v>
      </c>
      <c r="Q84" s="34">
        <f t="shared" si="41"/>
        <v>50.623737930360676</v>
      </c>
      <c r="R84" s="34">
        <f t="shared" si="41"/>
        <v>48.999222527881393</v>
      </c>
      <c r="S84" s="34">
        <f t="shared" si="41"/>
        <v>47.422753272045831</v>
      </c>
      <c r="T84" s="34">
        <f t="shared" si="41"/>
        <v>45.891895643264348</v>
      </c>
      <c r="U84" s="34">
        <f t="shared" si="41"/>
        <v>44.390999883893564</v>
      </c>
      <c r="V84" s="34">
        <f t="shared" si="41"/>
        <v>42.912452973802509</v>
      </c>
      <c r="W84" s="34">
        <f t="shared" si="41"/>
        <v>41.477242534268612</v>
      </c>
      <c r="X84" s="34"/>
    </row>
    <row r="85" spans="2:24" x14ac:dyDescent="0.2">
      <c r="B85" s="104" t="s">
        <v>125</v>
      </c>
      <c r="C85" s="34"/>
      <c r="D85" s="34"/>
      <c r="E85" s="253">
        <f>'Input data'!$C$67*E$83</f>
        <v>8.3684210076244501</v>
      </c>
      <c r="F85" s="34">
        <f t="shared" ref="F85" si="42">IF(F83=0,0,IF(F79=1,F38*E83*E90*F42/((1+F23/100)*(1+F41/100)),IF(AND(F79=0,F80=1),(F38*E83*E90*F42/((1+F23/100)*(1+F41/100)))*(1-ABS(F83-E83*F42/((1+F23/100)*(1+F41/100)))/((F38*E83*E90*F42/((1+F23/100)*(1+F41/100)))+(E89*E83*F42/((1+F23/100)*(1+F41/100))))),0)))</f>
        <v>7.6131291238171945</v>
      </c>
      <c r="G85" s="34">
        <f t="shared" ref="G85" si="43">IF(G83=0,0,IF(G79=1,G38*F83*F90*G42/((1+G23/100)*(1+G41/100)),IF(AND(G79=0,G80=1),(G38*F83*F90*G42/((1+G23/100)*(1+G41/100)))*(1-ABS(G83-F83*G42/((1+G23/100)*(1+G41/100)))/((G38*F83*F90*G42/((1+G23/100)*(1+G41/100)))+(F89*F83*G42/((1+G23/100)*(1+G41/100))))),0)))</f>
        <v>7.772030499095739</v>
      </c>
      <c r="H85" s="34">
        <f t="shared" ref="H85:W85" si="44">IF(H83=0,0,IF(H79=1,H38*G83*G90*H42/((1+H23/100)*(1+H41/100)),IF(AND(H79=0,H80=1),(H38*G83*G90*H42/((1+H23/100)*(1+H41/100)))*(1-ABS(H83-G83*H42/((1+H23/100)*(1+H41/100)))/((H38*G83*G90*H42/((1+H23/100)*(1+H41/100)))+(G89*G83*H42/((1+H23/100)*(1+H41/100))))),0)))</f>
        <v>7.8329070914089343</v>
      </c>
      <c r="I85" s="34">
        <f t="shared" si="44"/>
        <v>7.7772648000482922</v>
      </c>
      <c r="J85" s="34">
        <f t="shared" si="44"/>
        <v>7.6321614996297935</v>
      </c>
      <c r="K85" s="34">
        <f t="shared" si="44"/>
        <v>7.3318556876280692</v>
      </c>
      <c r="L85" s="34">
        <f t="shared" si="44"/>
        <v>7.0424354247100833</v>
      </c>
      <c r="M85" s="34">
        <f t="shared" si="44"/>
        <v>6.7892471983621849</v>
      </c>
      <c r="N85" s="34">
        <f t="shared" si="44"/>
        <v>6.5422854818046803</v>
      </c>
      <c r="O85" s="34">
        <f t="shared" si="44"/>
        <v>6.3000208088483811</v>
      </c>
      <c r="P85" s="34">
        <f t="shared" si="44"/>
        <v>6.067671777070994</v>
      </c>
      <c r="Q85" s="34">
        <f t="shared" si="44"/>
        <v>5.8718181666786622</v>
      </c>
      <c r="R85" s="34">
        <f t="shared" si="44"/>
        <v>5.6833915620401623</v>
      </c>
      <c r="S85" s="34">
        <f t="shared" si="44"/>
        <v>5.5005378022415581</v>
      </c>
      <c r="T85" s="34">
        <f t="shared" si="44"/>
        <v>5.3229745087596916</v>
      </c>
      <c r="U85" s="34">
        <f t="shared" si="44"/>
        <v>5.1488864752310777</v>
      </c>
      <c r="V85" s="34">
        <f t="shared" si="44"/>
        <v>4.9773906718413299</v>
      </c>
      <c r="W85" s="34">
        <f t="shared" si="44"/>
        <v>4.8109214406783769</v>
      </c>
    </row>
    <row r="86" spans="2:24" x14ac:dyDescent="0.2">
      <c r="B86" s="104" t="s">
        <v>126</v>
      </c>
      <c r="C86" s="34"/>
      <c r="D86" s="34"/>
      <c r="E86" s="253">
        <f>'Input data'!$C$68*E$83</f>
        <v>5.2995447382705345</v>
      </c>
      <c r="F86" s="34">
        <f t="shared" ref="F86" si="45">IF(F83=0,0,IF(F79=1,(1-E90)*E83*F42/((1+F23/100)*(1+F41/100)),IF(AND(F79=0,F80=1),(E89*E83*F42/((1+F23/100)*(1+F41/100)))*(1-ABS(F83-E83*F42/((1+F23/100)*(1+F41/100)))/((F38*E83*E90*F42/((1+F23/100)*(1+F41/100)))+(E89*E83*F42/((1+F23/100)*(1+F41/100))))),0)))</f>
        <v>5.4165985451724916</v>
      </c>
      <c r="G86" s="34">
        <f t="shared" ref="G86" si="46">IF(G83=0,0,IF(G79=1,(1-F90)*F83*G42/((1+G23/100)*(1+G41/100)),IF(AND(G79=0,G80=1),(F89*F83*G42/((1+G23/100)*(1+G41/100)))*(1-ABS(G83-F83*G42/((1+G23/100)*(1+G41/100)))/((G38*F83*F90*G42/((1+G23/100)*(1+G41/100)))+(F89*F83*G42/((1+G23/100)*(1+G41/100))))),0)))</f>
        <v>5.5444254320799606</v>
      </c>
      <c r="H86" s="34">
        <f t="shared" ref="H86:W86" si="47">IF(H83=0,0,IF(H79=1,(1-G90)*G83*H42/((1+H23/100)*(1+H41/100)),IF(AND(H79=0,H80=1),(G89*G83*H42/((1+H23/100)*(1+H41/100)))*(1-ABS(H83-G83*H42/((1+H23/100)*(1+H41/100)))/((H38*G83*G90*H42/((1+H23/100)*(1+H41/100)))+(G89*G83*H42/((1+H23/100)*(1+H41/100))))),0)))</f>
        <v>5.6043092884990209</v>
      </c>
      <c r="I86" s="34">
        <f t="shared" si="47"/>
        <v>5.5828888382246653</v>
      </c>
      <c r="J86" s="34">
        <f t="shared" si="47"/>
        <v>5.4984513637899308</v>
      </c>
      <c r="K86" s="34">
        <f t="shared" si="47"/>
        <v>5.3025621554593094</v>
      </c>
      <c r="L86" s="34">
        <f t="shared" si="47"/>
        <v>5.1132432143634379</v>
      </c>
      <c r="M86" s="34">
        <f t="shared" si="47"/>
        <v>4.9487810627256765</v>
      </c>
      <c r="N86" s="34">
        <f t="shared" si="47"/>
        <v>4.7875711522079598</v>
      </c>
      <c r="O86" s="34">
        <f t="shared" si="47"/>
        <v>4.6285489538528255</v>
      </c>
      <c r="P86" s="34">
        <f t="shared" si="47"/>
        <v>4.4756615616574775</v>
      </c>
      <c r="Q86" s="34">
        <f t="shared" si="47"/>
        <v>4.3309414583792893</v>
      </c>
      <c r="R86" s="34">
        <f t="shared" si="47"/>
        <v>4.1916392227034498</v>
      </c>
      <c r="S86" s="34">
        <f t="shared" si="47"/>
        <v>4.0564201489688596</v>
      </c>
      <c r="T86" s="34">
        <f t="shared" si="47"/>
        <v>3.9250973087641792</v>
      </c>
      <c r="U86" s="34">
        <f t="shared" si="47"/>
        <v>3.796360320839256</v>
      </c>
      <c r="V86" s="34">
        <f t="shared" si="47"/>
        <v>3.6695734306405074</v>
      </c>
      <c r="W86" s="34">
        <f t="shared" si="47"/>
        <v>3.5465534058220634</v>
      </c>
    </row>
    <row r="87" spans="2:24" x14ac:dyDescent="0.2">
      <c r="B87" s="104" t="s">
        <v>127</v>
      </c>
      <c r="C87" s="34"/>
      <c r="D87" s="34"/>
      <c r="E87" s="253">
        <f>'Input data'!$C$69*E$83</f>
        <v>4.0469720364863182</v>
      </c>
      <c r="F87" s="34">
        <f>IF(F83=0,0,IF(F79=1,'Input data'!$C$58*(F83-E83*F42/((1+F23/100)*(1+F41/100))),0))</f>
        <v>3.4473554021277226</v>
      </c>
      <c r="G87" s="34">
        <f>IF(G83=0,0,IF(G79=1,'Input data'!$C$58*(G83-F83*G42/((1+G23/100)*(1+G41/100))),0))</f>
        <v>2.8876068976306266</v>
      </c>
      <c r="H87" s="34">
        <f>IF(H83=0,0,IF(H79=1,'Input data'!$C$58*(H83-G83*H42/((1+H23/100)*(1+H41/100))),0))</f>
        <v>1.9124139966609757</v>
      </c>
      <c r="I87" s="34">
        <f>IF(I83=0,0,IF(I79=1,'Input data'!$C$58*(I83-H83*I42/((1+I23/100)*(1+I41/100))),0))</f>
        <v>1.0445936951518187</v>
      </c>
      <c r="J87" s="34">
        <f>IF(J83=0,0,IF(J79=1,'Input data'!$C$58*(J83-I83*J42/((1+J23/100)*(1+J41/100))),0))</f>
        <v>0.22370682570973727</v>
      </c>
      <c r="K87" s="34">
        <f>IF(K83=0,0,IF(K79=1,'Input data'!$C$58*(K83-J83*K42/((1+K23/100)*(1+K41/100))),0))</f>
        <v>0.10455060663936044</v>
      </c>
      <c r="L87" s="34">
        <f>IF(L83=0,0,IF(L79=1,'Input data'!$C$58*(L83-K83*L42/((1+L23/100)*(1+L41/100))),0))</f>
        <v>0.13813831632439225</v>
      </c>
      <c r="M87" s="34">
        <f>IF(M83=0,0,IF(M79=1,'Input data'!$C$58*(M83-L83*M42/((1+M23/100)*(1+M41/100))),0))</f>
        <v>0.13908160214374393</v>
      </c>
      <c r="N87" s="34">
        <f>IF(N83=0,0,IF(N79=1,'Input data'!$C$58*(N83-M83*N42/((1+N23/100)*(1+N41/100))),0))</f>
        <v>0.12799544733501494</v>
      </c>
      <c r="O87" s="34">
        <f>IF(O83=0,0,IF(O79=1,'Input data'!$C$58*(O83-N83*O42/((1+O23/100)*(1+O41/100))),0))</f>
        <v>7.3572714997962682E-2</v>
      </c>
      <c r="P87" s="34">
        <f>IF(P83=0,0,IF(P79=1,'Input data'!$C$58*(P83-O83*P42/((1+P23/100)*(1+P41/100))),0))</f>
        <v>0.15181166362032916</v>
      </c>
      <c r="Q87" s="34">
        <f>IF(Q83=0,0,IF(Q79=1,'Input data'!$C$58*(Q83-P83*Q42/((1+Q23/100)*(1+Q41/100))),0))</f>
        <v>0.19348612309963475</v>
      </c>
      <c r="R87" s="34">
        <f>IF(R83=0,0,IF(R79=1,'Input data'!$C$58*(R83-Q83*R42/((1+R23/100)*(1+R41/100))),0))</f>
        <v>0.21695089132794082</v>
      </c>
      <c r="S87" s="34">
        <f>IF(S83=0,0,IF(S79=1,'Input data'!$C$58*(S83-R83*S42/((1+S23/100)*(1+S41/100))),0))</f>
        <v>0.22834380712719521</v>
      </c>
      <c r="T87" s="34">
        <f>IF(T83=0,0,IF(T79=1,'Input data'!$C$58*(T83-S83*T42/((1+T23/100)*(1+T41/100))),0))</f>
        <v>0.22295824115435528</v>
      </c>
      <c r="U87" s="34">
        <f>IF(U83=0,0,IF(U79=1,'Input data'!$C$58*(U83-T83*U42/((1+U23/100)*(1+U41/100))),0))</f>
        <v>0.20789313770993406</v>
      </c>
      <c r="V87" s="34">
        <f>IF(V83=0,0,IF(V79=1,'Input data'!$C$58*(V83-U83*V42/((1+V23/100)*(1+V41/100))),0))</f>
        <v>0.17844270046536281</v>
      </c>
      <c r="W87" s="34">
        <f>IF(W83=0,0,IF(W79=1,'Input data'!$C$58*(W83-V83*W42/((1+W23/100)*(1+W41/100))),0))</f>
        <v>0.15388496926664372</v>
      </c>
    </row>
    <row r="88" spans="2:24" x14ac:dyDescent="0.2">
      <c r="B88" s="106" t="s">
        <v>128</v>
      </c>
      <c r="C88" s="49"/>
      <c r="D88" s="49"/>
      <c r="E88" s="254">
        <f>'Input data'!$C$70*E$83</f>
        <v>0.31130552588356658</v>
      </c>
      <c r="F88" s="49">
        <f>IF(F83=0,0,IF(F79=1,'Input data'!$C$57*(F83-E83*F42/((1+F23/100)*(1+F41/100))),0))</f>
        <v>0.25831964284501346</v>
      </c>
      <c r="G88" s="49">
        <f>IF(G83=0,0,IF(G79=1,'Input data'!$C$57*(G83-F83*G42/((1+G23/100)*(1+G41/100))),0))</f>
        <v>0.21637617694199801</v>
      </c>
      <c r="H88" s="49">
        <f>IF(H83=0,0,IF(H79=1,'Input data'!$C$57*(H83-G83*H42/((1+H23/100)*(1+H41/100))),0))</f>
        <v>0.14330234134965034</v>
      </c>
      <c r="I88" s="49">
        <f>IF(I83=0,0,IF(I79=1,'Input data'!$C$57*(I83-H83*I42/((1+I23/100)*(1+I41/100))),0))</f>
        <v>7.8274224375944779E-2</v>
      </c>
      <c r="J88" s="49">
        <f>IF(J83=0,0,IF(J79=1,'Input data'!$C$57*(J83-I83*J42/((1+J23/100)*(1+J41/100))),0))</f>
        <v>1.6762956115190235E-2</v>
      </c>
      <c r="K88" s="49">
        <f>IF(K83=0,0,IF(K79=1,'Input data'!$C$57*(K83-J83*K42/((1+K23/100)*(1+K41/100))),0))</f>
        <v>7.8342590815092504E-3</v>
      </c>
      <c r="L88" s="49">
        <f>IF(L83=0,0,IF(L79=1,'Input data'!$C$57*(L83-K83*L42/((1+L23/100)*(1+L41/100))),0))</f>
        <v>1.0351076803425686E-2</v>
      </c>
      <c r="M88" s="49">
        <f>IF(M83=0,0,IF(M79=1,'Input data'!$C$57*(M83-L83*M42/((1+M23/100)*(1+M41/100))),0))</f>
        <v>1.0421759755292297E-2</v>
      </c>
      <c r="N88" s="49">
        <f>IF(N83=0,0,IF(N79=1,'Input data'!$C$57*(N83-M83*N42/((1+N23/100)*(1+N41/100))),0))</f>
        <v>9.5910442598873651E-3</v>
      </c>
      <c r="O88" s="49">
        <f>IF(O83=0,0,IF(O79=1,'Input data'!$C$57*(O83-N83*O42/((1+O23/100)*(1+O41/100))),0))</f>
        <v>5.5130020681016948E-3</v>
      </c>
      <c r="P88" s="49">
        <f>IF(P83=0,0,IF(P79=1,'Input data'!$C$57*(P83-O83*P42/((1+P23/100)*(1+P41/100))),0))</f>
        <v>1.1375657613342248E-2</v>
      </c>
      <c r="Q88" s="49">
        <f>IF(Q83=0,0,IF(Q79=1,'Input data'!$C$57*(Q83-P83*Q42/((1+Q23/100)*(1+Q41/100))),0))</f>
        <v>1.4498437319144788E-2</v>
      </c>
      <c r="R88" s="49">
        <f>IF(R83=0,0,IF(R79=1,'Input data'!$C$57*(R83-Q83*R42/((1+R23/100)*(1+R41/100))),0))</f>
        <v>1.6256715721318208E-2</v>
      </c>
      <c r="S88" s="49">
        <f>IF(S83=0,0,IF(S79=1,'Input data'!$C$57*(S83-R83*S42/((1+S23/100)*(1+S41/100))),0))</f>
        <v>1.7110417645526621E-2</v>
      </c>
      <c r="T88" s="49">
        <f>IF(T83=0,0,IF(T79=1,'Input data'!$C$57*(T83-S83*T42/((1+T23/100)*(1+T41/100))),0))</f>
        <v>1.6706862654427179E-2</v>
      </c>
      <c r="U88" s="49">
        <f>IF(U83=0,0,IF(U79=1,'Input data'!$C$57*(U83-T83*U42/((1+U23/100)*(1+U41/100))),0))</f>
        <v>1.5577993800701174E-2</v>
      </c>
      <c r="V88" s="49">
        <f>IF(V83=0,0,IF(V79=1,'Input data'!$C$57*(V83-U83*V42/((1+V23/100)*(1+V41/100))),0))</f>
        <v>1.3371193067028149E-2</v>
      </c>
      <c r="W88" s="49">
        <f>IF(W83=0,0,IF(W79=1,'Input data'!$C$57*(W83-V83*W42/((1+W23/100)*(1+W41/100))),0))</f>
        <v>1.1531016000160725E-2</v>
      </c>
    </row>
    <row r="89" spans="2:24" x14ac:dyDescent="0.2">
      <c r="B89" s="26" t="s">
        <v>73</v>
      </c>
      <c r="C89" s="34"/>
      <c r="D89" s="34"/>
      <c r="E89" s="259">
        <f>'Baseline NFPC'!E$93</f>
        <v>7.1428575793291621E-2</v>
      </c>
      <c r="F89" s="34">
        <f t="shared" ref="F89:G89" si="48">IF(F83&lt;&gt;0,(F86+F88)/(F84+F85+F86+F87+F88),0)</f>
        <v>7.1348470133590011E-2</v>
      </c>
      <c r="G89" s="34">
        <f t="shared" si="48"/>
        <v>7.1285506730539017E-2</v>
      </c>
      <c r="H89" s="34">
        <f t="shared" ref="H89:W89" si="49">IF(H83&lt;&gt;0,(H86+H88)/(H84+H85+H86+H87+H88),0)</f>
        <v>7.1245339400727734E-2</v>
      </c>
      <c r="I89" s="34">
        <f t="shared" si="49"/>
        <v>7.1223638498290123E-2</v>
      </c>
      <c r="J89" s="34">
        <f t="shared" si="49"/>
        <v>7.1218935820355281E-2</v>
      </c>
      <c r="K89" s="34">
        <f t="shared" si="49"/>
        <v>7.1216660390496581E-2</v>
      </c>
      <c r="L89" s="34">
        <f t="shared" si="49"/>
        <v>7.1213549181114846E-2</v>
      </c>
      <c r="M89" s="34">
        <f t="shared" si="49"/>
        <v>7.1210319715402981E-2</v>
      </c>
      <c r="N89" s="34">
        <f t="shared" si="49"/>
        <v>7.1207254006175849E-2</v>
      </c>
      <c r="O89" s="34">
        <f t="shared" si="49"/>
        <v>7.1205433564261095E-2</v>
      </c>
      <c r="P89" s="34">
        <f t="shared" si="49"/>
        <v>7.1201559064508022E-2</v>
      </c>
      <c r="Q89" s="34">
        <f t="shared" si="49"/>
        <v>7.119647361717954E-2</v>
      </c>
      <c r="R89" s="34">
        <f t="shared" si="49"/>
        <v>7.1190605601265888E-2</v>
      </c>
      <c r="S89" s="34">
        <f t="shared" si="49"/>
        <v>7.1184251451643338E-2</v>
      </c>
      <c r="T89" s="34">
        <f t="shared" si="49"/>
        <v>7.1177867906955308E-2</v>
      </c>
      <c r="U89" s="34">
        <f t="shared" si="49"/>
        <v>7.1171740076332049E-2</v>
      </c>
      <c r="V89" s="34">
        <f t="shared" si="49"/>
        <v>7.1166319229306205E-2</v>
      </c>
      <c r="W89" s="34">
        <f t="shared" si="49"/>
        <v>7.1161498625904943E-2</v>
      </c>
    </row>
    <row r="90" spans="2:24" x14ac:dyDescent="0.2">
      <c r="B90" s="35" t="s">
        <v>74</v>
      </c>
      <c r="C90" s="49"/>
      <c r="D90" s="49"/>
      <c r="E90" s="260">
        <f>'Baseline NFPC'!E$94</f>
        <v>0.92857142420670824</v>
      </c>
      <c r="F90" s="49">
        <f t="shared" ref="F90:G90" si="50">IF(F83&lt;&gt;0,(F84+F85+F87)/(F84+F85+F86+F87+F88),1)</f>
        <v>0.92865152986641009</v>
      </c>
      <c r="G90" s="49">
        <f t="shared" si="50"/>
        <v>0.92871449326946109</v>
      </c>
      <c r="H90" s="49">
        <f t="shared" ref="H90:W90" si="51">IF(H83&lt;&gt;0,(H84+H85+H87)/(H84+H85+H86+H87+H88),1)</f>
        <v>0.92875466059927214</v>
      </c>
      <c r="I90" s="49">
        <f t="shared" si="51"/>
        <v>0.92877636150170995</v>
      </c>
      <c r="J90" s="49">
        <f t="shared" si="51"/>
        <v>0.92878106417964479</v>
      </c>
      <c r="K90" s="49">
        <f t="shared" si="51"/>
        <v>0.92878333960950343</v>
      </c>
      <c r="L90" s="49">
        <f t="shared" si="51"/>
        <v>0.92878645081888511</v>
      </c>
      <c r="M90" s="49">
        <f t="shared" si="51"/>
        <v>0.92878968028459719</v>
      </c>
      <c r="N90" s="49">
        <f t="shared" si="51"/>
        <v>0.92879274599382422</v>
      </c>
      <c r="O90" s="49">
        <f t="shared" si="51"/>
        <v>0.92879456643573888</v>
      </c>
      <c r="P90" s="49">
        <f t="shared" si="51"/>
        <v>0.92879844093549202</v>
      </c>
      <c r="Q90" s="49">
        <f t="shared" si="51"/>
        <v>0.92880352638282049</v>
      </c>
      <c r="R90" s="49">
        <f t="shared" si="51"/>
        <v>0.92880939439873411</v>
      </c>
      <c r="S90" s="49">
        <f t="shared" si="51"/>
        <v>0.92881574854835669</v>
      </c>
      <c r="T90" s="49">
        <f t="shared" si="51"/>
        <v>0.92882213209304465</v>
      </c>
      <c r="U90" s="49">
        <f t="shared" si="51"/>
        <v>0.92882825992366791</v>
      </c>
      <c r="V90" s="49">
        <f t="shared" si="51"/>
        <v>0.92883368077069384</v>
      </c>
      <c r="W90" s="49">
        <f t="shared" si="51"/>
        <v>0.92883850137409507</v>
      </c>
    </row>
    <row r="92" spans="2:24" x14ac:dyDescent="0.2">
      <c r="B92" s="112" t="s">
        <v>129</v>
      </c>
      <c r="C92" s="52">
        <f>C104</f>
        <v>1.4190647602081299</v>
      </c>
      <c r="D92" s="52">
        <f>D104</f>
        <v>1.2721904516220093</v>
      </c>
      <c r="E92" s="52">
        <f>E104</f>
        <v>1.6214711666107178</v>
      </c>
      <c r="F92" s="52">
        <f t="shared" ref="F92:G92" si="52">F94+F95</f>
        <v>1.9528080000000001</v>
      </c>
      <c r="G92" s="52">
        <f t="shared" si="52"/>
        <v>1.9344650000000001</v>
      </c>
      <c r="H92" s="52">
        <f t="shared" ref="H92:W92" si="53">H94+H95</f>
        <v>1.8809861130955123</v>
      </c>
      <c r="I92" s="52">
        <f t="shared" si="53"/>
        <v>2.0239034219102687</v>
      </c>
      <c r="J92" s="52">
        <f t="shared" si="53"/>
        <v>2.1462506647711721</v>
      </c>
      <c r="K92" s="52">
        <f t="shared" si="53"/>
        <v>2.2522010843711691</v>
      </c>
      <c r="L92" s="52">
        <f t="shared" si="53"/>
        <v>2.3519406338626387</v>
      </c>
      <c r="M92" s="52">
        <f t="shared" si="53"/>
        <v>2.4478959805914182</v>
      </c>
      <c r="N92" s="52">
        <f t="shared" si="53"/>
        <v>2.5401265172092549</v>
      </c>
      <c r="O92" s="52">
        <f t="shared" si="53"/>
        <v>2.6289214238336416</v>
      </c>
      <c r="P92" s="52">
        <f t="shared" si="53"/>
        <v>2.714186405224178</v>
      </c>
      <c r="Q92" s="52">
        <f t="shared" si="53"/>
        <v>2.7860760777575049</v>
      </c>
      <c r="R92" s="52">
        <f t="shared" si="53"/>
        <v>2.8533054074019586</v>
      </c>
      <c r="S92" s="52">
        <f t="shared" si="53"/>
        <v>2.9161530413428682</v>
      </c>
      <c r="T92" s="52">
        <f t="shared" si="53"/>
        <v>2.9749511784533786</v>
      </c>
      <c r="U92" s="52">
        <f t="shared" si="53"/>
        <v>3.0299673818422721</v>
      </c>
      <c r="V92" s="52">
        <f t="shared" si="53"/>
        <v>3.0815199536058477</v>
      </c>
      <c r="W92" s="52">
        <f t="shared" si="53"/>
        <v>3.1298580290755829</v>
      </c>
    </row>
    <row r="93" spans="2:24" x14ac:dyDescent="0.2">
      <c r="B93" s="33" t="s">
        <v>130</v>
      </c>
      <c r="C93" s="96"/>
      <c r="D93" s="96"/>
      <c r="E93" s="96"/>
      <c r="F93" s="265">
        <f t="shared" ref="F93:G93" si="54">((F35*E83)-(F37*(E86+E88)))/(E84+E85+E87)</f>
        <v>1.8315432870429942</v>
      </c>
      <c r="G93" s="265">
        <f t="shared" si="54"/>
        <v>1.9243399338862257</v>
      </c>
      <c r="H93" s="34">
        <f>IF(G83&gt;0,(G93*G84+
('Baseline NFPC'!H$97*(G84+G85+G87)-'Baseline NFPC'!G$97*G84)/(G85+G87)
*(G87+G85))/(G84+G85+G87),H36)</f>
        <v>1.8721771606223445</v>
      </c>
      <c r="I93" s="34">
        <f t="shared" ref="I93:W93" si="55">IF(H83&gt;0,(H93*H84+I36*(H87+H85))/(H84+H85+H87),I36)</f>
        <v>2.0196550671025473</v>
      </c>
      <c r="J93" s="34">
        <f t="shared" si="55"/>
        <v>2.1449800377489825</v>
      </c>
      <c r="K93" s="34">
        <f t="shared" si="55"/>
        <v>2.2526493621447883</v>
      </c>
      <c r="L93" s="34">
        <f t="shared" si="55"/>
        <v>2.353631418393562</v>
      </c>
      <c r="M93" s="34">
        <f t="shared" si="55"/>
        <v>2.450539000275334</v>
      </c>
      <c r="N93" s="34">
        <f>IF(M83&gt;0,(M93*M84+N36*(M87+M85))/(M84+M85+M87),N36)</f>
        <v>2.5434360947774826</v>
      </c>
      <c r="O93" s="34">
        <f>IF(N83&gt;0,(N93*N84+O36*(N87+N85))/(N84+N85+N87),O36)</f>
        <v>2.6326341064287697</v>
      </c>
      <c r="P93" s="34">
        <f t="shared" si="55"/>
        <v>2.7180316135286557</v>
      </c>
      <c r="Q93" s="34">
        <f t="shared" si="55"/>
        <v>2.7979773354363928</v>
      </c>
      <c r="R93" s="34">
        <f t="shared" si="55"/>
        <v>2.8729041712632113</v>
      </c>
      <c r="S93" s="34">
        <f t="shared" si="55"/>
        <v>2.943111959745123</v>
      </c>
      <c r="T93" s="34">
        <f t="shared" si="55"/>
        <v>3.0089583398266861</v>
      </c>
      <c r="U93" s="34">
        <f t="shared" si="55"/>
        <v>3.0707315940905624</v>
      </c>
      <c r="V93" s="34">
        <f t="shared" si="55"/>
        <v>3.1287746932872058</v>
      </c>
      <c r="W93" s="34">
        <f t="shared" si="55"/>
        <v>3.1833563755364511</v>
      </c>
    </row>
    <row r="94" spans="2:24" x14ac:dyDescent="0.2">
      <c r="B94" s="26" t="s">
        <v>131</v>
      </c>
      <c r="C94" s="96"/>
      <c r="D94" s="96"/>
      <c r="E94" s="34"/>
      <c r="F94" s="34">
        <f t="shared" ref="F94" si="56">(F93*(E84+E85+E87)+F37*(E86+E88))/E83</f>
        <v>1.9528080000000001</v>
      </c>
      <c r="G94" s="34">
        <f>(G93*(F84+F85+F87)+G37*(F86+F88))/F83</f>
        <v>1.9344650000000001</v>
      </c>
      <c r="H94" s="34">
        <f t="shared" ref="H94:W94" si="57">(H93*(G84+G85+G87)+H37*(G86+G88))/G83</f>
        <v>1.8809861130955123</v>
      </c>
      <c r="I94" s="34">
        <f t="shared" si="57"/>
        <v>2.0239034219102687</v>
      </c>
      <c r="J94" s="34">
        <f t="shared" si="57"/>
        <v>2.1462506647711721</v>
      </c>
      <c r="K94" s="34">
        <f t="shared" si="57"/>
        <v>2.2522010843711691</v>
      </c>
      <c r="L94" s="34">
        <f t="shared" si="57"/>
        <v>2.3519406338626387</v>
      </c>
      <c r="M94" s="34">
        <f t="shared" si="57"/>
        <v>2.4478959805914182</v>
      </c>
      <c r="N94" s="34">
        <f>(N93*(M84+M85+M87)+N37*(M86+M88))/M83</f>
        <v>2.5401265172092549</v>
      </c>
      <c r="O94" s="34">
        <f>(O93*(N84+N85+N87)+O37*(N86+N88))/N83</f>
        <v>2.6289214238336416</v>
      </c>
      <c r="P94" s="34">
        <f t="shared" si="57"/>
        <v>2.714186405224178</v>
      </c>
      <c r="Q94" s="34">
        <f t="shared" si="57"/>
        <v>2.7860760777575049</v>
      </c>
      <c r="R94" s="34">
        <f t="shared" si="57"/>
        <v>2.8533054074019586</v>
      </c>
      <c r="S94" s="34">
        <f t="shared" si="57"/>
        <v>2.9161530413428682</v>
      </c>
      <c r="T94" s="34">
        <f t="shared" si="57"/>
        <v>2.9749511784533786</v>
      </c>
      <c r="U94" s="34">
        <f t="shared" si="57"/>
        <v>3.0299673818422721</v>
      </c>
      <c r="V94" s="34">
        <f t="shared" si="57"/>
        <v>3.0815199536058477</v>
      </c>
      <c r="W94" s="34">
        <f t="shared" si="57"/>
        <v>3.1298580290755829</v>
      </c>
    </row>
    <row r="95" spans="2:24" x14ac:dyDescent="0.2">
      <c r="B95" s="35" t="s">
        <v>132</v>
      </c>
      <c r="C95" s="35"/>
      <c r="D95" s="35"/>
      <c r="E95" s="49"/>
      <c r="F95" s="49">
        <f>IF('Criteria results'!$F$5=4,F105,F110)</f>
        <v>0</v>
      </c>
      <c r="G95" s="49">
        <f>IF('Criteria results'!$F$5=4,G105,G110)</f>
        <v>0</v>
      </c>
      <c r="H95" s="49">
        <f>IF('Criteria results'!$F$5=4,H105,H110)</f>
        <v>0</v>
      </c>
      <c r="I95" s="49">
        <f>IF('Criteria results'!$F$5=4,I105,I110)</f>
        <v>0</v>
      </c>
      <c r="J95" s="49">
        <f>IF('Criteria results'!$F$5=4,J105,J110)</f>
        <v>0</v>
      </c>
      <c r="K95" s="49">
        <f>IF('Criteria results'!$F$5=4,K105,K110)</f>
        <v>0</v>
      </c>
      <c r="L95" s="49">
        <f>IF('Criteria results'!$F$5=4,L105,L110)</f>
        <v>0</v>
      </c>
      <c r="M95" s="49">
        <f>IF('Criteria results'!$F$5=4,M105,M110)</f>
        <v>0</v>
      </c>
      <c r="N95" s="49">
        <f>IF('Criteria results'!$F$5=4,N105,N110)</f>
        <v>0</v>
      </c>
      <c r="O95" s="49">
        <f>IF('Criteria results'!$F$5=4,O105,O110)</f>
        <v>0</v>
      </c>
      <c r="P95" s="49">
        <f>IF('Criteria results'!$F$5=4,P105,P110)</f>
        <v>0</v>
      </c>
      <c r="Q95" s="49">
        <f>IF('Criteria results'!$F$5=4,Q105,Q110)</f>
        <v>0</v>
      </c>
      <c r="R95" s="49">
        <f>IF('Criteria results'!$F$5=4,R105,R110)</f>
        <v>0</v>
      </c>
      <c r="S95" s="49">
        <f>IF('Criteria results'!$F$5=4,S105,S110)</f>
        <v>0</v>
      </c>
      <c r="T95" s="49">
        <f>IF('Criteria results'!$F$5=4,T105,T110)</f>
        <v>0</v>
      </c>
      <c r="U95" s="49">
        <f>IF('Criteria results'!$F$5=4,U105,U110)</f>
        <v>0</v>
      </c>
      <c r="V95" s="49">
        <f>IF('Criteria results'!$F$5=4,V105,V110)</f>
        <v>0</v>
      </c>
      <c r="W95" s="49">
        <f>IF('Criteria results'!$F$5=4,W105,W110)</f>
        <v>0</v>
      </c>
    </row>
    <row r="96" spans="2:24" x14ac:dyDescent="0.2">
      <c r="G96" s="97"/>
      <c r="H96" s="97"/>
      <c r="I96" s="97"/>
      <c r="J96" s="97"/>
      <c r="K96" s="97"/>
      <c r="L96" s="97"/>
      <c r="M96" s="97"/>
      <c r="N96" s="97"/>
      <c r="O96" s="97"/>
      <c r="P96" s="97"/>
      <c r="Q96" s="97"/>
      <c r="R96" s="97"/>
      <c r="S96" s="97"/>
      <c r="T96" s="97"/>
      <c r="U96" s="97"/>
      <c r="V96" s="97"/>
      <c r="W96" s="97"/>
    </row>
    <row r="97" spans="1:54" x14ac:dyDescent="0.2">
      <c r="B97" s="112" t="s">
        <v>181</v>
      </c>
      <c r="C97" s="52">
        <f t="shared" ref="C97:T97" si="58">((1+C92/100)/((1+C23/100)*(1+C41/100))-1)*100</f>
        <v>-5.0506237666782745</v>
      </c>
      <c r="D97" s="52">
        <f t="shared" si="58"/>
        <v>-8.1711448349229059</v>
      </c>
      <c r="E97" s="52">
        <f t="shared" si="58"/>
        <v>-3.794155362881857</v>
      </c>
      <c r="F97" s="52">
        <f t="shared" si="58"/>
        <v>-1.5755368351901722</v>
      </c>
      <c r="G97" s="52">
        <f>((1+G92/100)/((1+G23/100)*(1+G41/100))-1)*100</f>
        <v>-0.40998026742823379</v>
      </c>
      <c r="H97" s="52">
        <f t="shared" si="58"/>
        <v>-0.8866134357300326</v>
      </c>
      <c r="I97" s="52">
        <f t="shared" si="58"/>
        <v>-0.90003494872706868</v>
      </c>
      <c r="J97" s="52">
        <f t="shared" si="58"/>
        <v>-0.78961071018289752</v>
      </c>
      <c r="K97" s="52">
        <f t="shared" si="58"/>
        <v>-1.6903749641174581</v>
      </c>
      <c r="L97" s="52">
        <f t="shared" si="58"/>
        <v>-1.4479663909834573</v>
      </c>
      <c r="M97" s="52">
        <f t="shared" si="58"/>
        <v>-1.0475500726314646</v>
      </c>
      <c r="N97" s="52">
        <f t="shared" si="58"/>
        <v>-1.0086561831822438</v>
      </c>
      <c r="O97" s="52">
        <f t="shared" si="58"/>
        <v>-0.97833522471074685</v>
      </c>
      <c r="P97" s="52">
        <f t="shared" si="58"/>
        <v>-0.79676527772624128</v>
      </c>
      <c r="Q97" s="52">
        <f t="shared" si="58"/>
        <v>-0.78966220350848992</v>
      </c>
      <c r="R97" s="52">
        <f t="shared" si="58"/>
        <v>-0.78704124819810595</v>
      </c>
      <c r="S97" s="52">
        <f t="shared" si="58"/>
        <v>-0.78862144876449269</v>
      </c>
      <c r="T97" s="52">
        <f t="shared" si="58"/>
        <v>-0.77729941361408539</v>
      </c>
      <c r="U97" s="52">
        <f>((1+U92/100)/((1+U23/100)*(1+U41/100))-1)*100</f>
        <v>-0.77161040574408313</v>
      </c>
      <c r="V97" s="52">
        <f t="shared" ref="V97:W97" si="59">((1+V92/100)/((1+V23/100)*(1+V41/100))-1)*100</f>
        <v>-0.76827703138770964</v>
      </c>
      <c r="W97" s="52">
        <f t="shared" si="59"/>
        <v>-0.68937043458273672</v>
      </c>
    </row>
    <row r="99" spans="1:54" x14ac:dyDescent="0.2">
      <c r="B99" s="396"/>
      <c r="C99" s="396"/>
      <c r="D99" s="396"/>
      <c r="E99" s="396"/>
      <c r="F99" s="397"/>
      <c r="G99" s="398"/>
      <c r="H99" s="398"/>
    </row>
    <row r="100" spans="1:54" s="25" customFormat="1" ht="13.2" outlineLevel="1" x14ac:dyDescent="0.25">
      <c r="B100" s="25" t="s">
        <v>133</v>
      </c>
      <c r="C100" s="111"/>
      <c r="D100" s="111"/>
      <c r="E100" s="111"/>
      <c r="F100" s="111"/>
      <c r="G100" s="111"/>
      <c r="H100" s="111"/>
      <c r="I100" s="111"/>
      <c r="J100" s="111"/>
      <c r="K100" s="111"/>
      <c r="L100" s="111"/>
      <c r="M100" s="111"/>
      <c r="N100" s="111"/>
      <c r="O100" s="111"/>
      <c r="P100" s="111"/>
      <c r="Q100" s="111"/>
      <c r="R100" s="111"/>
      <c r="S100" s="111"/>
      <c r="T100" s="111"/>
      <c r="U100" s="111"/>
      <c r="V100" s="111"/>
      <c r="W100" s="111"/>
    </row>
    <row r="101" spans="1:54" s="126" customFormat="1" ht="13.2" outlineLevel="1" x14ac:dyDescent="0.25">
      <c r="C101" s="127"/>
      <c r="D101" s="127"/>
      <c r="E101" s="127"/>
      <c r="F101" s="127"/>
      <c r="G101" s="127"/>
      <c r="H101" s="127"/>
      <c r="I101" s="127"/>
      <c r="J101" s="127"/>
      <c r="K101" s="127"/>
      <c r="L101" s="127"/>
      <c r="M101" s="127"/>
      <c r="N101" s="127"/>
      <c r="O101" s="127"/>
      <c r="P101" s="127"/>
      <c r="Q101" s="127"/>
      <c r="R101" s="127"/>
      <c r="S101" s="127"/>
      <c r="T101" s="127"/>
      <c r="U101" s="127"/>
      <c r="V101" s="127"/>
      <c r="W101" s="127"/>
    </row>
    <row r="102" spans="1:54" s="126" customFormat="1" ht="13.2" outlineLevel="1" x14ac:dyDescent="0.25">
      <c r="B102" s="105" t="s">
        <v>294</v>
      </c>
      <c r="C102" s="128"/>
      <c r="D102" s="128"/>
      <c r="E102" s="128"/>
      <c r="F102" s="128"/>
      <c r="G102" s="128"/>
      <c r="H102" s="128"/>
      <c r="I102" s="128"/>
      <c r="J102" s="128"/>
      <c r="K102" s="128"/>
      <c r="L102" s="128"/>
      <c r="M102" s="128"/>
      <c r="N102" s="128"/>
      <c r="O102" s="128"/>
      <c r="P102" s="128"/>
      <c r="Q102" s="128"/>
      <c r="R102" s="128"/>
      <c r="S102" s="128"/>
      <c r="T102" s="128"/>
      <c r="U102" s="128"/>
      <c r="V102" s="128"/>
      <c r="W102" s="128"/>
    </row>
    <row r="103" spans="1:54" outlineLevel="1" x14ac:dyDescent="0.2">
      <c r="B103" s="119" t="s">
        <v>43</v>
      </c>
      <c r="C103" s="34">
        <v>82.39459228515625</v>
      </c>
      <c r="D103" s="34">
        <v>78.375633239746094</v>
      </c>
      <c r="E103" s="34">
        <v>78.551918029785156</v>
      </c>
      <c r="F103" s="34">
        <v>79.538070678710938</v>
      </c>
      <c r="G103" s="34">
        <v>80.808403015136719</v>
      </c>
      <c r="H103" s="34">
        <v>81.055084228515625</v>
      </c>
      <c r="I103" s="34">
        <v>80.65228271484375</v>
      </c>
      <c r="J103" s="34">
        <v>79.802009582519531</v>
      </c>
      <c r="K103" s="34">
        <v>78.50732421875</v>
      </c>
      <c r="L103" s="34">
        <v>77.481201171875</v>
      </c>
      <c r="M103" s="34">
        <v>76.794876098632813</v>
      </c>
      <c r="N103" s="34">
        <v>76.195274353027344</v>
      </c>
      <c r="O103" s="34">
        <v>75.632965087890625</v>
      </c>
      <c r="P103" s="34">
        <v>75.223991394042969</v>
      </c>
      <c r="Q103" s="34">
        <v>74.884147644042969</v>
      </c>
      <c r="R103" s="34">
        <v>74.592124938964844</v>
      </c>
      <c r="S103" s="34">
        <v>74.333877563476563</v>
      </c>
      <c r="T103" s="34">
        <v>74.102874755859375</v>
      </c>
      <c r="U103" s="34">
        <v>73.886741638183594</v>
      </c>
      <c r="V103" s="34">
        <v>73.670562744140625</v>
      </c>
      <c r="W103" s="34">
        <v>73.51678466796875</v>
      </c>
      <c r="X103" s="34"/>
      <c r="Y103" s="34"/>
      <c r="Z103" s="34"/>
    </row>
    <row r="104" spans="1:54" s="5" customFormat="1" ht="13.2" x14ac:dyDescent="0.25">
      <c r="A104" s="26"/>
      <c r="B104" s="26" t="s">
        <v>129</v>
      </c>
      <c r="C104" s="1">
        <v>1.4190647602081299</v>
      </c>
      <c r="D104" s="1">
        <v>1.2721904516220093</v>
      </c>
      <c r="E104" s="1">
        <v>1.6214711666107178</v>
      </c>
      <c r="F104" s="1">
        <v>1.9528083801269531</v>
      </c>
      <c r="G104" s="1">
        <v>1.9344645738601685</v>
      </c>
      <c r="H104" s="1">
        <v>1.8831226825714111</v>
      </c>
      <c r="I104" s="1">
        <v>2.0319912433624268</v>
      </c>
      <c r="J104" s="1">
        <v>2.16288161277771</v>
      </c>
      <c r="K104" s="1">
        <v>2.2800264358520508</v>
      </c>
      <c r="L104" s="1">
        <v>2.3909728527069092</v>
      </c>
      <c r="M104" s="1">
        <v>2.4975423812866211</v>
      </c>
      <c r="N104" s="1">
        <v>2.599545955657959</v>
      </c>
      <c r="O104" s="1">
        <v>2.6973950862884521</v>
      </c>
      <c r="P104" s="1">
        <v>2.7914865016937256</v>
      </c>
      <c r="Q104" s="1">
        <v>2.8698890209197998</v>
      </c>
      <c r="R104" s="1">
        <v>2.9419255256652832</v>
      </c>
      <c r="S104" s="1">
        <v>3.0081703662872314</v>
      </c>
      <c r="T104" s="1">
        <v>3.0692155361175537</v>
      </c>
      <c r="U104" s="98">
        <v>3.1255829334259033</v>
      </c>
      <c r="V104" s="98">
        <v>3.1777994632720947</v>
      </c>
      <c r="W104" s="98">
        <v>3.226318359375</v>
      </c>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row>
    <row r="105" spans="1:54" s="5" customFormat="1" ht="13.2" x14ac:dyDescent="0.25">
      <c r="B105" s="26" t="s">
        <v>180</v>
      </c>
      <c r="C105" s="1"/>
      <c r="D105" s="1"/>
      <c r="E105" s="1"/>
      <c r="F105" s="1"/>
      <c r="G105" s="1">
        <v>0</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3.2" x14ac:dyDescent="0.25">
      <c r="B106" s="2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3.2" x14ac:dyDescent="0.25">
      <c r="B107" s="105" t="s">
        <v>295</v>
      </c>
      <c r="C107" s="37"/>
      <c r="D107" s="37"/>
      <c r="E107" s="37"/>
      <c r="F107" s="37"/>
      <c r="G107" s="37"/>
      <c r="H107" s="37"/>
      <c r="I107" s="37"/>
      <c r="J107" s="37"/>
      <c r="K107" s="37"/>
      <c r="L107" s="37"/>
      <c r="M107" s="37"/>
      <c r="N107" s="37"/>
      <c r="O107" s="37"/>
      <c r="P107" s="37"/>
      <c r="Q107" s="37"/>
      <c r="R107" s="37"/>
      <c r="S107" s="37"/>
      <c r="T107" s="37"/>
      <c r="U107" s="37"/>
      <c r="V107" s="37"/>
      <c r="W107" s="37"/>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outlineLevel="1" x14ac:dyDescent="0.2">
      <c r="B108" s="119" t="s">
        <v>43</v>
      </c>
      <c r="C108" s="34">
        <v>82.39459228515625</v>
      </c>
      <c r="D108" s="34">
        <v>78.375633239746094</v>
      </c>
      <c r="E108" s="34">
        <v>78.551918029785156</v>
      </c>
      <c r="F108" s="34">
        <v>79.538070678710938</v>
      </c>
      <c r="G108" s="34">
        <v>80.806404113769531</v>
      </c>
      <c r="H108" s="34">
        <v>81.272010803222656</v>
      </c>
      <c r="I108" s="34">
        <v>81.315498352050781</v>
      </c>
      <c r="J108" s="34">
        <v>81.143211364746094</v>
      </c>
      <c r="K108" s="34">
        <v>80.666961669921875</v>
      </c>
      <c r="L108" s="34">
        <v>79.838478088378906</v>
      </c>
      <c r="M108" s="34">
        <v>78.7188720703125</v>
      </c>
      <c r="N108" s="34">
        <v>77.417007446289063</v>
      </c>
      <c r="O108" s="34">
        <v>76.40814208984375</v>
      </c>
      <c r="P108" s="34">
        <v>75.695068359375</v>
      </c>
      <c r="Q108" s="34">
        <v>75.04595947265625</v>
      </c>
      <c r="R108" s="34">
        <v>74.439796447753906</v>
      </c>
      <c r="S108" s="34">
        <v>73.876274108886719</v>
      </c>
      <c r="T108" s="34">
        <v>73.34130859375</v>
      </c>
      <c r="U108" s="34">
        <v>72.822685241699219</v>
      </c>
      <c r="V108" s="34">
        <v>72.305648803710938</v>
      </c>
      <c r="W108" s="34">
        <v>71.851699829101563</v>
      </c>
      <c r="X108" s="34"/>
      <c r="Y108" s="34"/>
      <c r="Z108" s="34"/>
    </row>
    <row r="109" spans="1:54" x14ac:dyDescent="0.2">
      <c r="B109" s="26" t="s">
        <v>129</v>
      </c>
      <c r="C109" s="1">
        <v>1.4190647602081299</v>
      </c>
      <c r="D109" s="1">
        <v>1.2721904516220093</v>
      </c>
      <c r="E109" s="1">
        <v>1.6214711666107178</v>
      </c>
      <c r="F109" s="1">
        <v>1.9528083801269531</v>
      </c>
      <c r="G109" s="1">
        <v>1.9344645738601685</v>
      </c>
      <c r="H109" s="1">
        <v>1.8826382160186768</v>
      </c>
      <c r="I109" s="1">
        <v>2.0350871086120605</v>
      </c>
      <c r="J109" s="1">
        <v>2.1708476543426514</v>
      </c>
      <c r="K109" s="1">
        <v>2.2940125465393066</v>
      </c>
      <c r="L109" s="1">
        <v>2.4067330360412598</v>
      </c>
      <c r="M109" s="1">
        <v>2.5106868743896484</v>
      </c>
      <c r="N109" s="1">
        <v>2.6071929931640625</v>
      </c>
      <c r="O109" s="1">
        <v>2.7007277011871338</v>
      </c>
      <c r="P109" s="1">
        <v>2.7921862602233887</v>
      </c>
      <c r="Q109" s="1">
        <v>2.8684103488922119</v>
      </c>
      <c r="R109" s="1">
        <v>2.9386677742004395</v>
      </c>
      <c r="S109" s="1">
        <v>3.0034797191619873</v>
      </c>
      <c r="T109" s="1">
        <v>3.0634207725524902</v>
      </c>
      <c r="U109" s="1">
        <v>3.1189570426940918</v>
      </c>
      <c r="V109" s="1">
        <v>3.170565128326416</v>
      </c>
      <c r="W109" s="1">
        <v>3.2186553478240967</v>
      </c>
      <c r="X109" s="1"/>
      <c r="Y109" s="1"/>
      <c r="Z109" s="1"/>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60"/>
    </row>
    <row r="110" spans="1:54" x14ac:dyDescent="0.2">
      <c r="B110" s="26" t="s">
        <v>180</v>
      </c>
      <c r="C110" s="34"/>
      <c r="D110" s="34"/>
      <c r="E110" s="34"/>
      <c r="F110" s="34"/>
      <c r="G110" s="34">
        <v>0</v>
      </c>
      <c r="H110" s="34">
        <v>0</v>
      </c>
      <c r="I110" s="34">
        <v>0</v>
      </c>
      <c r="J110" s="34">
        <v>0</v>
      </c>
      <c r="K110" s="34">
        <v>0</v>
      </c>
      <c r="L110" s="34">
        <v>0</v>
      </c>
      <c r="M110" s="34">
        <v>0</v>
      </c>
      <c r="N110" s="34">
        <v>0</v>
      </c>
      <c r="O110" s="34">
        <v>0</v>
      </c>
      <c r="P110" s="34">
        <v>0</v>
      </c>
      <c r="Q110" s="34">
        <v>0</v>
      </c>
      <c r="R110" s="34">
        <v>0</v>
      </c>
      <c r="S110" s="34">
        <v>0</v>
      </c>
      <c r="T110" s="34">
        <v>0</v>
      </c>
      <c r="U110" s="34">
        <v>0</v>
      </c>
      <c r="V110" s="34">
        <v>0</v>
      </c>
      <c r="W110" s="34">
        <v>0</v>
      </c>
    </row>
    <row r="114" spans="5:23" x14ac:dyDescent="0.2">
      <c r="E114" s="34"/>
      <c r="F114" s="34"/>
      <c r="G114" s="120"/>
      <c r="H114" s="120"/>
      <c r="I114" s="120"/>
      <c r="J114" s="120"/>
      <c r="K114" s="120"/>
      <c r="L114" s="120"/>
      <c r="M114" s="120"/>
      <c r="N114" s="120"/>
      <c r="O114" s="120"/>
      <c r="P114" s="120"/>
      <c r="Q114" s="120"/>
      <c r="R114" s="120"/>
      <c r="S114" s="120"/>
      <c r="T114" s="120"/>
      <c r="U114" s="120"/>
      <c r="V114" s="120"/>
      <c r="W114" s="120"/>
    </row>
    <row r="115" spans="5:23" x14ac:dyDescent="0.2">
      <c r="E115" s="34"/>
      <c r="F115" s="34"/>
      <c r="G115" s="120"/>
      <c r="H115" s="120"/>
      <c r="I115" s="120"/>
      <c r="J115" s="120"/>
      <c r="K115" s="120"/>
      <c r="L115" s="120"/>
      <c r="M115" s="120"/>
      <c r="N115" s="120"/>
      <c r="O115" s="120"/>
      <c r="P115" s="120"/>
      <c r="Q115" s="120"/>
      <c r="R115" s="120"/>
      <c r="S115" s="120"/>
      <c r="T115" s="120"/>
      <c r="U115" s="120"/>
      <c r="V115" s="120"/>
      <c r="W115" s="120"/>
    </row>
    <row r="117" spans="5:23" x14ac:dyDescent="0.2">
      <c r="E117" s="34"/>
      <c r="F117" s="34"/>
      <c r="G117" s="120"/>
      <c r="H117" s="120"/>
      <c r="I117" s="120"/>
      <c r="J117" s="120"/>
      <c r="K117" s="120"/>
      <c r="L117" s="120"/>
      <c r="M117" s="120"/>
      <c r="N117" s="120"/>
      <c r="O117" s="120"/>
      <c r="P117" s="120"/>
      <c r="Q117" s="120"/>
      <c r="R117" s="120"/>
      <c r="S117" s="120"/>
      <c r="T117" s="120"/>
      <c r="U117" s="120"/>
      <c r="V117" s="120"/>
      <c r="W117" s="120"/>
    </row>
    <row r="118" spans="5:23" x14ac:dyDescent="0.2">
      <c r="E118" s="34"/>
      <c r="F118" s="34"/>
      <c r="G118" s="120"/>
      <c r="H118" s="120"/>
      <c r="I118" s="120"/>
      <c r="J118" s="120"/>
      <c r="K118" s="120"/>
      <c r="L118" s="120"/>
      <c r="M118" s="120"/>
      <c r="N118" s="120"/>
      <c r="O118" s="120"/>
      <c r="P118" s="120"/>
      <c r="Q118" s="120"/>
      <c r="R118" s="120"/>
      <c r="S118" s="120"/>
      <c r="T118" s="120"/>
      <c r="U118" s="120"/>
      <c r="V118" s="120"/>
      <c r="W118" s="120"/>
    </row>
    <row r="119" spans="5:23" x14ac:dyDescent="0.2">
      <c r="G119" s="53"/>
      <c r="H119" s="53"/>
      <c r="I119" s="53"/>
      <c r="J119" s="53"/>
      <c r="K119" s="53"/>
      <c r="L119" s="53"/>
      <c r="M119" s="53"/>
      <c r="N119" s="53"/>
      <c r="O119" s="53"/>
      <c r="P119" s="53"/>
      <c r="Q119" s="53"/>
      <c r="R119" s="53"/>
      <c r="S119" s="53"/>
      <c r="T119" s="53"/>
      <c r="U119" s="53"/>
      <c r="V119" s="53"/>
      <c r="W119" s="53"/>
    </row>
    <row r="120" spans="5:23" x14ac:dyDescent="0.2">
      <c r="E120" s="34"/>
      <c r="F120" s="34"/>
      <c r="G120" s="120"/>
      <c r="H120" s="120"/>
      <c r="I120" s="120"/>
      <c r="J120" s="120"/>
      <c r="K120" s="120"/>
      <c r="L120" s="120"/>
      <c r="M120" s="120"/>
      <c r="N120" s="120"/>
      <c r="O120" s="120"/>
      <c r="P120" s="120"/>
      <c r="Q120" s="120"/>
      <c r="R120" s="120"/>
      <c r="S120" s="120"/>
      <c r="T120" s="120"/>
      <c r="U120" s="120"/>
      <c r="V120" s="120"/>
      <c r="W120" s="120"/>
    </row>
    <row r="121" spans="5:23" x14ac:dyDescent="0.2">
      <c r="E121" s="34"/>
      <c r="F121" s="34"/>
      <c r="G121" s="120"/>
      <c r="H121" s="120"/>
      <c r="I121" s="120"/>
      <c r="J121" s="120"/>
      <c r="K121" s="120"/>
      <c r="L121" s="120"/>
      <c r="M121" s="120"/>
      <c r="N121" s="120"/>
      <c r="O121" s="120"/>
      <c r="P121" s="120"/>
      <c r="Q121" s="120"/>
      <c r="R121" s="120"/>
      <c r="S121" s="120"/>
      <c r="T121" s="120"/>
      <c r="U121" s="120"/>
      <c r="V121" s="120"/>
      <c r="W121" s="120"/>
    </row>
    <row r="122" spans="5:23" x14ac:dyDescent="0.2">
      <c r="G122" s="53"/>
      <c r="H122" s="53"/>
      <c r="I122" s="53"/>
      <c r="J122" s="53"/>
      <c r="K122" s="53"/>
      <c r="L122" s="53"/>
      <c r="M122" s="53"/>
      <c r="N122" s="53"/>
      <c r="O122" s="53"/>
      <c r="P122" s="53"/>
      <c r="Q122" s="53"/>
      <c r="R122" s="53"/>
      <c r="S122" s="53"/>
      <c r="T122" s="53"/>
      <c r="U122" s="53"/>
      <c r="V122" s="53"/>
      <c r="W122" s="53"/>
    </row>
    <row r="123" spans="5:23" x14ac:dyDescent="0.2">
      <c r="E123" s="34"/>
      <c r="F123" s="34"/>
      <c r="G123" s="120"/>
      <c r="H123" s="120"/>
      <c r="I123" s="120"/>
      <c r="J123" s="120"/>
      <c r="K123" s="120"/>
      <c r="L123" s="120"/>
      <c r="M123" s="120"/>
      <c r="N123" s="120"/>
      <c r="O123" s="120"/>
      <c r="P123" s="120"/>
      <c r="Q123" s="120"/>
      <c r="R123" s="120"/>
      <c r="S123" s="120"/>
      <c r="T123" s="120"/>
      <c r="U123" s="120"/>
      <c r="V123" s="120"/>
      <c r="W123" s="120"/>
    </row>
    <row r="124" spans="5:23" x14ac:dyDescent="0.2">
      <c r="E124" s="34"/>
      <c r="F124" s="34"/>
      <c r="G124" s="120"/>
      <c r="H124" s="120"/>
      <c r="I124" s="120"/>
      <c r="J124" s="120"/>
      <c r="K124" s="120"/>
      <c r="L124" s="120"/>
      <c r="M124" s="120"/>
      <c r="N124" s="120"/>
      <c r="O124" s="120"/>
      <c r="P124" s="120"/>
      <c r="Q124" s="120"/>
      <c r="R124" s="120"/>
      <c r="S124" s="120"/>
      <c r="T124" s="120"/>
      <c r="U124" s="120"/>
      <c r="V124" s="120"/>
      <c r="W124" s="120"/>
    </row>
    <row r="125" spans="5:23" x14ac:dyDescent="0.2">
      <c r="G125" s="120"/>
      <c r="H125" s="120"/>
      <c r="I125" s="120"/>
      <c r="J125" s="120"/>
      <c r="K125" s="120"/>
      <c r="L125" s="120"/>
      <c r="M125" s="120"/>
      <c r="N125" s="120"/>
      <c r="O125" s="120"/>
      <c r="P125" s="120"/>
      <c r="Q125" s="120"/>
      <c r="R125" s="120"/>
      <c r="S125" s="120"/>
      <c r="T125" s="120"/>
      <c r="U125" s="120"/>
      <c r="V125" s="120"/>
      <c r="W125" s="120"/>
    </row>
    <row r="126" spans="5:23" x14ac:dyDescent="0.2">
      <c r="E126" s="34"/>
      <c r="F126" s="34"/>
      <c r="G126" s="120"/>
      <c r="H126" s="120"/>
      <c r="I126" s="120"/>
      <c r="J126" s="120"/>
      <c r="K126" s="120"/>
      <c r="L126" s="120"/>
      <c r="M126" s="120"/>
      <c r="N126" s="120"/>
      <c r="O126" s="120"/>
      <c r="P126" s="120"/>
      <c r="Q126" s="120"/>
      <c r="R126" s="120"/>
      <c r="S126" s="120"/>
      <c r="T126" s="120"/>
      <c r="U126" s="120"/>
      <c r="V126" s="120"/>
      <c r="W126" s="120"/>
    </row>
    <row r="127" spans="5:23" x14ac:dyDescent="0.2">
      <c r="E127" s="34"/>
      <c r="F127" s="34"/>
      <c r="G127" s="120"/>
      <c r="H127" s="120"/>
      <c r="I127" s="120"/>
      <c r="J127" s="120"/>
      <c r="K127" s="120"/>
      <c r="L127" s="120"/>
      <c r="M127" s="120"/>
      <c r="N127" s="120"/>
      <c r="O127" s="120"/>
      <c r="P127" s="120"/>
      <c r="Q127" s="120"/>
      <c r="R127" s="120"/>
      <c r="S127" s="120"/>
      <c r="T127" s="120"/>
      <c r="U127" s="120"/>
      <c r="V127" s="120"/>
      <c r="W127" s="120"/>
    </row>
    <row r="128" spans="5:23" x14ac:dyDescent="0.2">
      <c r="G128" s="120"/>
      <c r="H128" s="120"/>
      <c r="I128" s="120"/>
      <c r="J128" s="120"/>
      <c r="K128" s="120"/>
      <c r="L128" s="120"/>
      <c r="M128" s="120"/>
      <c r="N128" s="120"/>
      <c r="O128" s="120"/>
      <c r="P128" s="120"/>
      <c r="Q128" s="120"/>
      <c r="R128" s="120"/>
      <c r="S128" s="120"/>
      <c r="T128" s="120"/>
      <c r="U128" s="120"/>
      <c r="V128" s="120"/>
      <c r="W128" s="120"/>
    </row>
    <row r="129" spans="7:23" x14ac:dyDescent="0.2">
      <c r="G129" s="120"/>
      <c r="H129" s="120"/>
      <c r="I129" s="120"/>
      <c r="J129" s="120"/>
      <c r="K129" s="120"/>
      <c r="L129" s="120"/>
      <c r="M129" s="120"/>
      <c r="N129" s="120"/>
      <c r="O129" s="120"/>
      <c r="P129" s="120"/>
      <c r="Q129" s="120"/>
      <c r="R129" s="120"/>
      <c r="S129" s="120"/>
      <c r="T129" s="120"/>
      <c r="U129" s="120"/>
      <c r="V129" s="120"/>
      <c r="W129" s="120"/>
    </row>
  </sheetData>
  <conditionalFormatting sqref="U10:W43 U45:W52 U54:W76 U78:W99 U101:W130">
    <cfRule type="expression" dxfId="19" priority="1">
      <formula>U$10&gt;$C$7</formula>
    </cfRule>
  </conditionalFormatting>
  <conditionalFormatting sqref="G12:M12">
    <cfRule type="expression" dxfId="18" priority="60">
      <formula>AND(G10&gt;$C$5,G10&lt;=$C$6)</formula>
    </cfRule>
  </conditionalFormatting>
  <conditionalFormatting sqref="K12:N12">
    <cfRule type="expression" dxfId="17" priority="62">
      <formula>K10=$C$6+1</formula>
    </cfRule>
  </conditionalFormatting>
  <conditionalFormatting sqref="L12:O12">
    <cfRule type="expression" dxfId="16" priority="65">
      <formula>L10=$C$6+2</formula>
    </cfRule>
  </conditionalFormatting>
  <pageMargins left="0.7" right="0.7" top="0.75" bottom="0.75" header="0.3" footer="0.3"/>
  <pageSetup paperSize="9" orientation="portrait" r:id="rId1"/>
  <ignoredErrors>
    <ignoredError sqref="C5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69" id="{D31BC8EE-7345-483F-A9F0-CB3AD006CBA1}">
            <xm:f>'Criteria results'!$F$5=7</xm:f>
            <x14:dxf>
              <border>
                <left style="thin">
                  <color auto="1"/>
                </left>
                <top style="thin">
                  <color auto="1"/>
                </top>
                <bottom style="thin">
                  <color auto="1"/>
                </bottom>
                <vertical/>
                <horizontal/>
              </border>
            </x14:dxf>
          </x14:cfRule>
          <xm:sqref>N12</xm:sqref>
        </x14:conditionalFormatting>
        <x14:conditionalFormatting xmlns:xm="http://schemas.microsoft.com/office/excel/2006/main">
          <x14:cfRule type="expression" priority="76" id="{B88CB253-25A7-48C5-B892-AF3EE434A6A9}">
            <xm:f>OR('Criteria results'!#REF!=7,'Criteria results'!#REF!=10)</xm:f>
            <x14:dxf>
              <font>
                <color theme="0"/>
              </font>
            </x14:dxf>
          </x14:cfRule>
          <xm:sqref>K75:M75</xm:sqref>
        </x14:conditionalFormatting>
        <x14:conditionalFormatting xmlns:xm="http://schemas.microsoft.com/office/excel/2006/main">
          <x14:cfRule type="expression" priority="77" id="{4D283B7C-3A09-4829-8C79-6D87AFE7DCC7}">
            <xm:f>'Criteria results'!#REF!=10</xm:f>
            <x14:dxf>
              <font>
                <color theme="0"/>
              </font>
            </x14:dxf>
          </x14:cfRule>
          <xm:sqref>N75:P75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92D050"/>
  </sheetPr>
  <dimension ref="A1:BB132"/>
  <sheetViews>
    <sheetView zoomScaleNormal="100" workbookViewId="0"/>
  </sheetViews>
  <sheetFormatPr defaultColWidth="9.33203125" defaultRowHeight="10.199999999999999" outlineLevelRow="1" x14ac:dyDescent="0.2"/>
  <cols>
    <col min="1" max="1" width="9.33203125" style="26" customWidth="1"/>
    <col min="2" max="2" width="56" style="26" customWidth="1"/>
    <col min="3" max="38" width="9.33203125" style="26" customWidth="1"/>
    <col min="39" max="48" width="11.44140625" style="26" bestFit="1" customWidth="1"/>
    <col min="49" max="16384" width="9.33203125" style="26"/>
  </cols>
  <sheetData>
    <row r="1" spans="1:51" ht="24.75" customHeight="1" x14ac:dyDescent="0.2">
      <c r="B1" s="39"/>
    </row>
    <row r="2" spans="1:51" ht="11.25" customHeight="1" x14ac:dyDescent="0.2">
      <c r="B2" s="27"/>
    </row>
    <row r="3" spans="1:51" ht="11.25" customHeight="1" x14ac:dyDescent="0.2">
      <c r="B3" s="19" t="s">
        <v>15</v>
      </c>
      <c r="C3" s="20" t="str">
        <f>'Input data'!C3</f>
        <v>AT</v>
      </c>
    </row>
    <row r="4" spans="1:51" x14ac:dyDescent="0.2">
      <c r="B4" s="64" t="s">
        <v>38</v>
      </c>
      <c r="C4" s="21"/>
    </row>
    <row r="5" spans="1:51" x14ac:dyDescent="0.2">
      <c r="A5" s="29"/>
      <c r="B5" s="22" t="str">
        <f>'Input data'!B5</f>
        <v>Last year before the adjustment</v>
      </c>
      <c r="C5" s="23">
        <f>+'Input data'!C5</f>
        <v>2024</v>
      </c>
    </row>
    <row r="6" spans="1:51" x14ac:dyDescent="0.2">
      <c r="A6" s="29"/>
      <c r="B6" s="65" t="s">
        <v>44</v>
      </c>
      <c r="C6" s="23">
        <f>+C5+'Criteria results'!F5</f>
        <v>2028</v>
      </c>
      <c r="E6" s="43"/>
      <c r="F6" s="29"/>
    </row>
    <row r="7" spans="1:51" x14ac:dyDescent="0.2">
      <c r="A7" s="29"/>
      <c r="B7" s="24" t="s">
        <v>39</v>
      </c>
      <c r="C7" s="66">
        <f>C5+'Criteria results'!F5+10</f>
        <v>2038</v>
      </c>
      <c r="E7" s="43"/>
      <c r="F7" s="29"/>
    </row>
    <row r="8" spans="1:51" x14ac:dyDescent="0.2">
      <c r="A8" s="29"/>
      <c r="C8" s="29"/>
      <c r="E8" s="43"/>
      <c r="F8" s="29"/>
    </row>
    <row r="9" spans="1:51" s="67" customFormat="1" ht="13.2" x14ac:dyDescent="0.25">
      <c r="B9" s="25" t="s">
        <v>45</v>
      </c>
    </row>
    <row r="10" spans="1:51"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1"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row>
    <row r="12" spans="1:51" x14ac:dyDescent="0.2">
      <c r="B12" s="26" t="s">
        <v>48</v>
      </c>
      <c r="C12" s="1">
        <f>'Input data'!C13</f>
        <v>-3.4934150000000002</v>
      </c>
      <c r="D12" s="2">
        <f>'Input data'!D13</f>
        <v>-3.493954</v>
      </c>
      <c r="E12" s="2">
        <f>'Input data'!E13</f>
        <v>-1.399295</v>
      </c>
      <c r="F12" s="2">
        <f>'Input data'!F13</f>
        <v>-1.3351299999999999</v>
      </c>
      <c r="G12" s="3">
        <f>'Adjust. no safeguard'!G12</f>
        <v>-0.35512999999999995</v>
      </c>
      <c r="H12" s="3">
        <f>'Adjust. no safeguard'!H12</f>
        <v>0.62487000000000004</v>
      </c>
      <c r="I12" s="3">
        <f>'Adjust. no safeguard'!I12</f>
        <v>1.60487</v>
      </c>
      <c r="J12" s="3">
        <f>'Adjust. no safeguard'!J12</f>
        <v>2.58487</v>
      </c>
      <c r="K12" s="118">
        <f>'Adjust. no safeguard'!K12</f>
        <v>2.58487</v>
      </c>
      <c r="L12" s="118">
        <f>'Adjust. no safeguard'!L12</f>
        <v>2.58487</v>
      </c>
      <c r="M12" s="118">
        <f>'Adjust. no safeguard'!M12</f>
        <v>2.58487</v>
      </c>
      <c r="N12" s="118">
        <f>IF(N10&lt;=$C$6,M12+'Criteria results'!$F$6,M12)</f>
        <v>2.58487</v>
      </c>
      <c r="O12" s="118">
        <f>IF(O10&lt;=$C$6,N12+'Criteria results'!$F$6,N12)</f>
        <v>2.58487</v>
      </c>
      <c r="P12" s="118">
        <f>IF(P10&lt;=$C$6,O12+'Criteria results'!$F$6,O12)</f>
        <v>2.58487</v>
      </c>
      <c r="Q12" s="118">
        <f>IF(Q10&lt;=$C$6,P12+'Criteria results'!$F$6,P12)</f>
        <v>2.58487</v>
      </c>
      <c r="R12" s="118">
        <f>IF(R10&lt;=$C$6,Q12+'Criteria results'!$F$6,Q12)</f>
        <v>2.58487</v>
      </c>
      <c r="S12" s="118">
        <f>IF(S10&lt;=$C$6,R12+'Criteria results'!$F$6,R12)</f>
        <v>2.58487</v>
      </c>
      <c r="T12" s="118">
        <f>IF(T10&lt;=$C$6,S12+'Criteria results'!$F$6,S12)</f>
        <v>2.58487</v>
      </c>
      <c r="U12" s="118">
        <f>IF(U10&lt;=$C$6,T12+'Criteria results'!$F$6,T12)</f>
        <v>2.58487</v>
      </c>
      <c r="V12" s="118">
        <f>IF(V10&lt;=$C$6,U12+'Criteria results'!$F$6,U12)</f>
        <v>2.58487</v>
      </c>
      <c r="W12" s="118">
        <f>IF(W10&lt;=$C$6,V12+'Criteria results'!$F$6,V12)</f>
        <v>2.58487</v>
      </c>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60"/>
    </row>
    <row r="13" spans="1:51" x14ac:dyDescent="0.2">
      <c r="B13" s="26" t="s">
        <v>49</v>
      </c>
      <c r="C13" s="1">
        <f>'Input data'!C14</f>
        <v>2.1047099999999999E-2</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2">
        <f>'Input data'!V14</f>
        <v>0</v>
      </c>
      <c r="W13" s="2">
        <f>'Input data'!W14</f>
        <v>0</v>
      </c>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60"/>
    </row>
    <row r="14" spans="1:51" x14ac:dyDescent="0.2">
      <c r="B14" s="26" t="s">
        <v>84</v>
      </c>
      <c r="C14" s="1">
        <f>'Input data'!C15</f>
        <v>-1.168344</v>
      </c>
      <c r="D14" s="2">
        <f>'Input data'!D15</f>
        <v>0.33345029999999998</v>
      </c>
      <c r="E14" s="2">
        <f>'Input data'!E15</f>
        <v>1.738494</v>
      </c>
      <c r="F14" s="2">
        <f>'Input data'!F15</f>
        <v>0.1010605</v>
      </c>
      <c r="G14" s="2">
        <f>'Input data'!G15</f>
        <v>9.9622799999999997E-2</v>
      </c>
      <c r="H14" s="2">
        <f>'Input data'!H15</f>
        <v>0.1</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60"/>
    </row>
    <row r="15" spans="1:51" ht="5.7"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4" x14ac:dyDescent="0.2">
      <c r="A17" s="61"/>
      <c r="B17" s="26" t="s">
        <v>52</v>
      </c>
      <c r="C17" s="100">
        <f>'Input data'!C20</f>
        <v>0</v>
      </c>
      <c r="D17" s="100">
        <f>'Input data'!D20</f>
        <v>25.324309999999997</v>
      </c>
      <c r="E17" s="100">
        <f>'Input data'!E20</f>
        <v>25.242449999999998</v>
      </c>
      <c r="F17" s="100">
        <f>'Input data'!F20</f>
        <v>25.614070000000002</v>
      </c>
      <c r="G17" s="100">
        <f>'Input data'!G20</f>
        <v>25.90615</v>
      </c>
      <c r="H17" s="100">
        <f>'Input data'!H20</f>
        <v>26.090959999999999</v>
      </c>
      <c r="I17" s="100">
        <f>'Input data'!I20</f>
        <v>26.301199999999998</v>
      </c>
      <c r="J17" s="100">
        <f>'Input data'!J20</f>
        <v>26.42249</v>
      </c>
      <c r="K17" s="100">
        <f>'Input data'!K20</f>
        <v>26.510670000000001</v>
      </c>
      <c r="L17" s="100">
        <f>'Input data'!L20</f>
        <v>26.607600000000001</v>
      </c>
      <c r="M17" s="100">
        <f>'Input data'!M20</f>
        <v>26.704270000000001</v>
      </c>
      <c r="N17" s="100">
        <f>'Input data'!N20</f>
        <v>26.793779999999998</v>
      </c>
      <c r="O17" s="100">
        <f>'Input data'!O20</f>
        <v>26.842309999999998</v>
      </c>
      <c r="P17" s="100">
        <f>'Input data'!P20</f>
        <v>26.922160000000002</v>
      </c>
      <c r="Q17" s="100">
        <f>'Input data'!Q20</f>
        <v>26.971239999999998</v>
      </c>
      <c r="R17" s="100">
        <f>'Input data'!R20</f>
        <v>27.00421</v>
      </c>
      <c r="S17" s="100">
        <f>'Input data'!S20</f>
        <v>27.027639999999998</v>
      </c>
      <c r="T17" s="100">
        <f>'Input data'!T20</f>
        <v>27.036020000000001</v>
      </c>
      <c r="U17" s="100">
        <f>'Input data'!U20</f>
        <v>27.037079999999996</v>
      </c>
      <c r="V17" s="100">
        <f>'Input data'!V20</f>
        <v>27.02562</v>
      </c>
      <c r="W17" s="100">
        <f>'Input data'!W20</f>
        <v>27.02122</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4" x14ac:dyDescent="0.2">
      <c r="A18" s="61"/>
      <c r="B18" s="26" t="s">
        <v>58</v>
      </c>
      <c r="C18" s="100">
        <f>'Input data'!C26</f>
        <v>0.69878779999999996</v>
      </c>
      <c r="D18" s="100">
        <f>'Input data'!D26</f>
        <v>0.67838160000000003</v>
      </c>
      <c r="E18" s="100">
        <f>'Input data'!E26</f>
        <v>0.90806710000000002</v>
      </c>
      <c r="F18" s="100">
        <f>'Input data'!F26</f>
        <v>0.90100539999999996</v>
      </c>
      <c r="G18" s="100">
        <f>'Input data'!G26</f>
        <v>0.89394379999999996</v>
      </c>
      <c r="H18" s="100">
        <f>'Input data'!H26</f>
        <v>0.88688210000000001</v>
      </c>
      <c r="I18" s="100">
        <f>'Input data'!I26</f>
        <v>0.87982050000000001</v>
      </c>
      <c r="J18" s="100">
        <f>'Input data'!J26</f>
        <v>0.8727589</v>
      </c>
      <c r="K18" s="100">
        <f>'Input data'!K26</f>
        <v>0.8656973</v>
      </c>
      <c r="L18" s="100">
        <f>'Input data'!L26</f>
        <v>0.85863560000000005</v>
      </c>
      <c r="M18" s="100">
        <f>'Input data'!M26</f>
        <v>0.85157389999999999</v>
      </c>
      <c r="N18" s="100">
        <f>'Input data'!N26</f>
        <v>0.84451229999999999</v>
      </c>
      <c r="O18" s="100">
        <f>'Input data'!O26</f>
        <v>0.83745069999999999</v>
      </c>
      <c r="P18" s="100">
        <f>'Input data'!P26</f>
        <v>0.83038909999999999</v>
      </c>
      <c r="Q18" s="100">
        <f>'Input data'!Q26</f>
        <v>0.82332740000000004</v>
      </c>
      <c r="R18" s="100">
        <f>'Input data'!R26</f>
        <v>0.81626580000000004</v>
      </c>
      <c r="S18" s="100">
        <f>'Input data'!S26</f>
        <v>0.80920420000000004</v>
      </c>
      <c r="T18" s="100">
        <f>'Input data'!T26</f>
        <v>0.80214260000000004</v>
      </c>
      <c r="U18" s="100">
        <f>'Input data'!U26</f>
        <v>0.79508089999999998</v>
      </c>
      <c r="V18" s="100">
        <f>'Input data'!V26</f>
        <v>0.78801929999999998</v>
      </c>
      <c r="W18" s="100">
        <f>'Input data'!W26</f>
        <v>0.78095769999999998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4" x14ac:dyDescent="0.2">
      <c r="K19" s="38"/>
      <c r="L19" s="38"/>
      <c r="M19" s="38"/>
    </row>
    <row r="20" spans="1:54" x14ac:dyDescent="0.2">
      <c r="B20" s="28" t="s">
        <v>85</v>
      </c>
      <c r="K20" s="38"/>
      <c r="L20" s="38"/>
      <c r="M20" s="38"/>
    </row>
    <row r="21" spans="1:54" ht="10.5" customHeight="1" x14ac:dyDescent="0.2">
      <c r="B21" s="30" t="s">
        <v>86</v>
      </c>
    </row>
    <row r="22" spans="1:54" x14ac:dyDescent="0.2">
      <c r="B22" s="26" t="s">
        <v>61</v>
      </c>
      <c r="C22" s="34">
        <f>'Input data'!C31</f>
        <v>331.5462</v>
      </c>
      <c r="D22" s="99">
        <f>IF(AND(D50&gt;1,C50&gt;1),IF(AND(D50&gt;0,C50&gt;0),D27*(D51/100+1),0)+IF(D50&gt;0,C22*(1+D52/100),0)-C22*(1+'Input data'!D30/100),IF(D50=1,D27,C22*(1+D52/100)))</f>
        <v>349.04485699702803</v>
      </c>
      <c r="E22" s="99">
        <f>IF(AND(E50&gt;1,D50&gt;1),IF(AND(E50&gt;0,D50&gt;0),E27*(E51/100+1),0)+IF(E50&gt;0,D22*(1+E52/100),0)-D22*(1+'Input data'!E30/100),IF(E50=1,E27,D22*(1+E52/100)))</f>
        <v>345.71160461789975</v>
      </c>
      <c r="F22" s="99">
        <f>IF(AND(F50&gt;1,E50&gt;1),IF(AND(F50&gt;0,E50&gt;0),F27*(F51/100+1),0)+IF(F50&gt;0,E22*(1+F52/100),0)-E22*(1+'Input data'!F30/100),IF(F50=1,F27,E22*(1+F52/100)))</f>
        <v>343.56249568773626</v>
      </c>
      <c r="G22" s="34">
        <f>IF(AND(G50&gt;1,F50&gt;1),
G27*(1+('Baseline NFPC'!G$29+G51)/100)-F22*$C$47*(G12-F12)/100,
IF(G50=1,G27,F22*(1+G52/100)))</f>
        <v>343.78779984965831</v>
      </c>
      <c r="H22" s="34">
        <f>IF(AND(H50&gt;1,G50&gt;1),
H27*(1+('Baseline NFPC'!H$29+H51)/100)-G22*$C$47*(H12-G12)/100,
IF(H50=1,H27,G22*(1+H52/100)))</f>
        <v>346.87073120317223</v>
      </c>
      <c r="I22" s="34">
        <f>IF(AND(I50&gt;1,H50&gt;1),
I27*(1+I51/100)-H22*$C$47*(I12-H12)/100,
IF(I50=1,I27,H22*(1+I52/100)))</f>
        <v>350.31717286119243</v>
      </c>
      <c r="J22" s="34">
        <f t="shared" ref="J22:W22" si="0">IF(AND(J50&gt;1,I50&gt;1),
J27*(1+J51/100)-I22*$C$47*(J12-I12)/100,
IF(J50=1,J27,I22*(1+J52/100)))</f>
        <v>353.62352785907694</v>
      </c>
      <c r="K22" s="4">
        <f t="shared" si="0"/>
        <v>357.95378815966518</v>
      </c>
      <c r="L22" s="4">
        <f t="shared" si="0"/>
        <v>362.64402825207708</v>
      </c>
      <c r="M22" s="4">
        <f t="shared" si="0"/>
        <v>367.41696426102027</v>
      </c>
      <c r="N22" s="4">
        <f t="shared" si="0"/>
        <v>369.6892838698497</v>
      </c>
      <c r="O22" s="4">
        <f t="shared" si="0"/>
        <v>371.97093958582332</v>
      </c>
      <c r="P22" s="4">
        <f t="shared" si="0"/>
        <v>374.43281809034391</v>
      </c>
      <c r="Q22" s="4">
        <f t="shared" si="0"/>
        <v>377.21377930656723</v>
      </c>
      <c r="R22" s="4">
        <f t="shared" si="0"/>
        <v>380.32045163873141</v>
      </c>
      <c r="S22" s="4">
        <f t="shared" si="0"/>
        <v>383.76028278280501</v>
      </c>
      <c r="T22" s="4">
        <f t="shared" si="0"/>
        <v>387.47573855022608</v>
      </c>
      <c r="U22" s="4">
        <f t="shared" si="0"/>
        <v>391.481981952848</v>
      </c>
      <c r="V22" s="4">
        <f t="shared" si="0"/>
        <v>395.78324146640176</v>
      </c>
      <c r="W22" s="4">
        <f t="shared" si="0"/>
        <v>400.06949085700222</v>
      </c>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row>
    <row r="23" spans="1:54" x14ac:dyDescent="0.2">
      <c r="A23" s="61"/>
      <c r="B23" s="62" t="s">
        <v>142</v>
      </c>
      <c r="C23" s="34">
        <f>+'Input data'!C30</f>
        <v>4.7953340000000004</v>
      </c>
      <c r="D23" s="99">
        <f>100*(D22/C22-1)</f>
        <v>5.2778940000000052</v>
      </c>
      <c r="E23" s="99">
        <f t="shared" ref="E23:T23" si="1">100*(E22/D22-1)</f>
        <v>-0.95496390000001652</v>
      </c>
      <c r="F23" s="99">
        <f t="shared" si="1"/>
        <v>-0.6216478999999997</v>
      </c>
      <c r="G23" s="34">
        <f t="shared" si="1"/>
        <v>6.5578799999999049E-2</v>
      </c>
      <c r="H23" s="34">
        <f t="shared" si="1"/>
        <v>0.89675414743108917</v>
      </c>
      <c r="I23" s="34">
        <f t="shared" si="1"/>
        <v>0.99358099372228725</v>
      </c>
      <c r="J23" s="34">
        <f t="shared" si="1"/>
        <v>0.94381756134878092</v>
      </c>
      <c r="K23" s="4">
        <f>100*(K22/J22-1)</f>
        <v>1.2245396472357672</v>
      </c>
      <c r="L23" s="4">
        <f>100*(L22/K22-1)</f>
        <v>1.3102920677346752</v>
      </c>
      <c r="M23" s="4">
        <f t="shared" si="1"/>
        <v>1.3161490710183354</v>
      </c>
      <c r="N23" s="4">
        <f t="shared" si="1"/>
        <v>0.61845799999999951</v>
      </c>
      <c r="O23" s="4">
        <f t="shared" si="1"/>
        <v>0.617182000000005</v>
      </c>
      <c r="P23" s="4">
        <f t="shared" si="1"/>
        <v>0.66184700000000429</v>
      </c>
      <c r="Q23" s="4">
        <f t="shared" si="1"/>
        <v>0.74271299999999485</v>
      </c>
      <c r="R23" s="4">
        <f t="shared" si="1"/>
        <v>0.82358399999999943</v>
      </c>
      <c r="S23" s="4">
        <f t="shared" si="1"/>
        <v>0.90445599999999793</v>
      </c>
      <c r="T23" s="4">
        <f t="shared" si="1"/>
        <v>0.96817099999999545</v>
      </c>
      <c r="U23" s="4">
        <f t="shared" ref="U23" si="2">100*(U22/T22-1)</f>
        <v>1.033934000000003</v>
      </c>
      <c r="V23" s="4">
        <f t="shared" ref="V23" si="3">100*(V22/U22-1)</f>
        <v>1.0987120000000017</v>
      </c>
      <c r="W23" s="4">
        <f t="shared" ref="W23" si="4">100*(W22/V22-1)</f>
        <v>1.0829790000000061</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4" s="5" customFormat="1" ht="10.199999999999999" customHeight="1" x14ac:dyDescent="0.25">
      <c r="B24" s="32" t="s">
        <v>143</v>
      </c>
      <c r="C24" s="34"/>
      <c r="D24" s="34"/>
      <c r="E24" s="34"/>
      <c r="F24" s="34"/>
      <c r="G24" s="34"/>
      <c r="H24" s="34"/>
      <c r="I24" s="34"/>
      <c r="J24" s="34"/>
      <c r="K24" s="4">
        <f>IF('Criteria results'!$F$5=4,'Input data'!K30-0.5,'Input data'!K30)</f>
        <v>0.77277299999999993</v>
      </c>
      <c r="L24" s="4">
        <f>IF('Criteria results'!$F$5=4,'Input data'!L30-0.5,'Input data'!L30)</f>
        <v>0.61451100000000003</v>
      </c>
      <c r="M24" s="4">
        <f>IF('Criteria results'!$F$5=4,'Input data'!M30-0.5,'Input data'!M30)</f>
        <v>0.62507500000000005</v>
      </c>
      <c r="N24" s="4">
        <f>'Input data'!N30-0.5</f>
        <v>0.61845799999999995</v>
      </c>
      <c r="O24" s="4">
        <f>'Input data'!O30-0.5</f>
        <v>0.6171819999999999</v>
      </c>
      <c r="P24" s="4">
        <f>'Input data'!P30-0.5</f>
        <v>0.66184700000000007</v>
      </c>
      <c r="Q24" s="4">
        <f>'Input data'!Q30-0.5</f>
        <v>0.74271299999999996</v>
      </c>
      <c r="R24" s="4">
        <f>'Input data'!R30-0.5</f>
        <v>0.82358400000000009</v>
      </c>
      <c r="S24" s="4">
        <f>'Input data'!S30-0.5</f>
        <v>0.90445599999999993</v>
      </c>
      <c r="T24" s="4">
        <f>'Input data'!T30-0.5</f>
        <v>0.96817099999999989</v>
      </c>
      <c r="U24" s="4">
        <f>'Input data'!U30-0.5</f>
        <v>1.0339339999999999</v>
      </c>
      <c r="V24" s="4">
        <f>'Input data'!V30-0.5</f>
        <v>1.0987119999999999</v>
      </c>
      <c r="W24" s="4">
        <f>'Input data'!W30-0.5</f>
        <v>1.0829789999999999</v>
      </c>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row>
    <row r="25" spans="1:54" s="5" customFormat="1" ht="10.199999999999999" customHeight="1" x14ac:dyDescent="0.25">
      <c r="B25" s="3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row>
    <row r="26" spans="1:54" x14ac:dyDescent="0.2">
      <c r="B26" s="30" t="s">
        <v>144</v>
      </c>
    </row>
    <row r="27" spans="1:54" x14ac:dyDescent="0.2">
      <c r="B27" s="26" t="s">
        <v>61</v>
      </c>
      <c r="C27" s="34">
        <f>'Input data'!C34</f>
        <v>338.15530000000001</v>
      </c>
      <c r="D27" s="99">
        <f>+C27*(1+'Input data'!D33/100)</f>
        <v>342.225837660644</v>
      </c>
      <c r="E27" s="99">
        <f>+D27*(1+'Input data'!E33/100)</f>
        <v>345.81733013623199</v>
      </c>
      <c r="F27" s="99">
        <f>+E27*(1+'Input data'!F33/100)</f>
        <v>348.37401022216329</v>
      </c>
      <c r="G27" s="34">
        <f>+F27*(1+'Input data'!G33/100)</f>
        <v>350.82887192869305</v>
      </c>
      <c r="H27" s="34">
        <f>+G27*(1+'Input data'!H33/100)</f>
        <v>353.69561041475009</v>
      </c>
      <c r="I27" s="34">
        <f>+H27*(1+'Input data'!I33/100)</f>
        <v>357.46508247622813</v>
      </c>
      <c r="J27" s="34">
        <f>+I27*(1+'Input data'!J33/100)</f>
        <v>361.01090052490298</v>
      </c>
      <c r="K27" s="4">
        <f>IF('Criteria results'!$F$5=4,J27*(1+'Input data'!K33/100-0.005),J27*(1+'Input data'!K33/100))</f>
        <v>362.90453627218932</v>
      </c>
      <c r="L27" s="4">
        <f>IF('Criteria results'!$F$5=4,K27*(1+'Input data'!L33/100-0.005),K27*(1+'Input data'!L33/100))</f>
        <v>365.13461367994483</v>
      </c>
      <c r="M27" s="4">
        <f>IF('Criteria results'!$F$5=4,L27*(1+'Input data'!M33/100-0.005),L27*(1+'Input data'!M33/100))</f>
        <v>367.41696426102027</v>
      </c>
      <c r="N27" s="4">
        <f>+M27*(1+'Input data'!N33/100-0.005)</f>
        <v>369.689291218189</v>
      </c>
      <c r="O27" s="4">
        <f>+N27*(1+'Input data'!O33/100-0.005)</f>
        <v>371.97095437330114</v>
      </c>
      <c r="P27" s="4">
        <f>+O27*(1+'Input data'!P33/100-0.005)</f>
        <v>374.43282553627319</v>
      </c>
      <c r="Q27" s="4">
        <f>+P27*(1+'Input data'!Q33/100-0.005)</f>
        <v>377.21379804078327</v>
      </c>
      <c r="R27" s="4">
        <f>+Q27*(1+'Input data'!R33/100-0.005)</f>
        <v>380.32048184365345</v>
      </c>
      <c r="S27" s="4">
        <f>+R27*(1+'Input data'!S33/100-0.005)</f>
        <v>383.76032467053176</v>
      </c>
      <c r="T27" s="4">
        <f>+S27*(1+'Input data'!T33/100-0.005)</f>
        <v>387.47576549308479</v>
      </c>
      <c r="U27" s="4">
        <f>+T27*(1+'Input data'!U33/100-0.005)</f>
        <v>391.4820130490358</v>
      </c>
      <c r="V27" s="4">
        <f>+U27*(1+'Input data'!V33/100-0.005)</f>
        <v>395.78326115978683</v>
      </c>
      <c r="W27" s="4">
        <f>+V27*(1+'Input data'!W33/100-0.005)</f>
        <v>400.06949889016465</v>
      </c>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row>
    <row r="28" spans="1:54"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row>
    <row r="29" spans="1:54"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row>
    <row r="30" spans="1:54" x14ac:dyDescent="0.2">
      <c r="B30" s="26" t="s">
        <v>88</v>
      </c>
      <c r="C30" s="34">
        <f t="shared" ref="C30:W30" si="5">100*(C22/C27-1)</f>
        <v>-1.9544570201916134</v>
      </c>
      <c r="D30" s="99">
        <f t="shared" si="5"/>
        <v>1.9925495348325661</v>
      </c>
      <c r="E30" s="99">
        <f t="shared" si="5"/>
        <v>-3.0572648944626746E-2</v>
      </c>
      <c r="F30" s="99">
        <f t="shared" si="5"/>
        <v>-1.3811347555343301</v>
      </c>
      <c r="G30" s="34">
        <f t="shared" si="5"/>
        <v>-2.0069819340484241</v>
      </c>
      <c r="H30" s="34">
        <f t="shared" si="5"/>
        <v>-1.9295911542625221</v>
      </c>
      <c r="I30" s="34">
        <f t="shared" si="5"/>
        <v>-1.9996105816883603</v>
      </c>
      <c r="J30" s="34">
        <f t="shared" si="5"/>
        <v>-2.0463018305222791</v>
      </c>
      <c r="K30" s="34">
        <f t="shared" si="5"/>
        <v>-1.3642012203481824</v>
      </c>
      <c r="L30" s="34">
        <f t="shared" si="5"/>
        <v>-0.68210061017410784</v>
      </c>
      <c r="M30" s="34">
        <f t="shared" si="5"/>
        <v>0</v>
      </c>
      <c r="N30" s="34">
        <f t="shared" si="5"/>
        <v>-1.9877068324625213E-6</v>
      </c>
      <c r="O30" s="34">
        <f t="shared" si="5"/>
        <v>-3.9754388447832412E-6</v>
      </c>
      <c r="P30" s="34">
        <f t="shared" si="5"/>
        <v>-1.9885888047355138E-6</v>
      </c>
      <c r="Q30" s="34">
        <f t="shared" si="5"/>
        <v>-4.9664715673358728E-6</v>
      </c>
      <c r="R30" s="34">
        <f t="shared" si="5"/>
        <v>-7.94196565179206E-6</v>
      </c>
      <c r="S30" s="34">
        <f t="shared" si="5"/>
        <v>-1.091507486616905E-5</v>
      </c>
      <c r="T30" s="34">
        <f t="shared" si="5"/>
        <v>-6.9534306645913091E-6</v>
      </c>
      <c r="U30" s="34">
        <f t="shared" si="5"/>
        <v>-7.9431970667620533E-6</v>
      </c>
      <c r="V30" s="34">
        <f t="shared" si="5"/>
        <v>-4.9758003939359696E-6</v>
      </c>
      <c r="W30" s="34">
        <f t="shared" si="5"/>
        <v>-2.0079417351048789E-6</v>
      </c>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row>
    <row r="31" spans="1:54" ht="5.2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row>
    <row r="32" spans="1:54"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row>
    <row r="33" spans="2:51" x14ac:dyDescent="0.2">
      <c r="B33" s="26" t="s">
        <v>60</v>
      </c>
      <c r="C33" s="1">
        <f t="shared" ref="C33:W33" si="6">100*((1+C23/100)*(1+C42/100)-1)</f>
        <v>6.8138294147275458</v>
      </c>
      <c r="D33" s="2">
        <f t="shared" si="6"/>
        <v>10.283625195554279</v>
      </c>
      <c r="E33" s="2">
        <f t="shared" si="6"/>
        <v>5.6292074041030871</v>
      </c>
      <c r="F33" s="2">
        <f t="shared" si="6"/>
        <v>3.584825074719511</v>
      </c>
      <c r="G33" s="1">
        <f t="shared" si="6"/>
        <v>2.3540965989601759</v>
      </c>
      <c r="H33" s="1">
        <f t="shared" si="6"/>
        <v>2.7923569608136578</v>
      </c>
      <c r="I33" s="1">
        <f t="shared" si="6"/>
        <v>2.9504938464151254</v>
      </c>
      <c r="J33" s="1">
        <f t="shared" si="6"/>
        <v>2.9592277542402456</v>
      </c>
      <c r="K33" s="1">
        <f t="shared" si="6"/>
        <v>3.305181590282924</v>
      </c>
      <c r="L33" s="1">
        <f t="shared" si="6"/>
        <v>3.4523740883991572</v>
      </c>
      <c r="M33" s="1">
        <f t="shared" si="6"/>
        <v>3.5180358416786239</v>
      </c>
      <c r="N33" s="1">
        <f t="shared" si="6"/>
        <v>2.8644518998994783</v>
      </c>
      <c r="O33" s="1">
        <f t="shared" si="6"/>
        <v>2.9224165970855198</v>
      </c>
      <c r="P33" s="1">
        <f t="shared" si="6"/>
        <v>3.0274004045000025</v>
      </c>
      <c r="Q33" s="1">
        <f t="shared" si="6"/>
        <v>3.0925367807250081</v>
      </c>
      <c r="R33" s="1">
        <f t="shared" si="6"/>
        <v>3.157649969599996</v>
      </c>
      <c r="S33" s="1">
        <f t="shared" si="6"/>
        <v>3.2227358766000025</v>
      </c>
      <c r="T33" s="1">
        <f t="shared" si="6"/>
        <v>3.2702452987999786</v>
      </c>
      <c r="U33" s="1">
        <f t="shared" si="6"/>
        <v>3.3198267567499995</v>
      </c>
      <c r="V33" s="1">
        <f t="shared" si="6"/>
        <v>3.3683780844000033</v>
      </c>
      <c r="W33" s="1">
        <f t="shared" si="6"/>
        <v>3.3346023572250028</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28" t="s">
        <v>145</v>
      </c>
    </row>
    <row r="36" spans="2:51" x14ac:dyDescent="0.2">
      <c r="B36" s="26" t="s">
        <v>63</v>
      </c>
      <c r="C36" s="34">
        <f>'Input data'!C37</f>
        <v>1.419065</v>
      </c>
      <c r="D36" s="99">
        <f>'Input data'!D37</f>
        <v>1.2721899999999999</v>
      </c>
      <c r="E36" s="99">
        <f>'Input data'!E37</f>
        <v>1.6214710000000001</v>
      </c>
      <c r="F36" s="99">
        <f>'Input data'!F37</f>
        <v>1.9528080000000001</v>
      </c>
      <c r="G36" s="99">
        <f>'Input data'!G37</f>
        <v>1.9344650000000001</v>
      </c>
      <c r="H36" s="34">
        <f t="shared" ref="H36:W36" si="7">H93</f>
        <v>1.8809861130955123</v>
      </c>
      <c r="I36" s="34">
        <f t="shared" si="7"/>
        <v>2.0239034219102687</v>
      </c>
      <c r="J36" s="34">
        <f t="shared" si="7"/>
        <v>2.1462506647711721</v>
      </c>
      <c r="K36" s="34">
        <f>K93</f>
        <v>2.3385326593131857</v>
      </c>
      <c r="L36" s="34">
        <f t="shared" si="7"/>
        <v>2.4816032701937862</v>
      </c>
      <c r="M36" s="34">
        <f t="shared" si="7"/>
        <v>2.612978811871828</v>
      </c>
      <c r="N36" s="34">
        <f t="shared" si="7"/>
        <v>2.7340566617462532</v>
      </c>
      <c r="O36" s="34">
        <f t="shared" si="7"/>
        <v>2.8499762142614373</v>
      </c>
      <c r="P36" s="34">
        <f t="shared" si="7"/>
        <v>2.9607887792115024</v>
      </c>
      <c r="Q36" s="34">
        <f t="shared" si="7"/>
        <v>3.0565180919920119</v>
      </c>
      <c r="R36" s="34">
        <f t="shared" si="7"/>
        <v>3.1455175014636207</v>
      </c>
      <c r="S36" s="34">
        <f t="shared" si="7"/>
        <v>3.2281977490599445</v>
      </c>
      <c r="T36" s="34">
        <f t="shared" si="7"/>
        <v>3.3050451948924864</v>
      </c>
      <c r="U36" s="34">
        <f t="shared" si="7"/>
        <v>3.3765242309764196</v>
      </c>
      <c r="V36" s="34">
        <f t="shared" si="7"/>
        <v>3.4431559841144175</v>
      </c>
      <c r="W36" s="34">
        <f t="shared" si="7"/>
        <v>3.5054365344232021</v>
      </c>
    </row>
    <row r="37" spans="2:51" x14ac:dyDescent="0.2">
      <c r="B37" s="32" t="s">
        <v>91</v>
      </c>
      <c r="C37" s="1"/>
      <c r="D37" s="2">
        <f>'Input data'!D$39</f>
        <v>1.71</v>
      </c>
      <c r="E37" s="2">
        <f>'Input data'!E$39</f>
        <v>3.08</v>
      </c>
      <c r="F37" s="165">
        <f>'Input data'!F$39</f>
        <v>2.8521350000000001</v>
      </c>
      <c r="G37" s="165">
        <f>'Input data'!G$39</f>
        <v>2.809685</v>
      </c>
      <c r="H37" s="165">
        <f>'Input data'!H$39</f>
        <v>2.9436909999999998</v>
      </c>
      <c r="I37" s="1">
        <f>$H$37+('Input data'!$C$52-$H$37)/($P$10-$H$10)*(I10-$H$10)</f>
        <v>3.0060458749999999</v>
      </c>
      <c r="J37" s="1">
        <f>$H$37+('Input data'!$C$52-$H$37)/($P$10-$H$10)*(J10-$H$10)</f>
        <v>3.0684007499999999</v>
      </c>
      <c r="K37" s="4">
        <f>IF('Criteria results'!$F$5=4,
$H$37+('Input data'!$C$52-$H$37)/($P$10-$H$10)*(K10-$H$10)+0.5,
$H$37+('Input data'!$C$52-$H$37)/($P$10-$H$10)*(K10-$H$10))</f>
        <v>3.6307556249999999</v>
      </c>
      <c r="L37" s="4">
        <f>IF('Criteria results'!$F$5=4,
$H$37+('Input data'!$C$52-$H$37)/($P$10-$H$10)*(L10-$H$10)+0.5,
$H$37+('Input data'!$C$52-$H$37)/($P$10-$H$10)*(L10-$H$10))</f>
        <v>3.6931105</v>
      </c>
      <c r="M37" s="4">
        <f>IF('Criteria results'!$F$5=4,
$H$37+('Input data'!$C$52-$H$37)/($P$10-$H$10)*(M10-$H$10)+0.5,
$H$37+('Input data'!$C$52-$H$37)/($P$10-$H$10)*(M10-$H$10))</f>
        <v>3.755465375</v>
      </c>
      <c r="N37" s="3">
        <f>$H$37+('Input data'!$C$52-$H$37)/($P$10-$H$10)*(N10-$H$10)+0.5</f>
        <v>3.81782025</v>
      </c>
      <c r="O37" s="3">
        <f>$H$37+('Input data'!$C$52-$H$37)/($P$10-$H$10)*(O10-$H$10)+0.5</f>
        <v>3.8801751250000001</v>
      </c>
      <c r="P37" s="3">
        <f>'Baseline NFPC'!P36+0.5</f>
        <v>3.9425300000000001</v>
      </c>
      <c r="Q37" s="3">
        <f>'Baseline NFPC'!Q36+0.5</f>
        <v>3.9704035000000002</v>
      </c>
      <c r="R37" s="3">
        <f>'Baseline NFPC'!R36+0.5</f>
        <v>3.9982769999999999</v>
      </c>
      <c r="S37" s="3">
        <f>'Baseline NFPC'!S36+0.5</f>
        <v>4.0261505</v>
      </c>
      <c r="T37" s="3">
        <f>'Baseline NFPC'!T36+0.5</f>
        <v>4.0540240000000001</v>
      </c>
      <c r="U37" s="3">
        <f>'Baseline NFPC'!U36+0.5</f>
        <v>4.0818975000000002</v>
      </c>
      <c r="V37" s="3">
        <f>'Baseline NFPC'!V36+0.5</f>
        <v>4.1097710000000003</v>
      </c>
      <c r="W37" s="3">
        <f>'Baseline NFPC'!W36+0.5</f>
        <v>4.1376445000000004</v>
      </c>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60"/>
    </row>
    <row r="38" spans="2:51" x14ac:dyDescent="0.2">
      <c r="B38" s="32" t="s">
        <v>92</v>
      </c>
      <c r="C38" s="1"/>
      <c r="D38" s="2">
        <f>'Input data'!D$38</f>
        <v>0.35</v>
      </c>
      <c r="E38" s="2">
        <f>'Input data'!E$38</f>
        <v>3.43</v>
      </c>
      <c r="F38" s="165">
        <f>'Input data'!F$38</f>
        <v>3.5292500000000002</v>
      </c>
      <c r="G38" s="165">
        <f>'Input data'!G$38</f>
        <v>2.0662500000000001</v>
      </c>
      <c r="H38" s="165">
        <f>'Input data'!H$38</f>
        <v>1.9957499999999999</v>
      </c>
      <c r="I38" s="1">
        <f>$H$38+('Input data'!$C$53-$H$38)/($P$10-$H$10)*(I10-$H$10)</f>
        <v>2.079285</v>
      </c>
      <c r="J38" s="1">
        <f>$H$38+('Input data'!$C$53-$H$38)/($P$10-$H$10)*(J10-$H$10)</f>
        <v>2.16282</v>
      </c>
      <c r="K38" s="4">
        <f>IF('Criteria results'!$F$5=4,
$H$38+('Input data'!$C$53-$H$38)/($P$10-$H$10)*(K10-$H$10)+0.5,
$H$38+('Input data'!$C$53-$H$38)/($P$10-$H$10)*(K10-$H$10))</f>
        <v>2.7463549999999999</v>
      </c>
      <c r="L38" s="4">
        <f>IF('Criteria results'!$F$5=4,
$H$38+('Input data'!$C$53-$H$38)/($P$10-$H$10)*(L10-$H$10)+0.5,
$H$38+('Input data'!$C$53-$H$38)/($P$10-$H$10)*(L10-$H$10))</f>
        <v>2.8298899999999998</v>
      </c>
      <c r="M38" s="4">
        <f>IF('Criteria results'!$F$5=4,
$H$38+('Input data'!$C$53-$H$38)/($P$10-$H$10)*(M10-$H$10)+0.5,
$H$38+('Input data'!$C$53-$H$38)/($P$10-$H$10)*(M10-$H$10))</f>
        <v>2.9134250000000002</v>
      </c>
      <c r="N38" s="3">
        <f>$H$38+('Input data'!$C$53-$H$38)/($P$10-$H$10)*(N10-$H$10)+0.5</f>
        <v>2.9969599999999996</v>
      </c>
      <c r="O38" s="3">
        <f>$H$38+('Input data'!$C$53-$H$38)/($P$10-$H$10)*(O10-$H$10)+0.5</f>
        <v>3.080495</v>
      </c>
      <c r="P38" s="3">
        <f>'Baseline NFPC'!P37+0.5</f>
        <v>3.1640299999999999</v>
      </c>
      <c r="Q38" s="3">
        <f>'Baseline NFPC'!Q37+0.5</f>
        <v>3.1308284999999998</v>
      </c>
      <c r="R38" s="3">
        <f>'Baseline NFPC'!R37+0.5</f>
        <v>3.0976270000000001</v>
      </c>
      <c r="S38" s="3">
        <f>'Baseline NFPC'!S37+0.5</f>
        <v>3.0644255</v>
      </c>
      <c r="T38" s="3">
        <f>'Baseline NFPC'!T37+0.5</f>
        <v>3.0312239999999999</v>
      </c>
      <c r="U38" s="3">
        <f>'Baseline NFPC'!U37+0.5</f>
        <v>2.9980224999999998</v>
      </c>
      <c r="V38" s="3">
        <f>'Baseline NFPC'!V37+0.5</f>
        <v>2.9648209999999997</v>
      </c>
      <c r="W38" s="3">
        <f>'Baseline NFPC'!W37+0.5</f>
        <v>2.9316195</v>
      </c>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60"/>
    </row>
    <row r="39" spans="2:51" s="5" customFormat="1" ht="13.2" x14ac:dyDescent="0.25">
      <c r="B39" s="26" t="s">
        <v>93</v>
      </c>
      <c r="C39" s="34">
        <f>'Baseline NFPC'!C38</f>
        <v>7.7717170000000002E-2</v>
      </c>
      <c r="D39" s="34">
        <f>'Baseline NFPC'!D38</f>
        <v>0.11443643000000001</v>
      </c>
      <c r="E39" s="34">
        <f>'Baseline NFPC'!E38</f>
        <v>0.12146793</v>
      </c>
      <c r="F39" s="34">
        <f>'Baseline NFPC'!F38</f>
        <v>0.10811680999999999</v>
      </c>
      <c r="G39" s="34">
        <f>'Baseline NFPC'!G38</f>
        <v>0.10769854499999999</v>
      </c>
      <c r="H39" s="34">
        <f>'Baseline NFPC'!H38</f>
        <v>0.10728027999999999</v>
      </c>
      <c r="I39" s="34">
        <f>'Baseline NFPC'!I38</f>
        <v>0.10686201499999999</v>
      </c>
      <c r="J39" s="34">
        <f>'Baseline NFPC'!J38</f>
        <v>0.10644374999999999</v>
      </c>
      <c r="K39" s="34">
        <f>'Baseline NFPC'!K38</f>
        <v>0.106025485</v>
      </c>
      <c r="L39" s="34">
        <f>'Baseline NFPC'!L38</f>
        <v>0.10560722</v>
      </c>
      <c r="M39" s="34">
        <f>'Baseline NFPC'!M38</f>
        <v>0.105188955</v>
      </c>
      <c r="N39" s="34">
        <f>'Baseline NFPC'!N38</f>
        <v>0.10477069</v>
      </c>
      <c r="O39" s="34">
        <f>'Baseline NFPC'!O38</f>
        <v>0.104352425</v>
      </c>
      <c r="P39" s="34">
        <f>'Baseline NFPC'!P38</f>
        <v>0.10393416</v>
      </c>
      <c r="Q39" s="34">
        <f>'Baseline NFPC'!Q38</f>
        <v>0.10393416</v>
      </c>
      <c r="R39" s="34">
        <f>'Baseline NFPC'!R38</f>
        <v>0.10393416</v>
      </c>
      <c r="S39" s="34">
        <f>'Baseline NFPC'!S38</f>
        <v>0.10393416</v>
      </c>
      <c r="T39" s="34">
        <f>'Baseline NFPC'!T38</f>
        <v>0.10393416</v>
      </c>
      <c r="U39" s="34">
        <f>'Baseline NFPC'!U38</f>
        <v>0.10393416</v>
      </c>
      <c r="V39" s="34">
        <f>'Baseline NFPC'!V38</f>
        <v>0.10393416</v>
      </c>
      <c r="W39" s="34">
        <f>'Baseline NFPC'!W38</f>
        <v>0.10393416</v>
      </c>
    </row>
    <row r="40" spans="2:51" x14ac:dyDescent="0.2">
      <c r="C40" s="1"/>
      <c r="D40" s="1"/>
      <c r="E40" s="1"/>
      <c r="F40" s="1"/>
      <c r="G40" s="1"/>
      <c r="H40" s="1"/>
      <c r="I40" s="1"/>
      <c r="J40" s="1"/>
      <c r="K40" s="1"/>
      <c r="L40" s="1"/>
      <c r="M40" s="1"/>
      <c r="N40" s="1"/>
      <c r="O40" s="1"/>
      <c r="P40" s="1"/>
      <c r="Q40" s="1"/>
      <c r="R40" s="1"/>
      <c r="S40" s="1"/>
      <c r="T40" s="1"/>
      <c r="U40" s="1"/>
      <c r="V40" s="1"/>
      <c r="W40" s="1"/>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60"/>
    </row>
    <row r="41" spans="2:51" x14ac:dyDescent="0.2">
      <c r="B41" s="28" t="s">
        <v>94</v>
      </c>
      <c r="C41" s="1"/>
      <c r="D41" s="1"/>
      <c r="E41" s="1"/>
      <c r="F41" s="1"/>
      <c r="G41" s="1"/>
      <c r="H41" s="1"/>
      <c r="I41" s="1"/>
      <c r="J41" s="1"/>
      <c r="K41" s="1"/>
      <c r="L41" s="1"/>
      <c r="M41" s="1"/>
      <c r="N41" s="1"/>
      <c r="O41" s="1"/>
      <c r="P41" s="1"/>
      <c r="Q41" s="1"/>
      <c r="R41" s="1"/>
      <c r="S41" s="1"/>
      <c r="T41" s="1"/>
      <c r="U41" s="1"/>
      <c r="V41" s="1"/>
      <c r="W41" s="1"/>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60"/>
    </row>
    <row r="42" spans="2:51" x14ac:dyDescent="0.2">
      <c r="B42" s="26" t="s">
        <v>139</v>
      </c>
      <c r="C42" s="1">
        <f>'Input data'!C42</f>
        <v>1.926131</v>
      </c>
      <c r="D42" s="2">
        <f>'Input data'!D42</f>
        <v>4.7547790000000001</v>
      </c>
      <c r="E42" s="2">
        <f>'Input data'!E42</f>
        <v>6.6476540000000002</v>
      </c>
      <c r="F42" s="2">
        <f>'Input data'!F42</f>
        <v>4.2327859999999999</v>
      </c>
      <c r="G42" s="2">
        <f>'Input data'!G42</f>
        <v>2.2870180000000002</v>
      </c>
      <c r="H42" s="2">
        <f>'Input data'!H42</f>
        <v>1.878755</v>
      </c>
      <c r="I42" s="1">
        <f>'Baseline NFPC'!I41</f>
        <v>1.9376606249999999</v>
      </c>
      <c r="J42" s="1">
        <f>'Baseline NFPC'!J41</f>
        <v>1.9965662499999999</v>
      </c>
      <c r="K42" s="1">
        <f>'Baseline NFPC'!K41</f>
        <v>2.0554718749999998</v>
      </c>
      <c r="L42" s="1">
        <f>'Baseline NFPC'!L41</f>
        <v>2.1143774999999998</v>
      </c>
      <c r="M42" s="1">
        <f>'Baseline NFPC'!M41</f>
        <v>2.1732831250000002</v>
      </c>
      <c r="N42" s="1">
        <f>'Baseline NFPC'!N41</f>
        <v>2.2321887500000002</v>
      </c>
      <c r="O42" s="1">
        <f>'Baseline NFPC'!O41</f>
        <v>2.2910943750000001</v>
      </c>
      <c r="P42" s="251">
        <f>'Baseline NFPC'!P41</f>
        <v>2.35</v>
      </c>
      <c r="Q42" s="1">
        <f>'Baseline NFPC'!Q41</f>
        <v>2.3325</v>
      </c>
      <c r="R42" s="1">
        <f>'Baseline NFPC'!R41</f>
        <v>2.3149999999999999</v>
      </c>
      <c r="S42" s="1">
        <f>'Baseline NFPC'!S41</f>
        <v>2.2974999999999999</v>
      </c>
      <c r="T42" s="1">
        <f>'Baseline NFPC'!T41</f>
        <v>2.2800000000000002</v>
      </c>
      <c r="U42" s="1">
        <f>'Baseline NFPC'!U41</f>
        <v>2.2625000000000002</v>
      </c>
      <c r="V42" s="1">
        <f>'Baseline NFPC'!V41</f>
        <v>2.2450000000000001</v>
      </c>
      <c r="W42" s="1">
        <f>'Baseline NFPC'!W41</f>
        <v>2.2275</v>
      </c>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60"/>
    </row>
    <row r="43" spans="2:51" x14ac:dyDescent="0.2">
      <c r="B43" s="26" t="s">
        <v>95</v>
      </c>
      <c r="C43" s="1">
        <f>'Baseline NFPC'!C42</f>
        <v>0.9999093</v>
      </c>
      <c r="D43" s="1">
        <f>'Baseline NFPC'!D42</f>
        <v>1.0003169999999999</v>
      </c>
      <c r="E43" s="1">
        <f>'Baseline NFPC'!E42</f>
        <v>0.99993010000000004</v>
      </c>
      <c r="F43" s="1">
        <f>'Baseline NFPC'!F42</f>
        <v>0.99998640000000005</v>
      </c>
      <c r="G43" s="1">
        <f>'Baseline NFPC'!G42</f>
        <v>1.000005</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0"/>
    </row>
    <row r="44" spans="2:51" x14ac:dyDescent="0.2">
      <c r="C44" s="36"/>
    </row>
    <row r="45" spans="2:51" s="67" customFormat="1" ht="13.2" x14ac:dyDescent="0.2">
      <c r="B45" s="75" t="s">
        <v>96</v>
      </c>
      <c r="C45" s="68"/>
    </row>
    <row r="46" spans="2:51" x14ac:dyDescent="0.2">
      <c r="C46" s="36"/>
    </row>
    <row r="47" spans="2:51" x14ac:dyDescent="0.2">
      <c r="B47" s="54" t="s">
        <v>68</v>
      </c>
      <c r="C47" s="55">
        <f>'Input data'!C49</f>
        <v>0.75</v>
      </c>
    </row>
    <row r="48" spans="2:51" x14ac:dyDescent="0.2">
      <c r="B48" s="56" t="s">
        <v>247</v>
      </c>
      <c r="C48" s="57">
        <f>'Input data'!C50</f>
        <v>0.57099999999999995</v>
      </c>
    </row>
    <row r="49" spans="2:48" x14ac:dyDescent="0.2">
      <c r="C49" s="58"/>
    </row>
    <row r="50" spans="2:48" outlineLevel="1" x14ac:dyDescent="0.2">
      <c r="B50" s="26" t="s">
        <v>97</v>
      </c>
      <c r="C50" s="34">
        <v>0</v>
      </c>
      <c r="D50" s="34">
        <f>IF(AND(ABS((D12-C12)-('Input data'!D13-'Input data'!C13))&gt;0.0001,ABS(D12-C12)&gt;0.0001,D$10&gt;$C$5),4,IF(C50=4,3,IF(C50=3,2,IF(C50=2,1,0))))</f>
        <v>0</v>
      </c>
      <c r="E50" s="34">
        <f>IF(AND(ABS((E12-D12)-('Input data'!E13-'Input data'!D13))&gt;0.0001,ABS(E12-D12)&gt;0.0001,E$10&gt;$C$5),4,IF(D50=4,3,IF(D50=3,2,IF(D50=2,1,0))))</f>
        <v>0</v>
      </c>
      <c r="F50" s="34">
        <f>IF(AND(ABS((F12-E12)-('Input data'!F13-'Input data'!E13))&gt;0.0001,ABS(F12-E12)&gt;0.0001,F$10&gt;$C$5),4,IF(E50=4,3,IF(E50=3,2,IF(E50=2,1,0))))</f>
        <v>0</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4</v>
      </c>
      <c r="J50" s="34">
        <f>IF(AND(ABS((J12-I12)-('Baseline NFPC'!J12-'Baseline NFPC'!I12))&gt;0.0001,ABS(J12-I12)&gt;0.0001,J$10&gt;$C$5),4,IF(I50=4,3,IF(I50=3,2,IF(I50=2,1,0))))</f>
        <v>4</v>
      </c>
      <c r="K50" s="34">
        <f>IF(AND(ABS((K12-J12)-('Baseline NFPC'!K12-'Baseline NFPC'!J12))&gt;0.0001,ABS(K12-J12)&gt;0.0001,K$10&gt;$C$5),4,IF(J50=4,3,IF(J50=3,2,IF(J50=2,1,0))))</f>
        <v>3</v>
      </c>
      <c r="L50" s="34">
        <f>IF(AND(ABS((L12-K12)-('Baseline NFPC'!L12-'Baseline NFPC'!K12))&gt;0.0001,ABS(L12-K12)&gt;0.0001,L$10&gt;$C$5),4,IF(K50=4,3,IF(K50=3,2,IF(K50=2,1,0))))</f>
        <v>2</v>
      </c>
      <c r="M50" s="34">
        <f>IF(AND(ABS((M12-L12)-('Baseline NFPC'!M12-'Baseline NFPC'!L12))&gt;0.0001,ABS(M12-L12)&gt;0.0001,M$10&gt;$C$5),4,IF(L50=4,3,IF(L50=3,2,IF(L50=2,1,0))))</f>
        <v>1</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f>IF(AND(ABS((V12-U12)-('Baseline NFPC'!V12-'Baseline NFPC'!U12))&gt;0.0001,ABS(V12-U12)&gt;0.0001,V$10&gt;$C$5),4,IF(U50=4,3,IF(U50=3,2,IF(U50=2,1,0))))</f>
        <v>0</v>
      </c>
      <c r="W50" s="34">
        <f>IF(AND(ABS((W12-V12)-('Baseline NFPC'!W12-'Baseline NFPC'!V12))&gt;0.0001,ABS(W12-V12)&gt;0.0001,W$10&gt;$C$5),4,IF(V50=4,3,IF(V50=3,2,IF(V50=2,1,0))))</f>
        <v>0</v>
      </c>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row>
    <row r="51" spans="2:48" outlineLevel="1" x14ac:dyDescent="0.2">
      <c r="B51" s="26" t="s">
        <v>98</v>
      </c>
      <c r="C51" s="34">
        <v>0</v>
      </c>
      <c r="D51" s="34">
        <v>0</v>
      </c>
      <c r="E51" s="34">
        <f>IF(D50=4,2/3*(D30-'Baseline NFPC'!D29),IF(D50=3,1/3*(C30-'Baseline NFPC'!C29),0))</f>
        <v>0</v>
      </c>
      <c r="F51" s="34">
        <f>IF(E50=4,2/3*(E30-'Baseline NFPC'!E29),IF(E50=3,1/3*(D30-'Baseline NFPC'!D29),0))</f>
        <v>0</v>
      </c>
      <c r="G51" s="34">
        <f>IF(F50=4,2/3*(F30-'Baseline NFPC'!F29),IF(F50=3,1/3*(E30-'Baseline NFPC'!E29),0))</f>
        <v>0</v>
      </c>
      <c r="H51" s="34">
        <f>IF(G50=4,2/3*(G30-'Baseline NFPC'!G29),IF(G50=3,1/3*(F30-'Baseline NFPC'!F29),0))</f>
        <v>-0.4798511079248039</v>
      </c>
      <c r="I51" s="34">
        <f>IF(H50=4,2/3*H30,IF(H50=3,1/3*G30,0))</f>
        <v>-1.2863941028416814</v>
      </c>
      <c r="J51" s="34">
        <f t="shared" ref="J51:W51" si="8">IF(I50=4,2/3*I30,IF(I50=3,1/3*H30,0))</f>
        <v>-1.3330737211255734</v>
      </c>
      <c r="K51" s="34">
        <f t="shared" si="8"/>
        <v>-1.3642012203481859</v>
      </c>
      <c r="L51" s="34">
        <f t="shared" si="8"/>
        <v>-0.68210061017409296</v>
      </c>
      <c r="M51" s="34">
        <f t="shared" si="8"/>
        <v>0</v>
      </c>
      <c r="N51" s="34">
        <f t="shared" si="8"/>
        <v>0</v>
      </c>
      <c r="O51" s="34">
        <f t="shared" si="8"/>
        <v>0</v>
      </c>
      <c r="P51" s="34">
        <f t="shared" si="8"/>
        <v>0</v>
      </c>
      <c r="Q51" s="34">
        <f t="shared" si="8"/>
        <v>0</v>
      </c>
      <c r="R51" s="34">
        <f t="shared" si="8"/>
        <v>0</v>
      </c>
      <c r="S51" s="34">
        <f t="shared" si="8"/>
        <v>0</v>
      </c>
      <c r="T51" s="34">
        <f t="shared" si="8"/>
        <v>0</v>
      </c>
      <c r="U51" s="34">
        <f t="shared" si="8"/>
        <v>0</v>
      </c>
      <c r="V51" s="34">
        <f t="shared" si="8"/>
        <v>0</v>
      </c>
      <c r="W51" s="34">
        <f t="shared" si="8"/>
        <v>0</v>
      </c>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row>
    <row r="52" spans="2:48" outlineLevel="1" x14ac:dyDescent="0.2">
      <c r="B52" s="26" t="s">
        <v>99</v>
      </c>
      <c r="C52" s="34"/>
      <c r="D52" s="34">
        <f>'Input data'!D30-$C$47*((D12-C12)-('Input data'!D13-'Input data'!C13))</f>
        <v>5.2778939999999999</v>
      </c>
      <c r="E52" s="34">
        <f>'Input data'!E30-$C$47*((E12-D12)-('Input data'!E13-'Input data'!D13))</f>
        <v>-0.95496389999999998</v>
      </c>
      <c r="F52" s="34">
        <f>'Input data'!F30-$C$47*((F12-E12)-('Input data'!F13-'Input data'!E13))</f>
        <v>-0.62164790000000003</v>
      </c>
      <c r="G52" s="34">
        <f>'Input data'!G30-$C$47*(G12-F12)</f>
        <v>6.5578800000000048E-2</v>
      </c>
      <c r="H52" s="34">
        <f>'Input data'!H30-$C$47*(H12-G12)</f>
        <v>0.64577399999999996</v>
      </c>
      <c r="I52" s="34">
        <f>'Input data'!I30-$C$47*(I12-H12)</f>
        <v>0.58029199999999992</v>
      </c>
      <c r="J52" s="34">
        <f>'Input data'!J30-$C$47*(J12-I12)</f>
        <v>0.50570900000000008</v>
      </c>
      <c r="K52" s="4">
        <f>'Adverse (r-g)'!K24-$C$47*(K12-J12)</f>
        <v>0.77277299999999993</v>
      </c>
      <c r="L52" s="4">
        <f>'Adverse (r-g)'!L24-$C$47*(L12-K12)</f>
        <v>0.61451100000000003</v>
      </c>
      <c r="M52" s="4">
        <f>'Adverse (r-g)'!M24-$C$47*(M12-L12)</f>
        <v>0.62507500000000005</v>
      </c>
      <c r="N52" s="4">
        <f>'Adverse (r-g)'!N24-$C$47*(N12-M12)</f>
        <v>0.61845799999999995</v>
      </c>
      <c r="O52" s="4">
        <f>'Adverse (r-g)'!O24-$C$47*(O12-N12)</f>
        <v>0.6171819999999999</v>
      </c>
      <c r="P52" s="4">
        <f>'Adverse (r-g)'!P24-$C$47*(P12-O12)</f>
        <v>0.66184700000000007</v>
      </c>
      <c r="Q52" s="4">
        <f>'Adverse (r-g)'!Q24-$C$47*(Q12-P12)</f>
        <v>0.74271299999999996</v>
      </c>
      <c r="R52" s="4">
        <f>'Adverse (r-g)'!R24-$C$47*(R12-Q12)</f>
        <v>0.82358400000000009</v>
      </c>
      <c r="S52" s="4">
        <f>'Adverse (r-g)'!S24-$C$47*(S12-R12)</f>
        <v>0.90445599999999993</v>
      </c>
      <c r="T52" s="4">
        <f>'Adverse (r-g)'!T24-$C$47*(T12-S12)</f>
        <v>0.96817099999999989</v>
      </c>
      <c r="U52" s="4">
        <f>'Adverse (r-g)'!U24-$C$47*(U12-T12)</f>
        <v>1.0339339999999999</v>
      </c>
      <c r="V52" s="4">
        <f>'Adverse (r-g)'!V24-$C$47*(V12-U12)</f>
        <v>1.0987119999999999</v>
      </c>
      <c r="W52" s="4">
        <f>'Adverse (r-g)'!W24-$C$47*(W12-V12)</f>
        <v>1.0829789999999999</v>
      </c>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row>
    <row r="53" spans="2:48" x14ac:dyDescent="0.2">
      <c r="C53" s="36"/>
    </row>
    <row r="54" spans="2:48" s="67" customFormat="1" ht="13.2" outlineLevel="1" x14ac:dyDescent="0.2">
      <c r="B54" s="72" t="s">
        <v>100</v>
      </c>
      <c r="C54" s="69"/>
      <c r="E54" s="70"/>
      <c r="F54" s="69"/>
    </row>
    <row r="55" spans="2:48" outlineLevel="1" x14ac:dyDescent="0.2">
      <c r="B55" s="43"/>
      <c r="C55" s="29"/>
      <c r="E55" s="44"/>
      <c r="F55" s="29"/>
    </row>
    <row r="56" spans="2:48" outlineLevel="1" x14ac:dyDescent="0.2">
      <c r="B56" s="84"/>
      <c r="C56" s="85">
        <v>2021</v>
      </c>
      <c r="D56" s="85">
        <v>2022</v>
      </c>
      <c r="E56" s="85">
        <v>2023</v>
      </c>
      <c r="F56" s="85">
        <v>2024</v>
      </c>
      <c r="G56" s="85">
        <v>2025</v>
      </c>
      <c r="H56" s="85">
        <v>2026</v>
      </c>
      <c r="I56" s="85">
        <v>2027</v>
      </c>
      <c r="J56" s="85">
        <v>2028</v>
      </c>
      <c r="K56" s="85">
        <v>2029</v>
      </c>
      <c r="L56" s="85">
        <v>2030</v>
      </c>
      <c r="M56" s="85">
        <v>2031</v>
      </c>
      <c r="N56" s="85">
        <v>2032</v>
      </c>
      <c r="O56" s="85">
        <v>2033</v>
      </c>
      <c r="P56" s="85">
        <v>2034</v>
      </c>
      <c r="Q56" s="85">
        <v>2035</v>
      </c>
      <c r="R56" s="85">
        <v>2036</v>
      </c>
      <c r="S56" s="85">
        <v>2037</v>
      </c>
      <c r="T56" s="85">
        <v>2038</v>
      </c>
      <c r="U56" s="85">
        <v>2039</v>
      </c>
      <c r="V56" s="85">
        <v>2040</v>
      </c>
      <c r="W56" s="85">
        <v>2041</v>
      </c>
    </row>
    <row r="57" spans="2:48" ht="10.5" customHeight="1" outlineLevel="1" x14ac:dyDescent="0.2">
      <c r="B57" s="86" t="s">
        <v>101</v>
      </c>
      <c r="C57" s="45">
        <f>+'Input data'!C12</f>
        <v>82.394589999999994</v>
      </c>
      <c r="D57" s="45">
        <f>+C57+D58</f>
        <v>78.37562031561059</v>
      </c>
      <c r="E57" s="45">
        <f>+D57+E58</f>
        <v>78.551901298157986</v>
      </c>
      <c r="F57" s="45">
        <f t="shared" ref="F57:T57" si="9">+E57+F58</f>
        <v>79.538050043568091</v>
      </c>
      <c r="G57" s="45">
        <f t="shared" si="9"/>
        <v>80.81308351777497</v>
      </c>
      <c r="H57" s="45">
        <f t="shared" si="9"/>
        <v>80.673518010562546</v>
      </c>
      <c r="I57" s="45">
        <f t="shared" si="9"/>
        <v>79.484335796243897</v>
      </c>
      <c r="J57" s="45">
        <f t="shared" si="9"/>
        <v>77.440287313107248</v>
      </c>
      <c r="K57" s="45">
        <f t="shared" si="9"/>
        <v>75.004992289764871</v>
      </c>
      <c r="L57" s="45">
        <f t="shared" si="9"/>
        <v>72.305007229714292</v>
      </c>
      <c r="M57" s="45">
        <f t="shared" si="9"/>
        <v>69.390940360032289</v>
      </c>
      <c r="N57" s="45">
        <f t="shared" si="9"/>
        <v>67.117645266000508</v>
      </c>
      <c r="O57" s="46">
        <f t="shared" si="9"/>
        <v>64.940665998724739</v>
      </c>
      <c r="P57" s="46">
        <f t="shared" si="9"/>
        <v>62.855850013326645</v>
      </c>
      <c r="Q57" s="46">
        <f t="shared" si="9"/>
        <v>60.847203639247176</v>
      </c>
      <c r="R57" s="46">
        <f t="shared" si="9"/>
        <v>58.893394977319566</v>
      </c>
      <c r="S57" s="46">
        <f t="shared" si="9"/>
        <v>56.98035216332871</v>
      </c>
      <c r="T57" s="46">
        <f t="shared" si="9"/>
        <v>55.098833611471441</v>
      </c>
      <c r="U57" s="46">
        <f t="shared" ref="U57" si="10">+T57+U58</f>
        <v>53.236472015569213</v>
      </c>
      <c r="V57" s="46">
        <f t="shared" ref="V57" si="11">+U57+V58</f>
        <v>51.377986346357162</v>
      </c>
      <c r="W57" s="46">
        <f t="shared" ref="W57" si="12">+V57+W58</f>
        <v>49.568587482255381</v>
      </c>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row>
    <row r="58" spans="2:48" outlineLevel="1" x14ac:dyDescent="0.2">
      <c r="B58" s="87" t="s">
        <v>102</v>
      </c>
      <c r="C58" s="47"/>
      <c r="D58" s="47">
        <f>-D59+D67+D72</f>
        <v>-4.0189696843894005</v>
      </c>
      <c r="E58" s="47">
        <f>-E59+E67+E72</f>
        <v>0.17628098254739477</v>
      </c>
      <c r="F58" s="47">
        <f t="shared" ref="F58:T58" si="13">-F59+F67+F72</f>
        <v>0.98614874541010245</v>
      </c>
      <c r="G58" s="47">
        <f t="shared" si="13"/>
        <v>1.2750334742068725</v>
      </c>
      <c r="H58" s="47">
        <f t="shared" si="13"/>
        <v>-0.1395655072124222</v>
      </c>
      <c r="I58" s="47">
        <f t="shared" si="13"/>
        <v>-1.1891822143186457</v>
      </c>
      <c r="J58" s="47">
        <f t="shared" si="13"/>
        <v>-2.0440484831366503</v>
      </c>
      <c r="K58" s="47">
        <f t="shared" si="13"/>
        <v>-2.4352950233423716</v>
      </c>
      <c r="L58" s="47">
        <f t="shared" si="13"/>
        <v>-2.6999850600505768</v>
      </c>
      <c r="M58" s="47">
        <f t="shared" si="13"/>
        <v>-2.9140668696819993</v>
      </c>
      <c r="N58" s="47">
        <f t="shared" si="13"/>
        <v>-2.2732950940317744</v>
      </c>
      <c r="O58" s="47">
        <f t="shared" si="13"/>
        <v>-2.176979267275768</v>
      </c>
      <c r="P58" s="47">
        <f t="shared" si="13"/>
        <v>-2.084815985398091</v>
      </c>
      <c r="Q58" s="47">
        <f t="shared" si="13"/>
        <v>-2.008646374079468</v>
      </c>
      <c r="R58" s="47">
        <f t="shared" si="13"/>
        <v>-1.9538086619276072</v>
      </c>
      <c r="S58" s="47">
        <f t="shared" si="13"/>
        <v>-1.9130428139908546</v>
      </c>
      <c r="T58" s="47">
        <f t="shared" si="13"/>
        <v>-1.8815185518572703</v>
      </c>
      <c r="U58" s="47">
        <f t="shared" ref="U58:W58" si="14">-U59+U67+U72</f>
        <v>-1.8623615959022282</v>
      </c>
      <c r="V58" s="47">
        <f t="shared" si="14"/>
        <v>-1.8584856692120539</v>
      </c>
      <c r="W58" s="47">
        <f t="shared" si="14"/>
        <v>-1.8093988641017822</v>
      </c>
    </row>
    <row r="59" spans="2:48" outlineLevel="1" x14ac:dyDescent="0.2">
      <c r="B59" s="83" t="s">
        <v>103</v>
      </c>
      <c r="C59" s="48"/>
      <c r="D59" s="48">
        <f>D60+D61-D62-D63-D64-D65-D66</f>
        <v>-2.3562082156106046</v>
      </c>
      <c r="E59" s="48">
        <f t="shared" ref="E59:T59" si="15">E60+E61-E62-E63-E64-E65-E66</f>
        <v>-1.4167519825473818</v>
      </c>
      <c r="F59" s="48">
        <f t="shared" si="15"/>
        <v>-2.1237579454101025</v>
      </c>
      <c r="G59" s="48">
        <f t="shared" si="15"/>
        <v>-1.5011166843416499</v>
      </c>
      <c r="H59" s="48">
        <f t="shared" si="15"/>
        <v>-0.47692654908390009</v>
      </c>
      <c r="I59" s="48">
        <f t="shared" si="15"/>
        <v>0.46309235785594649</v>
      </c>
      <c r="J59" s="48">
        <f t="shared" si="15"/>
        <v>1.4164316547717788</v>
      </c>
      <c r="K59" s="48">
        <f t="shared" si="15"/>
        <v>1.7106695031811867</v>
      </c>
      <c r="L59" s="48">
        <f t="shared" si="15"/>
        <v>1.9961572515905828</v>
      </c>
      <c r="M59" s="48">
        <f t="shared" si="15"/>
        <v>2.2819049999999987</v>
      </c>
      <c r="N59" s="48">
        <f t="shared" si="15"/>
        <v>2.1853322650194</v>
      </c>
      <c r="O59" s="48">
        <f t="shared" si="15"/>
        <v>2.1297395300244215</v>
      </c>
      <c r="P59" s="48">
        <f t="shared" si="15"/>
        <v>2.0428290645157907</v>
      </c>
      <c r="Q59" s="48">
        <f t="shared" si="15"/>
        <v>1.986685664144737</v>
      </c>
      <c r="R59" s="48">
        <f t="shared" si="15"/>
        <v>1.946652365137612</v>
      </c>
      <c r="S59" s="48">
        <f t="shared" si="15"/>
        <v>1.9161590674922531</v>
      </c>
      <c r="T59" s="48">
        <f t="shared" si="15"/>
        <v>1.9007197295910896</v>
      </c>
      <c r="U59" s="48">
        <f t="shared" ref="U59:W59" si="16">U60+U61-U62-U63-U64-U65-U66</f>
        <v>1.8925974644344787</v>
      </c>
      <c r="V59" s="48">
        <f t="shared" si="16"/>
        <v>1.896997558817975</v>
      </c>
      <c r="W59" s="48">
        <f t="shared" si="16"/>
        <v>1.8943376534652696</v>
      </c>
    </row>
    <row r="60" spans="2:48" outlineLevel="1" x14ac:dyDescent="0.2">
      <c r="B60" s="78" t="s">
        <v>104</v>
      </c>
      <c r="C60" s="1"/>
      <c r="D60" s="1">
        <f>D12</f>
        <v>-3.493954</v>
      </c>
      <c r="E60" s="1">
        <f>E12</f>
        <v>-1.399295</v>
      </c>
      <c r="F60" s="1">
        <f>F12</f>
        <v>-1.3351299999999999</v>
      </c>
      <c r="G60" s="1">
        <f t="shared" ref="G60:W60" si="17">IF(G12="",F60,G12)</f>
        <v>-0.35512999999999995</v>
      </c>
      <c r="H60" s="1">
        <f t="shared" si="17"/>
        <v>0.62487000000000004</v>
      </c>
      <c r="I60" s="1">
        <f t="shared" si="17"/>
        <v>1.60487</v>
      </c>
      <c r="J60" s="1">
        <f t="shared" si="17"/>
        <v>2.58487</v>
      </c>
      <c r="K60" s="1">
        <f t="shared" si="17"/>
        <v>2.58487</v>
      </c>
      <c r="L60" s="1">
        <f t="shared" si="17"/>
        <v>2.58487</v>
      </c>
      <c r="M60" s="1">
        <f t="shared" si="17"/>
        <v>2.58487</v>
      </c>
      <c r="N60" s="1">
        <f t="shared" si="17"/>
        <v>2.58487</v>
      </c>
      <c r="O60" s="1">
        <f t="shared" si="17"/>
        <v>2.58487</v>
      </c>
      <c r="P60" s="1">
        <f t="shared" si="17"/>
        <v>2.58487</v>
      </c>
      <c r="Q60" s="1">
        <f t="shared" si="17"/>
        <v>2.58487</v>
      </c>
      <c r="R60" s="1">
        <f t="shared" si="17"/>
        <v>2.58487</v>
      </c>
      <c r="S60" s="1">
        <f t="shared" si="17"/>
        <v>2.58487</v>
      </c>
      <c r="T60" s="1">
        <f t="shared" si="17"/>
        <v>2.58487</v>
      </c>
      <c r="U60" s="1">
        <f t="shared" si="17"/>
        <v>2.58487</v>
      </c>
      <c r="V60" s="1">
        <f t="shared" si="17"/>
        <v>2.58487</v>
      </c>
      <c r="W60" s="1">
        <f t="shared" si="17"/>
        <v>2.58487</v>
      </c>
    </row>
    <row r="61" spans="2:48" outlineLevel="1" x14ac:dyDescent="0.2">
      <c r="B61" s="78"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78" t="s">
        <v>106</v>
      </c>
      <c r="C62" s="1"/>
      <c r="D62" s="1">
        <f t="shared" ref="D62:W62" si="18">-$C$48*D30</f>
        <v>-1.1377457843893952</v>
      </c>
      <c r="E62" s="1">
        <f t="shared" si="18"/>
        <v>1.7456982547381872E-2</v>
      </c>
      <c r="F62" s="1">
        <f t="shared" si="18"/>
        <v>0.78862794541010239</v>
      </c>
      <c r="G62" s="1">
        <f t="shared" si="18"/>
        <v>1.14598668434165</v>
      </c>
      <c r="H62" s="1">
        <f t="shared" si="18"/>
        <v>1.1017965490839001</v>
      </c>
      <c r="I62" s="1">
        <f t="shared" si="18"/>
        <v>1.1417776421440535</v>
      </c>
      <c r="J62" s="1">
        <f t="shared" si="18"/>
        <v>1.1684383452282212</v>
      </c>
      <c r="K62" s="1">
        <f t="shared" si="18"/>
        <v>0.77895889681881203</v>
      </c>
      <c r="L62" s="1">
        <f t="shared" si="18"/>
        <v>0.38947944840941556</v>
      </c>
      <c r="M62" s="1">
        <f t="shared" si="18"/>
        <v>0</v>
      </c>
      <c r="N62" s="1">
        <f t="shared" si="18"/>
        <v>1.1349806013360997E-6</v>
      </c>
      <c r="O62" s="1">
        <f t="shared" si="18"/>
        <v>2.2699755803712306E-6</v>
      </c>
      <c r="P62" s="1">
        <f t="shared" si="18"/>
        <v>1.1354842075039782E-6</v>
      </c>
      <c r="Q62" s="1">
        <f t="shared" si="18"/>
        <v>2.8358552649487829E-6</v>
      </c>
      <c r="R62" s="1">
        <f t="shared" si="18"/>
        <v>4.5348623871732661E-6</v>
      </c>
      <c r="S62" s="1">
        <f t="shared" si="18"/>
        <v>6.2325077485825272E-6</v>
      </c>
      <c r="T62" s="1">
        <f t="shared" si="18"/>
        <v>3.9704089094816375E-6</v>
      </c>
      <c r="U62" s="1">
        <f t="shared" si="18"/>
        <v>4.5355655251211321E-6</v>
      </c>
      <c r="V62" s="1">
        <f t="shared" si="18"/>
        <v>2.8411820249374385E-6</v>
      </c>
      <c r="W62" s="1">
        <f t="shared" si="18"/>
        <v>1.1465347307448858E-6</v>
      </c>
    </row>
    <row r="63" spans="2:48" outlineLevel="1" x14ac:dyDescent="0.2">
      <c r="B63" s="78" t="s">
        <v>107</v>
      </c>
      <c r="C63" s="1"/>
      <c r="D63" s="1">
        <f t="shared" ref="D63:W63" si="19">-D13</f>
        <v>0</v>
      </c>
      <c r="E63" s="1">
        <f t="shared" si="19"/>
        <v>0</v>
      </c>
      <c r="F63" s="1">
        <f t="shared" si="19"/>
        <v>0</v>
      </c>
      <c r="G63" s="1">
        <f t="shared" si="19"/>
        <v>0</v>
      </c>
      <c r="H63" s="1">
        <f t="shared" si="19"/>
        <v>0</v>
      </c>
      <c r="I63" s="1">
        <f t="shared" si="19"/>
        <v>0</v>
      </c>
      <c r="J63" s="1">
        <f t="shared" si="19"/>
        <v>0</v>
      </c>
      <c r="K63" s="1">
        <f t="shared" si="19"/>
        <v>0</v>
      </c>
      <c r="L63" s="1">
        <f t="shared" si="19"/>
        <v>0</v>
      </c>
      <c r="M63" s="1">
        <f t="shared" si="19"/>
        <v>0</v>
      </c>
      <c r="N63" s="1">
        <f t="shared" si="19"/>
        <v>0</v>
      </c>
      <c r="O63" s="1">
        <f t="shared" si="19"/>
        <v>0</v>
      </c>
      <c r="P63" s="1">
        <f t="shared" si="19"/>
        <v>0</v>
      </c>
      <c r="Q63" s="1">
        <f t="shared" si="19"/>
        <v>0</v>
      </c>
      <c r="R63" s="1">
        <f t="shared" si="19"/>
        <v>0</v>
      </c>
      <c r="S63" s="1">
        <f t="shared" si="19"/>
        <v>0</v>
      </c>
      <c r="T63" s="1">
        <f t="shared" si="19"/>
        <v>0</v>
      </c>
      <c r="U63" s="1">
        <f t="shared" si="19"/>
        <v>0</v>
      </c>
      <c r="V63" s="1">
        <f t="shared" si="19"/>
        <v>0</v>
      </c>
      <c r="W63" s="1">
        <f t="shared" si="19"/>
        <v>0</v>
      </c>
    </row>
    <row r="64" spans="2:48" outlineLevel="1" x14ac:dyDescent="0.2">
      <c r="B64" s="78" t="s">
        <v>108</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8.8180000000001257E-2</v>
      </c>
      <c r="L64" s="1">
        <f>IF(L$56&lt;=$C$6,0,HLOOKUP(L$56,'Input data'!$C$9:$BB$26,12,FALSE)-HLOOKUP($C$6,'Input data'!$C$9:$BB$26,12,FALSE))</f>
        <v>0.18511000000000166</v>
      </c>
      <c r="M64" s="1">
        <f>IF(M$56&lt;=$C$6,0,HLOOKUP(M$56,'Input data'!$C$9:$BB$26,12,FALSE)-HLOOKUP($C$6,'Input data'!$C$9:$BB$26,12,FALSE))</f>
        <v>0.28178000000000125</v>
      </c>
      <c r="N64" s="1">
        <f>IF(N$56&lt;=$C$6,0,HLOOKUP(N$56,'Input data'!$C$9:$BB$26,12,FALSE)-HLOOKUP($C$6,'Input data'!$C$9:$BB$26,12,FALSE))</f>
        <v>0.37128999999999834</v>
      </c>
      <c r="O64" s="1">
        <f>IF(O$56&lt;=$C$6,0,HLOOKUP(O$56,'Input data'!$C$9:$BB$26,12,FALSE)-HLOOKUP($C$6,'Input data'!$C$9:$BB$26,12,FALSE))</f>
        <v>0.41981999999999786</v>
      </c>
      <c r="P64" s="1">
        <f>IF(P$56&lt;=$C$6,0,HLOOKUP(P$56,'Input data'!$C$9:$BB$26,12,FALSE)-HLOOKUP($C$6,'Input data'!$C$9:$BB$26,12,FALSE))</f>
        <v>0.49967000000000183</v>
      </c>
      <c r="Q64" s="1">
        <f>IF(Q$56&lt;=$C$6,0,HLOOKUP(Q$56,'Input data'!$C$9:$BB$26,12,FALSE)-HLOOKUP($C$6,'Input data'!$C$9:$BB$26,12,FALSE))</f>
        <v>0.54874999999999829</v>
      </c>
      <c r="R64" s="1">
        <f>IF(R$56&lt;=$C$6,0,HLOOKUP(R$56,'Input data'!$C$9:$BB$26,12,FALSE)-HLOOKUP($C$6,'Input data'!$C$9:$BB$26,12,FALSE))</f>
        <v>0.58172000000000068</v>
      </c>
      <c r="S64" s="1">
        <f>IF(S$56&lt;=$C$6,0,HLOOKUP(S$56,'Input data'!$C$9:$BB$26,12,FALSE)-HLOOKUP($C$6,'Input data'!$C$9:$BB$26,12,FALSE))</f>
        <v>0.6051499999999983</v>
      </c>
      <c r="T64" s="1">
        <f>IF(T$56&lt;=$C$6,0,HLOOKUP(T$56,'Input data'!$C$9:$BB$26,12,FALSE)-HLOOKUP($C$6,'Input data'!$C$9:$BB$26,12,FALSE))</f>
        <v>0.6135300000000008</v>
      </c>
      <c r="U64" s="1">
        <f>IF(U$56&lt;=$C$6,0,HLOOKUP(U$56,'Input data'!$C$9:$BB$26,12,FALSE)-HLOOKUP($C$6,'Input data'!$C$9:$BB$26,12,FALSE))</f>
        <v>0.61458999999999619</v>
      </c>
      <c r="V64" s="1">
        <f>IF(V$56&lt;=$C$6,0,HLOOKUP(V$56,'Input data'!$C$9:$BB$26,12,FALSE)-HLOOKUP($C$6,'Input data'!$C$9:$BB$26,12,FALSE))</f>
        <v>0.60313000000000017</v>
      </c>
      <c r="W64" s="1">
        <f>IF(W$56&lt;=$C$6,0,HLOOKUP(W$56,'Input data'!$C$9:$BB$26,12,FALSE)-HLOOKUP($C$6,'Input data'!$C$9:$BB$26,12,FALSE))</f>
        <v>0.59872999999999976</v>
      </c>
    </row>
    <row r="65" spans="2:23" outlineLevel="1" x14ac:dyDescent="0.2">
      <c r="B65" s="78" t="s">
        <v>109</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7.0616000000000012E-3</v>
      </c>
      <c r="L65" s="1">
        <f>IF(L$56&lt;=$C$6,0,-HLOOKUP(L$56,'Input data'!$C$9:$BB$26,18,FALSE)+HLOOKUP($C$6,'Input data'!$C$9:$BB$26,18,FALSE))</f>
        <v>1.412329999999995E-2</v>
      </c>
      <c r="M65" s="1">
        <f>IF(M$56&lt;=$C$6,0,-HLOOKUP(M$56,'Input data'!$C$9:$BB$26,18,FALSE)+HLOOKUP($C$6,'Input data'!$C$9:$BB$26,18,FALSE))</f>
        <v>2.1185000000000009E-2</v>
      </c>
      <c r="N65" s="1">
        <f>IF(N$56&lt;=$C$6,0,-HLOOKUP(N$56,'Input data'!$C$9:$BB$26,18,FALSE)+HLOOKUP($C$6,'Input data'!$C$9:$BB$26,18,FALSE))</f>
        <v>2.8246600000000011E-2</v>
      </c>
      <c r="O65" s="1">
        <f>IF(O$56&lt;=$C$6,0,-HLOOKUP(O$56,'Input data'!$C$9:$BB$26,18,FALSE)+HLOOKUP($C$6,'Input data'!$C$9:$BB$26,18,FALSE))</f>
        <v>3.5308200000000012E-2</v>
      </c>
      <c r="P65" s="1">
        <f>IF(P$56&lt;=$C$6,0,-HLOOKUP(P$56,'Input data'!$C$9:$BB$26,18,FALSE)+HLOOKUP($C$6,'Input data'!$C$9:$BB$26,18,FALSE))</f>
        <v>4.2369800000000013E-2</v>
      </c>
      <c r="Q65" s="1">
        <f>IF(Q$56&lt;=$C$6,0,-HLOOKUP(Q$56,'Input data'!$C$9:$BB$26,18,FALSE)+HLOOKUP($C$6,'Input data'!$C$9:$BB$26,18,FALSE))</f>
        <v>4.9431499999999962E-2</v>
      </c>
      <c r="R65" s="1">
        <f>IF(R$56&lt;=$C$6,0,-HLOOKUP(R$56,'Input data'!$C$9:$BB$26,18,FALSE)+HLOOKUP($C$6,'Input data'!$C$9:$BB$26,18,FALSE))</f>
        <v>5.6493099999999963E-2</v>
      </c>
      <c r="S65" s="1">
        <f>IF(S$56&lt;=$C$6,0,-HLOOKUP(S$56,'Input data'!$C$9:$BB$26,18,FALSE)+HLOOKUP($C$6,'Input data'!$C$9:$BB$26,18,FALSE))</f>
        <v>6.3554699999999964E-2</v>
      </c>
      <c r="T65" s="1">
        <f>IF(T$56&lt;=$C$6,0,-HLOOKUP(T$56,'Input data'!$C$9:$BB$26,18,FALSE)+HLOOKUP($C$6,'Input data'!$C$9:$BB$26,18,FALSE))</f>
        <v>7.0616299999999965E-2</v>
      </c>
      <c r="U65" s="1">
        <f>IF(U$56&lt;=$C$6,0,-HLOOKUP(U$56,'Input data'!$C$9:$BB$26,18,FALSE)+HLOOKUP($C$6,'Input data'!$C$9:$BB$26,18,FALSE))</f>
        <v>7.7678000000000025E-2</v>
      </c>
      <c r="V65" s="1">
        <f>IF(V$56&lt;=$C$6,0,-HLOOKUP(V$56,'Input data'!$C$9:$BB$26,18,FALSE)+HLOOKUP($C$6,'Input data'!$C$9:$BB$26,18,FALSE))</f>
        <v>8.4739600000000026E-2</v>
      </c>
      <c r="W65" s="1">
        <f>IF(W$56&lt;=$C$6,0,-HLOOKUP(W$56,'Input data'!$C$9:$BB$26,18,FALSE)+HLOOKUP($C$6,'Input data'!$C$9:$BB$26,18,FALSE))</f>
        <v>9.1801200000000027E-2</v>
      </c>
    </row>
    <row r="66" spans="2:23" outlineLevel="1" x14ac:dyDescent="0.2">
      <c r="B66" s="78"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37">
        <v>0</v>
      </c>
      <c r="V66" s="37">
        <v>0</v>
      </c>
      <c r="W66" s="37">
        <v>0</v>
      </c>
    </row>
    <row r="67" spans="2:23" outlineLevel="1" x14ac:dyDescent="0.2">
      <c r="B67" s="83" t="s">
        <v>111</v>
      </c>
      <c r="C67" s="48"/>
      <c r="D67" s="48">
        <f t="shared" ref="D67:T67" si="20">SUM(D68:D71)</f>
        <v>-6.7322810000000048</v>
      </c>
      <c r="E67" s="48">
        <f>SUM(E68:E71)</f>
        <v>-2.9737779999999869</v>
      </c>
      <c r="F67" s="48">
        <f t="shared" si="20"/>
        <v>-1.2376340000000001</v>
      </c>
      <c r="G67" s="48">
        <f t="shared" si="20"/>
        <v>-0.32608321013477748</v>
      </c>
      <c r="H67" s="48">
        <f t="shared" si="20"/>
        <v>-0.71649965629632228</v>
      </c>
      <c r="I67" s="48">
        <f t="shared" si="20"/>
        <v>-0.7260898564626993</v>
      </c>
      <c r="J67" s="48">
        <f t="shared" si="20"/>
        <v>-0.62761682836487154</v>
      </c>
      <c r="K67" s="48">
        <f t="shared" si="20"/>
        <v>-0.72462552016118476</v>
      </c>
      <c r="L67" s="48">
        <f t="shared" si="20"/>
        <v>-0.70382780845999382</v>
      </c>
      <c r="M67" s="48">
        <f t="shared" si="20"/>
        <v>-0.63216186968200072</v>
      </c>
      <c r="N67" s="48">
        <f t="shared" si="20"/>
        <v>-8.7962829012374177E-2</v>
      </c>
      <c r="O67" s="48">
        <f t="shared" si="20"/>
        <v>-4.7239737251346225E-2</v>
      </c>
      <c r="P67" s="48">
        <f t="shared" si="20"/>
        <v>-4.1986920882300049E-2</v>
      </c>
      <c r="Q67" s="48">
        <f t="shared" si="20"/>
        <v>-2.1960709934730982E-2</v>
      </c>
      <c r="R67" s="48">
        <f t="shared" si="20"/>
        <v>-7.1562967899951868E-3</v>
      </c>
      <c r="S67" s="48">
        <f t="shared" si="20"/>
        <v>3.116253501398436E-3</v>
      </c>
      <c r="T67" s="48">
        <f t="shared" si="20"/>
        <v>1.9201177733819241E-2</v>
      </c>
      <c r="U67" s="48">
        <f t="shared" ref="U67:W67" si="21">SUM(U68:U71)</f>
        <v>3.0235868532250576E-2</v>
      </c>
      <c r="V67" s="48">
        <f t="shared" si="21"/>
        <v>3.8511889605921112E-2</v>
      </c>
      <c r="W67" s="48">
        <f t="shared" si="21"/>
        <v>8.4938789363487421E-2</v>
      </c>
    </row>
    <row r="68" spans="2:23" outlineLevel="1" x14ac:dyDescent="0.2">
      <c r="B68" s="78" t="s">
        <v>112</v>
      </c>
      <c r="C68" s="34"/>
      <c r="D68" s="34">
        <f>C57*D36/100*(1/(1+D33/100))</f>
        <v>0.95047268591534773</v>
      </c>
      <c r="E68" s="34">
        <f>D57*E36/100*(1/(1+E33/100))</f>
        <v>1.2031122695315895</v>
      </c>
      <c r="F68" s="34">
        <f t="shared" ref="F68:W68" si="22">E57*F36/100*(1/(1+F33/100))</f>
        <v>1.4808808255417976</v>
      </c>
      <c r="G68" s="34">
        <f>F57*G36/100*(1/(1+G33/100))</f>
        <v>1.5032478336494259</v>
      </c>
      <c r="H68" s="34">
        <f t="shared" si="22"/>
        <v>1.4787897889267285</v>
      </c>
      <c r="I68" s="34">
        <f t="shared" si="22"/>
        <v>1.5859604267920924</v>
      </c>
      <c r="J68" s="34">
        <f t="shared" si="22"/>
        <v>1.6569015935976448</v>
      </c>
      <c r="K68" s="34">
        <f t="shared" si="22"/>
        <v>1.7530257266914493</v>
      </c>
      <c r="L68" s="34">
        <f t="shared" si="22"/>
        <v>1.7992108522139039</v>
      </c>
      <c r="M68" s="34">
        <f t="shared" si="22"/>
        <v>1.8251066140052752</v>
      </c>
      <c r="N68" s="34">
        <f t="shared" si="22"/>
        <v>1.8443569109842175</v>
      </c>
      <c r="O68" s="34">
        <f t="shared" si="22"/>
        <v>1.8585231370359685</v>
      </c>
      <c r="P68" s="34">
        <f t="shared" si="22"/>
        <v>1.8662568835925708</v>
      </c>
      <c r="Q68" s="34">
        <f t="shared" si="22"/>
        <v>1.8635688746499979</v>
      </c>
      <c r="R68" s="34">
        <f t="shared" si="22"/>
        <v>1.8553732468583404</v>
      </c>
      <c r="S68" s="34">
        <f t="shared" si="22"/>
        <v>1.8418376870727786</v>
      </c>
      <c r="T68" s="34">
        <f t="shared" si="22"/>
        <v>1.8235905083386064</v>
      </c>
      <c r="U68" s="34">
        <f t="shared" si="22"/>
        <v>1.8006471035387885</v>
      </c>
      <c r="V68" s="34">
        <f t="shared" si="22"/>
        <v>1.7732838667922375</v>
      </c>
      <c r="W68" s="34">
        <f t="shared" si="22"/>
        <v>1.7429037930683473</v>
      </c>
    </row>
    <row r="69" spans="2:23" outlineLevel="1" x14ac:dyDescent="0.2">
      <c r="B69" s="78" t="s">
        <v>113</v>
      </c>
      <c r="C69" s="34"/>
      <c r="D69" s="34">
        <f t="shared" ref="D69:W69" si="23">-C57*(D23/100)*(1/(1+D33/100))</f>
        <v>-3.9431956595764022</v>
      </c>
      <c r="E69" s="34">
        <f>-D57*(E23/100)*(1/(1+E33/100))</f>
        <v>0.7085718986338686</v>
      </c>
      <c r="F69" s="34">
        <f t="shared" si="23"/>
        <v>0.47141677796707321</v>
      </c>
      <c r="G69" s="34">
        <f t="shared" si="23"/>
        <v>-5.0960440759242234E-2</v>
      </c>
      <c r="H69" s="34">
        <f t="shared" si="23"/>
        <v>-0.70500832896444232</v>
      </c>
      <c r="I69" s="34">
        <f t="shared" si="23"/>
        <v>-0.7785846497403538</v>
      </c>
      <c r="J69" s="34">
        <f t="shared" si="23"/>
        <v>-0.72862543370765498</v>
      </c>
      <c r="K69" s="34">
        <f t="shared" si="23"/>
        <v>-0.91794719924434631</v>
      </c>
      <c r="L69" s="34">
        <f t="shared" si="23"/>
        <v>-0.9499873473546514</v>
      </c>
      <c r="M69" s="34">
        <f t="shared" si="23"/>
        <v>-0.91930036463314846</v>
      </c>
      <c r="N69" s="34">
        <f t="shared" si="23"/>
        <v>-0.41720323591426006</v>
      </c>
      <c r="O69" s="34">
        <f t="shared" si="23"/>
        <v>-0.40247599998282657</v>
      </c>
      <c r="P69" s="34">
        <f t="shared" si="23"/>
        <v>-0.41717819531997963</v>
      </c>
      <c r="Q69" s="34">
        <f t="shared" si="23"/>
        <v>-0.45283449596591874</v>
      </c>
      <c r="R69" s="34">
        <f t="shared" si="23"/>
        <v>-0.48578833830349649</v>
      </c>
      <c r="S69" s="34">
        <f t="shared" si="23"/>
        <v>-0.51603441814684192</v>
      </c>
      <c r="T69" s="34">
        <f t="shared" si="23"/>
        <v>-0.53419767111720917</v>
      </c>
      <c r="U69" s="34">
        <f t="shared" si="23"/>
        <v>-0.55138069061388029</v>
      </c>
      <c r="V69" s="34">
        <f t="shared" si="23"/>
        <v>-0.56585535852571833</v>
      </c>
      <c r="W69" s="34">
        <f t="shared" si="23"/>
        <v>-0.53845738993644554</v>
      </c>
    </row>
    <row r="70" spans="2:23" outlineLevel="1" x14ac:dyDescent="0.2">
      <c r="B70" s="78" t="s">
        <v>114</v>
      </c>
      <c r="C70" s="34"/>
      <c r="D70" s="34">
        <f t="shared" ref="D70:T70" si="24">-C57*D42/100*(1/(1+D42/100))</f>
        <v>-3.7398586487935788</v>
      </c>
      <c r="E70" s="34">
        <f>-D57*E42/100*(1/(1+E42/100))</f>
        <v>-4.8853770931852845</v>
      </c>
      <c r="F70" s="34">
        <f t="shared" si="24"/>
        <v>-3.1899117432035724</v>
      </c>
      <c r="G70" s="34">
        <f t="shared" si="24"/>
        <v>-1.7783777031660166</v>
      </c>
      <c r="H70" s="34">
        <f t="shared" si="24"/>
        <v>-1.4902811162586085</v>
      </c>
      <c r="I70" s="34">
        <f t="shared" si="24"/>
        <v>-1.5334656335144379</v>
      </c>
      <c r="J70" s="34">
        <f t="shared" si="24"/>
        <v>-1.5558929882548613</v>
      </c>
      <c r="K70" s="34">
        <f t="shared" si="24"/>
        <v>-1.5597040476082877</v>
      </c>
      <c r="L70" s="34">
        <f t="shared" si="24"/>
        <v>-1.5530513133192463</v>
      </c>
      <c r="M70" s="34">
        <f t="shared" si="24"/>
        <v>-1.5379681190541274</v>
      </c>
      <c r="N70" s="34">
        <f t="shared" si="24"/>
        <v>-1.5151165040823316</v>
      </c>
      <c r="O70" s="34">
        <f t="shared" si="24"/>
        <v>-1.5032868743044883</v>
      </c>
      <c r="P70" s="34">
        <f t="shared" si="24"/>
        <v>-1.4910656091548913</v>
      </c>
      <c r="Q70" s="34">
        <f t="shared" si="24"/>
        <v>-1.4326950886188101</v>
      </c>
      <c r="R70" s="34">
        <f t="shared" si="24"/>
        <v>-1.3767412053448391</v>
      </c>
      <c r="S70" s="34">
        <f t="shared" si="24"/>
        <v>-1.3226870154245383</v>
      </c>
      <c r="T70" s="34">
        <f t="shared" si="24"/>
        <v>-1.270191659487578</v>
      </c>
      <c r="U70" s="34">
        <f t="shared" ref="U70" si="25">-T57*U42/100*(1/(1+U42/100))</f>
        <v>-1.2190305443926577</v>
      </c>
      <c r="V70" s="34">
        <f t="shared" ref="V70" si="26">-U57*V42/100*(1/(1+V42/100))</f>
        <v>-1.1689166186605982</v>
      </c>
      <c r="W70" s="34">
        <f t="shared" ref="W70" si="27">-V57*W42/100*(1/(1+W42/100))</f>
        <v>-1.1195076137684143</v>
      </c>
    </row>
    <row r="71" spans="2:23" outlineLevel="1" x14ac:dyDescent="0.2">
      <c r="B71" s="78" t="s">
        <v>115</v>
      </c>
      <c r="C71" s="49"/>
      <c r="D71" s="49">
        <f>'Baseline NFPC'!D70</f>
        <v>3.0062245462847415E-4</v>
      </c>
      <c r="E71" s="49">
        <f>'Baseline NFPC'!E70</f>
        <v>-8.5074980160637637E-5</v>
      </c>
      <c r="F71" s="49">
        <f>'Baseline NFPC'!F70</f>
        <v>-1.9860305298546876E-5</v>
      </c>
      <c r="G71" s="49">
        <f>'Baseline NFPC'!G70</f>
        <v>7.1001410555382449E-6</v>
      </c>
      <c r="H71" s="49">
        <f>'Baseline NFPC'!H70</f>
        <v>0</v>
      </c>
      <c r="I71" s="49">
        <f>'Baseline NFPC'!I70</f>
        <v>0</v>
      </c>
      <c r="J71" s="49">
        <f>'Baseline NFPC'!J70</f>
        <v>0</v>
      </c>
      <c r="K71" s="49">
        <f>'Baseline NFPC'!K70</f>
        <v>0</v>
      </c>
      <c r="L71" s="49">
        <f>'Baseline NFPC'!L70</f>
        <v>0</v>
      </c>
      <c r="M71" s="49">
        <f>'Baseline NFPC'!M70</f>
        <v>0</v>
      </c>
      <c r="N71" s="49">
        <f>'Baseline NFPC'!N70</f>
        <v>0</v>
      </c>
      <c r="O71" s="49">
        <f>'Baseline NFPC'!O70</f>
        <v>0</v>
      </c>
      <c r="P71" s="49">
        <f>'Baseline NFPC'!P70</f>
        <v>0</v>
      </c>
      <c r="Q71" s="49">
        <f>'Baseline NFPC'!Q70</f>
        <v>0</v>
      </c>
      <c r="R71" s="49">
        <f>'Baseline NFPC'!R70</f>
        <v>0</v>
      </c>
      <c r="S71" s="49">
        <f>'Baseline NFPC'!S70</f>
        <v>0</v>
      </c>
      <c r="T71" s="49">
        <f>'Baseline NFPC'!T70</f>
        <v>0</v>
      </c>
      <c r="U71" s="49">
        <f>'Baseline NFPC'!U70</f>
        <v>0</v>
      </c>
      <c r="V71" s="49">
        <f>'Baseline NFPC'!V70</f>
        <v>0</v>
      </c>
      <c r="W71" s="49">
        <f>'Baseline NFPC'!W70</f>
        <v>0</v>
      </c>
    </row>
    <row r="72" spans="2:23" outlineLevel="1" x14ac:dyDescent="0.2">
      <c r="B72" s="83" t="s">
        <v>116</v>
      </c>
      <c r="C72" s="50"/>
      <c r="D72" s="50">
        <f>'Input data'!D16</f>
        <v>0.35710310000000001</v>
      </c>
      <c r="E72" s="50">
        <f>'Input data'!E16</f>
        <v>1.7333069999999999</v>
      </c>
      <c r="F72" s="50">
        <f>'Input data'!F16</f>
        <v>0.1000248</v>
      </c>
      <c r="G72" s="50">
        <f>'Input data'!G16</f>
        <v>0.1</v>
      </c>
      <c r="H72" s="50">
        <f>'Input data'!H16</f>
        <v>0.1000076</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c r="V72" s="50">
        <f>'Input data'!V16</f>
        <v>0</v>
      </c>
      <c r="W72" s="50">
        <f>'Input data'!W16</f>
        <v>0</v>
      </c>
    </row>
    <row r="73" spans="2:23" outlineLevel="1" x14ac:dyDescent="0.2">
      <c r="B73" s="78" t="s">
        <v>117</v>
      </c>
      <c r="C73" s="34"/>
      <c r="D73" s="34">
        <f t="shared" ref="D73:W73" si="28">D14</f>
        <v>0.33345029999999998</v>
      </c>
      <c r="E73" s="34">
        <f t="shared" si="28"/>
        <v>1.738494</v>
      </c>
      <c r="F73" s="34">
        <f t="shared" si="28"/>
        <v>0.1010605</v>
      </c>
      <c r="G73" s="34">
        <f t="shared" si="28"/>
        <v>9.9622799999999997E-2</v>
      </c>
      <c r="H73" s="34">
        <f t="shared" si="28"/>
        <v>0.1</v>
      </c>
      <c r="I73" s="34">
        <f t="shared" si="28"/>
        <v>0</v>
      </c>
      <c r="J73" s="34">
        <f t="shared" si="28"/>
        <v>0</v>
      </c>
      <c r="K73" s="34">
        <f t="shared" si="28"/>
        <v>0</v>
      </c>
      <c r="L73" s="34">
        <f t="shared" si="28"/>
        <v>0</v>
      </c>
      <c r="M73" s="34">
        <f t="shared" si="28"/>
        <v>0</v>
      </c>
      <c r="N73" s="34">
        <f t="shared" si="28"/>
        <v>0</v>
      </c>
      <c r="O73" s="34">
        <f t="shared" si="28"/>
        <v>0</v>
      </c>
      <c r="P73" s="34">
        <f t="shared" si="28"/>
        <v>0</v>
      </c>
      <c r="Q73" s="34">
        <f t="shared" si="28"/>
        <v>0</v>
      </c>
      <c r="R73" s="34">
        <f t="shared" si="28"/>
        <v>0</v>
      </c>
      <c r="S73" s="34">
        <f t="shared" si="28"/>
        <v>0</v>
      </c>
      <c r="T73" s="34">
        <f t="shared" si="28"/>
        <v>0</v>
      </c>
      <c r="U73" s="34">
        <f t="shared" si="28"/>
        <v>0</v>
      </c>
      <c r="V73" s="34">
        <f t="shared" si="28"/>
        <v>0</v>
      </c>
      <c r="W73" s="34">
        <f t="shared" si="28"/>
        <v>0</v>
      </c>
    </row>
    <row r="74" spans="2:23" outlineLevel="1" x14ac:dyDescent="0.2">
      <c r="B74" s="88" t="s">
        <v>118</v>
      </c>
      <c r="C74" s="49"/>
      <c r="D74" s="49">
        <f>+D72-D73</f>
        <v>2.3652800000000029E-2</v>
      </c>
      <c r="E74" s="49">
        <f t="shared" ref="E74:T74" si="29">+E72-E73</f>
        <v>-5.1870000000000527E-3</v>
      </c>
      <c r="F74" s="49">
        <f t="shared" si="29"/>
        <v>-1.0357000000000005E-3</v>
      </c>
      <c r="G74" s="49">
        <f t="shared" si="29"/>
        <v>3.7720000000000808E-4</v>
      </c>
      <c r="H74" s="49">
        <f t="shared" si="29"/>
        <v>7.5999999999964984E-6</v>
      </c>
      <c r="I74" s="49">
        <f t="shared" si="29"/>
        <v>0</v>
      </c>
      <c r="J74" s="49">
        <f t="shared" si="29"/>
        <v>0</v>
      </c>
      <c r="K74" s="49">
        <f t="shared" si="29"/>
        <v>0</v>
      </c>
      <c r="L74" s="49">
        <f t="shared" si="29"/>
        <v>0</v>
      </c>
      <c r="M74" s="49">
        <f t="shared" si="29"/>
        <v>0</v>
      </c>
      <c r="N74" s="49">
        <f t="shared" si="29"/>
        <v>0</v>
      </c>
      <c r="O74" s="49">
        <f t="shared" si="29"/>
        <v>0</v>
      </c>
      <c r="P74" s="49">
        <f t="shared" si="29"/>
        <v>0</v>
      </c>
      <c r="Q74" s="49">
        <f t="shared" si="29"/>
        <v>0</v>
      </c>
      <c r="R74" s="49">
        <f t="shared" si="29"/>
        <v>0</v>
      </c>
      <c r="S74" s="49">
        <f t="shared" si="29"/>
        <v>0</v>
      </c>
      <c r="T74" s="49">
        <f t="shared" si="29"/>
        <v>0</v>
      </c>
      <c r="U74" s="49">
        <f t="shared" ref="U74:W74" si="30">+U72-U73</f>
        <v>0</v>
      </c>
      <c r="V74" s="49">
        <f t="shared" si="30"/>
        <v>0</v>
      </c>
      <c r="W74" s="49">
        <f t="shared" si="30"/>
        <v>0</v>
      </c>
    </row>
    <row r="76" spans="2:23" x14ac:dyDescent="0.2">
      <c r="B76" s="51" t="s">
        <v>182</v>
      </c>
      <c r="C76" s="51"/>
      <c r="D76" s="51"/>
      <c r="E76" s="51"/>
      <c r="F76" s="51"/>
      <c r="G76" s="51"/>
      <c r="H76" s="51"/>
      <c r="I76" s="51"/>
      <c r="J76" s="51"/>
      <c r="K76" s="51">
        <f t="shared" ref="K76:W76" si="31">IF(K57&lt;J57,0,1)</f>
        <v>0</v>
      </c>
      <c r="L76" s="51">
        <f t="shared" si="31"/>
        <v>0</v>
      </c>
      <c r="M76" s="51">
        <f t="shared" si="31"/>
        <v>0</v>
      </c>
      <c r="N76" s="51">
        <f t="shared" si="31"/>
        <v>0</v>
      </c>
      <c r="O76" s="51">
        <f t="shared" si="31"/>
        <v>0</v>
      </c>
      <c r="P76" s="51">
        <f t="shared" si="31"/>
        <v>0</v>
      </c>
      <c r="Q76" s="51">
        <f t="shared" si="31"/>
        <v>0</v>
      </c>
      <c r="R76" s="51">
        <f t="shared" si="31"/>
        <v>0</v>
      </c>
      <c r="S76" s="51">
        <f t="shared" si="31"/>
        <v>0</v>
      </c>
      <c r="T76" s="51">
        <f t="shared" si="31"/>
        <v>0</v>
      </c>
      <c r="U76" s="51">
        <f t="shared" si="31"/>
        <v>0</v>
      </c>
      <c r="V76" s="51">
        <f t="shared" si="31"/>
        <v>0</v>
      </c>
      <c r="W76" s="51">
        <f t="shared" si="31"/>
        <v>0</v>
      </c>
    </row>
    <row r="77" spans="2:23" x14ac:dyDescent="0.2">
      <c r="D77" s="53"/>
    </row>
    <row r="78" spans="2:23" s="92" customFormat="1" ht="13.2" outlineLevel="1" x14ac:dyDescent="0.25">
      <c r="B78" s="93" t="s">
        <v>121</v>
      </c>
      <c r="C78" s="94"/>
      <c r="E78" s="95"/>
      <c r="F78" s="94"/>
    </row>
    <row r="79" spans="2:23" x14ac:dyDescent="0.2">
      <c r="C79" s="34"/>
      <c r="D79" s="34"/>
      <c r="E79" s="34"/>
      <c r="F79" s="34"/>
      <c r="G79" s="34"/>
      <c r="H79" s="34"/>
      <c r="I79" s="34"/>
      <c r="J79" s="34"/>
      <c r="K79" s="34"/>
      <c r="L79" s="34"/>
      <c r="M79" s="34"/>
      <c r="N79" s="34"/>
      <c r="O79" s="34"/>
      <c r="P79" s="34"/>
      <c r="Q79" s="34"/>
      <c r="R79" s="34"/>
      <c r="S79" s="34"/>
      <c r="T79" s="34"/>
      <c r="U79" s="34"/>
      <c r="V79" s="34"/>
      <c r="W79" s="34"/>
    </row>
    <row r="80" spans="2:23" x14ac:dyDescent="0.2">
      <c r="B80" s="26" t="s">
        <v>122</v>
      </c>
      <c r="E80" s="29"/>
      <c r="F80" s="29">
        <f t="shared" ref="F80" si="32">IF((F84-E84*F43/((1+F23/100)*(1+F42/100)))&gt;0,1,0)</f>
        <v>1</v>
      </c>
      <c r="G80" s="29">
        <f t="shared" ref="G80:W80" si="33">IF((G84-F84*G43/((1+G23/100)*(1+G42/100)))&gt;0,1,0)</f>
        <v>1</v>
      </c>
      <c r="H80" s="29">
        <f t="shared" si="33"/>
        <v>1</v>
      </c>
      <c r="I80" s="29">
        <f t="shared" si="33"/>
        <v>1</v>
      </c>
      <c r="J80" s="29">
        <f t="shared" si="33"/>
        <v>1</v>
      </c>
      <c r="K80" s="29">
        <f t="shared" si="33"/>
        <v>1</v>
      </c>
      <c r="L80" s="29">
        <f t="shared" si="33"/>
        <v>0</v>
      </c>
      <c r="M80" s="29">
        <f t="shared" si="33"/>
        <v>0</v>
      </c>
      <c r="N80" s="29">
        <f t="shared" si="33"/>
        <v>0</v>
      </c>
      <c r="O80" s="29">
        <f t="shared" si="33"/>
        <v>0</v>
      </c>
      <c r="P80" s="29">
        <f t="shared" si="33"/>
        <v>0</v>
      </c>
      <c r="Q80" s="29">
        <f t="shared" si="33"/>
        <v>0</v>
      </c>
      <c r="R80" s="29">
        <f t="shared" si="33"/>
        <v>0</v>
      </c>
      <c r="S80" s="29">
        <f t="shared" si="33"/>
        <v>0</v>
      </c>
      <c r="T80" s="29">
        <f t="shared" si="33"/>
        <v>0</v>
      </c>
      <c r="U80" s="29">
        <f t="shared" si="33"/>
        <v>0</v>
      </c>
      <c r="V80" s="29">
        <f t="shared" si="33"/>
        <v>0</v>
      </c>
      <c r="W80" s="29">
        <f t="shared" si="33"/>
        <v>0</v>
      </c>
    </row>
    <row r="81" spans="2:23" x14ac:dyDescent="0.2">
      <c r="B81" s="26" t="s">
        <v>123</v>
      </c>
      <c r="E81" s="29"/>
      <c r="F81" s="29">
        <f t="shared" ref="F81" si="34">IF(AND(F80=0,ABS(F84-E84*F43/((1+F23/100)*(1+F42/100)))&lt;((E90*E84*F43/((1+F23/100)*(1+F42/100))+(F39*E84*E91*F43/((1+F23/100)*(1+F42/100)))))),1,0)</f>
        <v>0</v>
      </c>
      <c r="G81" s="29">
        <f t="shared" ref="G81:W81" si="35">IF(AND(G80=0,ABS(G84-F84*G43/((1+G23/100)*(1+G42/100)))&lt;((F90*F84*G43/((1+G23/100)*(1+G42/100))+(G39*F84*F91*G43/((1+G23/100)*(1+G42/100)))))),1,0)</f>
        <v>0</v>
      </c>
      <c r="H81" s="29">
        <f t="shared" si="35"/>
        <v>0</v>
      </c>
      <c r="I81" s="29">
        <f t="shared" si="35"/>
        <v>0</v>
      </c>
      <c r="J81" s="29">
        <f t="shared" si="35"/>
        <v>0</v>
      </c>
      <c r="K81" s="29">
        <f t="shared" si="35"/>
        <v>0</v>
      </c>
      <c r="L81" s="29">
        <f t="shared" si="35"/>
        <v>1</v>
      </c>
      <c r="M81" s="29">
        <f t="shared" si="35"/>
        <v>1</v>
      </c>
      <c r="N81" s="29">
        <f t="shared" si="35"/>
        <v>1</v>
      </c>
      <c r="O81" s="29">
        <f t="shared" si="35"/>
        <v>1</v>
      </c>
      <c r="P81" s="29">
        <f t="shared" si="35"/>
        <v>1</v>
      </c>
      <c r="Q81" s="29">
        <f t="shared" si="35"/>
        <v>1</v>
      </c>
      <c r="R81" s="29">
        <f t="shared" si="35"/>
        <v>1</v>
      </c>
      <c r="S81" s="29">
        <f t="shared" si="35"/>
        <v>1</v>
      </c>
      <c r="T81" s="29">
        <f t="shared" si="35"/>
        <v>1</v>
      </c>
      <c r="U81" s="29">
        <f t="shared" si="35"/>
        <v>1</v>
      </c>
      <c r="V81" s="29">
        <f t="shared" si="35"/>
        <v>1</v>
      </c>
      <c r="W81" s="29">
        <f t="shared" si="35"/>
        <v>1</v>
      </c>
    </row>
    <row r="83" spans="2:23" x14ac:dyDescent="0.2">
      <c r="B83" s="51"/>
      <c r="C83" s="85">
        <v>2021</v>
      </c>
      <c r="D83" s="85">
        <v>2022</v>
      </c>
      <c r="E83" s="85">
        <v>2023</v>
      </c>
      <c r="F83" s="85">
        <v>2024</v>
      </c>
      <c r="G83" s="85">
        <v>2025</v>
      </c>
      <c r="H83" s="85">
        <v>2026</v>
      </c>
      <c r="I83" s="85">
        <v>2027</v>
      </c>
      <c r="J83" s="85">
        <v>2028</v>
      </c>
      <c r="K83" s="85">
        <v>2029</v>
      </c>
      <c r="L83" s="85">
        <v>2030</v>
      </c>
      <c r="M83" s="85">
        <v>2031</v>
      </c>
      <c r="N83" s="85">
        <v>2032</v>
      </c>
      <c r="O83" s="85">
        <v>2033</v>
      </c>
      <c r="P83" s="85">
        <v>2034</v>
      </c>
      <c r="Q83" s="85">
        <v>2035</v>
      </c>
      <c r="R83" s="85">
        <v>2036</v>
      </c>
      <c r="S83" s="85">
        <v>2037</v>
      </c>
      <c r="T83" s="85">
        <v>2038</v>
      </c>
      <c r="U83" s="85">
        <v>2039</v>
      </c>
      <c r="V83" s="85">
        <v>2040</v>
      </c>
      <c r="W83" s="85">
        <v>2041</v>
      </c>
    </row>
    <row r="84" spans="2:23" x14ac:dyDescent="0.2">
      <c r="B84" s="105" t="s">
        <v>101</v>
      </c>
      <c r="C84" s="109">
        <f>C57</f>
        <v>82.394589999999994</v>
      </c>
      <c r="D84" s="109">
        <f>D57</f>
        <v>78.37562031561059</v>
      </c>
      <c r="E84" s="109">
        <f>E57</f>
        <v>78.551901298157986</v>
      </c>
      <c r="F84" s="109">
        <f>F57</f>
        <v>79.538050043568091</v>
      </c>
      <c r="G84" s="109">
        <f>G57</f>
        <v>80.81308351777497</v>
      </c>
      <c r="H84" s="109">
        <f>G84*(1+H98/100)*H43-H60-H61+H62+H63+H64+H65+H66+H73</f>
        <v>80.673510410562542</v>
      </c>
      <c r="I84" s="109">
        <f t="shared" ref="I84:W84" si="36">H84*(1+I98/100)*I43-I60-I61+I62+I63+I64+I65+I66+I73</f>
        <v>79.48432826464655</v>
      </c>
      <c r="J84" s="109">
        <f t="shared" si="36"/>
        <v>77.440279840980196</v>
      </c>
      <c r="K84" s="109">
        <f t="shared" si="36"/>
        <v>75.00498488755612</v>
      </c>
      <c r="L84" s="109">
        <f t="shared" si="36"/>
        <v>72.304999896965967</v>
      </c>
      <c r="M84" s="109">
        <f t="shared" si="36"/>
        <v>69.390933091394118</v>
      </c>
      <c r="N84" s="109">
        <f t="shared" si="36"/>
        <v>67.117638006576385</v>
      </c>
      <c r="O84" s="109">
        <f t="shared" si="36"/>
        <v>64.940658744410058</v>
      </c>
      <c r="P84" s="109">
        <f t="shared" si="36"/>
        <v>62.855842763702192</v>
      </c>
      <c r="Q84" s="109">
        <f t="shared" si="36"/>
        <v>60.847196392155602</v>
      </c>
      <c r="R84" s="109">
        <f t="shared" si="36"/>
        <v>58.893387731080324</v>
      </c>
      <c r="S84" s="109">
        <f t="shared" si="36"/>
        <v>56.980344916706031</v>
      </c>
      <c r="T84" s="109">
        <f t="shared" si="36"/>
        <v>55.098826362406797</v>
      </c>
      <c r="U84" s="109">
        <f t="shared" si="36"/>
        <v>53.236464762526587</v>
      </c>
      <c r="V84" s="109">
        <f t="shared" si="36"/>
        <v>51.377979088067598</v>
      </c>
      <c r="W84" s="109">
        <f t="shared" si="36"/>
        <v>49.568580211966314</v>
      </c>
    </row>
    <row r="85" spans="2:23" x14ac:dyDescent="0.2">
      <c r="B85" s="26" t="s">
        <v>124</v>
      </c>
      <c r="C85" s="34"/>
      <c r="D85" s="34"/>
      <c r="E85" s="253">
        <f>'Input data'!$C$66*E$84</f>
        <v>60.525655589893695</v>
      </c>
      <c r="F85" s="34">
        <f t="shared" ref="F85" si="37">IF(F84=0,0,IF(F80=1,E84*F43/((1+F23/100)*(1+F42/100))-F86-F87,IF(AND(F80=0,F81=1),(1-E90-F39*E91)*E84*F43/((1+F23/100)*(1+F42/100)),F84)))</f>
        <v>62.802647329605676</v>
      </c>
      <c r="G85" s="34">
        <f t="shared" ref="G85" si="38">IF(G84=0,0,IF(G80=1,F84*G43/((1+G23/100)*(1+G42/100))-G86-G87,IF(AND(G80=0,G81=1),(1-F90-G39*F91)*F84*G43/((1+G23/100)*(1+G42/100)),G84)))</f>
        <v>64.392644512026649</v>
      </c>
      <c r="H85" s="34">
        <f t="shared" ref="H85:W85" si="39">IF(H84=0,0,IF(H80=1,G84*H43/((1+H23/100)*(1+H42/100))-H86-H87,IF(AND(H80=0,H81=1),(1-G90-H39*G91)*G84*H43/((1+H23/100)*(1+H42/100)),H84)))</f>
        <v>65.180577692643965</v>
      </c>
      <c r="I85" s="34">
        <f t="shared" si="39"/>
        <v>65.001306706845838</v>
      </c>
      <c r="J85" s="34">
        <f t="shared" si="39"/>
        <v>64.069197195735555</v>
      </c>
      <c r="K85" s="34">
        <f t="shared" si="39"/>
        <v>62.241965577837391</v>
      </c>
      <c r="L85" s="34">
        <f t="shared" si="39"/>
        <v>60.227065366123711</v>
      </c>
      <c r="M85" s="34">
        <f t="shared" si="39"/>
        <v>58.108842270161652</v>
      </c>
      <c r="N85" s="34">
        <f t="shared" si="39"/>
        <v>56.285760789119237</v>
      </c>
      <c r="O85" s="34">
        <f t="shared" si="39"/>
        <v>54.538172754427634</v>
      </c>
      <c r="P85" s="34">
        <f t="shared" si="39"/>
        <v>52.819892767484525</v>
      </c>
      <c r="Q85" s="34">
        <f t="shared" si="39"/>
        <v>51.143348553991743</v>
      </c>
      <c r="R85" s="34">
        <f t="shared" si="39"/>
        <v>49.51329628134981</v>
      </c>
      <c r="S85" s="34">
        <f t="shared" si="39"/>
        <v>47.919385825029629</v>
      </c>
      <c r="T85" s="34">
        <f t="shared" si="39"/>
        <v>46.362692671514992</v>
      </c>
      <c r="U85" s="34">
        <f t="shared" si="39"/>
        <v>44.832171576273971</v>
      </c>
      <c r="V85" s="34">
        <f t="shared" si="39"/>
        <v>43.32247825629495</v>
      </c>
      <c r="W85" s="34">
        <f t="shared" si="39"/>
        <v>41.858556892650128</v>
      </c>
    </row>
    <row r="86" spans="2:23" x14ac:dyDescent="0.2">
      <c r="B86" s="104" t="s">
        <v>125</v>
      </c>
      <c r="C86" s="34"/>
      <c r="D86" s="34"/>
      <c r="E86" s="253">
        <f>'Input data'!$C$67*E$84</f>
        <v>8.3684210076244501</v>
      </c>
      <c r="F86" s="34">
        <f t="shared" ref="F86" si="40">IF(F84=0,0,IF(F80=1,F39*E84*E91*F43/((1+F23/100)*(1+F42/100)),IF(AND(F80=0,F81=1),(F39*E84*E91*F43/((1+F23/100)*(1+F42/100)))*(1-ABS(F84-E84*F43/((1+F23/100)*(1+F42/100)))/((F39*E84*E91*F43/((1+F23/100)*(1+F42/100)))+(E90*E84*F43/((1+F23/100)*(1+F42/100))))),0)))</f>
        <v>7.6131291238171945</v>
      </c>
      <c r="G86" s="34">
        <f t="shared" ref="G86" si="41">IF(G84=0,0,IF(G80=1,G39*F84*F91*G43/((1+G23/100)*(1+G42/100)),IF(AND(G80=0,G81=1),(G39*F84*F91*G43/((1+G23/100)*(1+G42/100)))*(1-ABS(G84-F84*G43/((1+G23/100)*(1+G42/100)))/((G39*F84*F91*G43/((1+G23/100)*(1+G42/100)))+(F90*F84*G43/((1+G23/100)*(1+G42/100))))),0)))</f>
        <v>7.772030499095739</v>
      </c>
      <c r="H86" s="34">
        <f t="shared" ref="H86:W86" si="42">IF(H84=0,0,IF(H80=1,H39*G84*G91*H43/((1+H23/100)*(1+H42/100)),IF(AND(H80=0,H81=1),(H39*G84*G91*H43/((1+H23/100)*(1+H42/100)))*(1-ABS(H84-G84*H43/((1+H23/100)*(1+H42/100)))/((H39*G84*G91*H43/((1+H23/100)*(1+H42/100)))+(G90*G84*H43/((1+H23/100)*(1+H42/100))))),0)))</f>
        <v>7.8329070914089343</v>
      </c>
      <c r="I86" s="34">
        <f t="shared" si="42"/>
        <v>7.7772648000482922</v>
      </c>
      <c r="J86" s="34">
        <f t="shared" si="42"/>
        <v>7.6321614996297935</v>
      </c>
      <c r="K86" s="34">
        <f t="shared" si="42"/>
        <v>7.3819046035596623</v>
      </c>
      <c r="L86" s="34">
        <f t="shared" si="42"/>
        <v>6.9973307838036058</v>
      </c>
      <c r="M86" s="34">
        <f t="shared" si="42"/>
        <v>6.5651342034370908</v>
      </c>
      <c r="N86" s="34">
        <f t="shared" si="42"/>
        <v>6.3862174906747935</v>
      </c>
      <c r="O86" s="34">
        <f t="shared" si="42"/>
        <v>6.1928137261905931</v>
      </c>
      <c r="P86" s="34">
        <f t="shared" si="42"/>
        <v>6.0206221425786923</v>
      </c>
      <c r="Q86" s="34">
        <f t="shared" si="42"/>
        <v>5.8577674201712853</v>
      </c>
      <c r="R86" s="34">
        <f t="shared" si="42"/>
        <v>5.6876709420622902</v>
      </c>
      <c r="S86" s="34">
        <f t="shared" si="42"/>
        <v>5.5129227305585387</v>
      </c>
      <c r="T86" s="34">
        <f t="shared" si="42"/>
        <v>5.3305199655108604</v>
      </c>
      <c r="U86" s="34">
        <f t="shared" si="42"/>
        <v>5.1437801010033821</v>
      </c>
      <c r="V86" s="34">
        <f t="shared" si="42"/>
        <v>4.9489448765105619</v>
      </c>
      <c r="W86" s="34">
        <f t="shared" si="42"/>
        <v>4.7616258300401277</v>
      </c>
    </row>
    <row r="87" spans="2:23" x14ac:dyDescent="0.2">
      <c r="B87" s="104" t="s">
        <v>126</v>
      </c>
      <c r="C87" s="34"/>
      <c r="D87" s="34"/>
      <c r="E87" s="253">
        <f>'Input data'!$C$68*E$84</f>
        <v>5.2995447382705345</v>
      </c>
      <c r="F87" s="34">
        <f t="shared" ref="F87" si="43">IF(F84=0,0,IF(F80=1,(1-E91)*E84*F43/((1+F23/100)*(1+F42/100)),IF(AND(F80=0,F81=1),(E90*E84*F43/((1+F23/100)*(1+F42/100)))*(1-ABS(F84-E84*F43/((1+F23/100)*(1+F42/100)))/((F39*E84*E91*F43/((1+F23/100)*(1+F42/100)))+(E90*E84*F43/((1+F23/100)*(1+F42/100))))),0)))</f>
        <v>5.4165985451724916</v>
      </c>
      <c r="G87" s="34">
        <f t="shared" ref="G87" si="44">IF(G84=0,0,IF(G80=1,(1-F91)*F84*G43/((1+G23/100)*(1+G42/100)),IF(AND(G80=0,G81=1),(F90*F84*G43/((1+G23/100)*(1+G42/100)))*(1-ABS(G84-F84*G43/((1+G23/100)*(1+G42/100)))/((G39*F84*F91*G43/((1+G23/100)*(1+G42/100)))+(F90*F84*G43/((1+G23/100)*(1+G42/100))))),0)))</f>
        <v>5.5444254320799606</v>
      </c>
      <c r="H87" s="34">
        <f t="shared" ref="H87:W87" si="45">IF(H84=0,0,IF(H80=1,(1-G91)*G84*H43/((1+H23/100)*(1+H42/100)),IF(AND(H80=0,H81=1),(G90*G84*H43/((1+H23/100)*(1+H42/100)))*(1-ABS(H84-G84*H43/((1+H23/100)*(1+H42/100)))/((H39*G84*G91*H43/((1+H23/100)*(1+H42/100)))+(G90*G84*H43/((1+H23/100)*(1+H42/100))))),0)))</f>
        <v>5.6043092884990209</v>
      </c>
      <c r="I87" s="34">
        <f t="shared" si="45"/>
        <v>5.5828888382246653</v>
      </c>
      <c r="J87" s="34">
        <f t="shared" si="45"/>
        <v>5.4984513637899308</v>
      </c>
      <c r="K87" s="34">
        <f t="shared" si="45"/>
        <v>5.3387586517963079</v>
      </c>
      <c r="L87" s="34">
        <f t="shared" si="45"/>
        <v>5.0806037470386523</v>
      </c>
      <c r="M87" s="34">
        <f t="shared" si="45"/>
        <v>4.7169566177953737</v>
      </c>
      <c r="N87" s="34">
        <f t="shared" si="45"/>
        <v>4.4456597267823499</v>
      </c>
      <c r="O87" s="34">
        <f t="shared" si="45"/>
        <v>4.2096722637918251</v>
      </c>
      <c r="P87" s="34">
        <f t="shared" si="45"/>
        <v>4.0153278536389738</v>
      </c>
      <c r="Q87" s="34">
        <f t="shared" si="45"/>
        <v>3.846080417992578</v>
      </c>
      <c r="R87" s="34">
        <f t="shared" si="45"/>
        <v>3.6924205076682206</v>
      </c>
      <c r="S87" s="34">
        <f t="shared" si="45"/>
        <v>3.5480363611178647</v>
      </c>
      <c r="T87" s="34">
        <f t="shared" si="45"/>
        <v>3.4056137253809409</v>
      </c>
      <c r="U87" s="34">
        <f t="shared" si="45"/>
        <v>3.260513085249225</v>
      </c>
      <c r="V87" s="34">
        <f t="shared" si="45"/>
        <v>3.1065559552620816</v>
      </c>
      <c r="W87" s="34">
        <f t="shared" si="45"/>
        <v>2.9483974892760596</v>
      </c>
    </row>
    <row r="88" spans="2:23" x14ac:dyDescent="0.2">
      <c r="B88" s="104" t="s">
        <v>127</v>
      </c>
      <c r="C88" s="34"/>
      <c r="D88" s="34"/>
      <c r="E88" s="253">
        <f>'Input data'!$C$69*E$84</f>
        <v>4.0469720364863182</v>
      </c>
      <c r="F88" s="34">
        <f>IF(F84=0,0,IF(F80=1,'Input data'!$C$58*(F84-E84*F43/((1+F23/100)*(1+F42/100))),0))</f>
        <v>3.4473554021277226</v>
      </c>
      <c r="G88" s="34">
        <f>IF(G84=0,0,IF(G80=1,'Input data'!$C$58*(G84-F84*G43/((1+G23/100)*(1+G42/100))),0))</f>
        <v>2.8876068976306266</v>
      </c>
      <c r="H88" s="34">
        <f>IF(H84=0,0,IF(H80=1,'Input data'!$C$58*(H84-G84*H43/((1+H23/100)*(1+H42/100))),0))</f>
        <v>1.9124139966609757</v>
      </c>
      <c r="I88" s="34">
        <f>IF(I84=0,0,IF(I80=1,'Input data'!$C$58*(I84-H84*I43/((1+I23/100)*(1+I42/100))),0))</f>
        <v>1.0445936951518187</v>
      </c>
      <c r="J88" s="34">
        <f>IF(J84=0,0,IF(J80=1,'Input data'!$C$58*(J84-I84*J43/((1+J23/100)*(1+J42/100))),0))</f>
        <v>0.22370682570973727</v>
      </c>
      <c r="K88" s="34">
        <f>IF(K84=0,0,IF(K80=1,'Input data'!$C$58*(K84-J84*K43/((1+K23/100)*(1+K42/100))),0))</f>
        <v>3.9403447697971689E-2</v>
      </c>
      <c r="L88" s="34">
        <f>IF(L84=0,0,IF(L80=1,'Input data'!$C$58*(L84-K84*L43/((1+L23/100)*(1+L42/100))),0))</f>
        <v>0</v>
      </c>
      <c r="M88" s="34">
        <f>IF(M84=0,0,IF(M80=1,'Input data'!$C$58*(M84-L84*M43/((1+M23/100)*(1+M42/100))),0))</f>
        <v>0</v>
      </c>
      <c r="N88" s="34">
        <f>IF(N84=0,0,IF(N80=1,'Input data'!$C$58*(N84-M84*N43/((1+N23/100)*(1+N42/100))),0))</f>
        <v>0</v>
      </c>
      <c r="O88" s="34">
        <f>IF(O84=0,0,IF(O80=1,'Input data'!$C$58*(O84-N84*O43/((1+O23/100)*(1+O42/100))),0))</f>
        <v>0</v>
      </c>
      <c r="P88" s="34">
        <f>IF(P84=0,0,IF(P80=1,'Input data'!$C$58*(P84-O84*P43/((1+P23/100)*(1+P42/100))),0))</f>
        <v>0</v>
      </c>
      <c r="Q88" s="34">
        <f>IF(Q84=0,0,IF(Q80=1,'Input data'!$C$58*(Q84-P84*Q43/((1+Q23/100)*(1+Q42/100))),0))</f>
        <v>0</v>
      </c>
      <c r="R88" s="34">
        <f>IF(R84=0,0,IF(R80=1,'Input data'!$C$58*(R84-Q84*R43/((1+R23/100)*(1+R42/100))),0))</f>
        <v>0</v>
      </c>
      <c r="S88" s="34">
        <f>IF(S84=0,0,IF(S80=1,'Input data'!$C$58*(S84-R84*S43/((1+S23/100)*(1+S42/100))),0))</f>
        <v>0</v>
      </c>
      <c r="T88" s="34">
        <f>IF(T84=0,0,IF(T80=1,'Input data'!$C$58*(T84-S84*T43/((1+T23/100)*(1+T42/100))),0))</f>
        <v>0</v>
      </c>
      <c r="U88" s="34">
        <f>IF(U84=0,0,IF(U80=1,'Input data'!$C$58*(U84-T84*U43/((1+U23/100)*(1+U42/100))),0))</f>
        <v>0</v>
      </c>
      <c r="V88" s="34">
        <f>IF(V84=0,0,IF(V80=1,'Input data'!$C$58*(V84-U84*V43/((1+V23/100)*(1+V42/100))),0))</f>
        <v>0</v>
      </c>
      <c r="W88" s="34">
        <f>IF(W84=0,0,IF(W80=1,'Input data'!$C$58*(W84-V84*W43/((1+W23/100)*(1+W42/100))),0))</f>
        <v>0</v>
      </c>
    </row>
    <row r="89" spans="2:23" x14ac:dyDescent="0.2">
      <c r="B89" s="106" t="s">
        <v>128</v>
      </c>
      <c r="C89" s="49"/>
      <c r="D89" s="49"/>
      <c r="E89" s="254">
        <f>'Input data'!$C$70*E$84</f>
        <v>0.31130552588356658</v>
      </c>
      <c r="F89" s="49">
        <f>IF(F84=0,0,IF(F80=1,'Input data'!$C$57*(F84-E84*F43/((1+F23/100)*(1+F42/100))),0))</f>
        <v>0.25831964284501346</v>
      </c>
      <c r="G89" s="49">
        <f>IF(G84=0,0,IF(G80=1,'Input data'!$C$57*(G84-F84*G43/((1+G23/100)*(1+G42/100))),0))</f>
        <v>0.21637617694199801</v>
      </c>
      <c r="H89" s="49">
        <f>IF(H84=0,0,IF(H80=1,'Input data'!$C$57*(H84-G84*H43/((1+H23/100)*(1+H42/100))),0))</f>
        <v>0.14330234134965034</v>
      </c>
      <c r="I89" s="49">
        <f>IF(I84=0,0,IF(I80=1,'Input data'!$C$57*(I84-H84*I43/((1+I23/100)*(1+I42/100))),0))</f>
        <v>7.8274224375944779E-2</v>
      </c>
      <c r="J89" s="49">
        <f>IF(J84=0,0,IF(J80=1,'Input data'!$C$57*(J84-I84*J43/((1+J23/100)*(1+J42/100))),0))</f>
        <v>1.6762956115190235E-2</v>
      </c>
      <c r="K89" s="49">
        <f>IF(K84=0,0,IF(K80=1,'Input data'!$C$57*(K84-J84*K43/((1+K23/100)*(1+K42/100))),0))</f>
        <v>2.9526066647842246E-3</v>
      </c>
      <c r="L89" s="49">
        <f>IF(L84=0,0,IF(L80=1,'Input data'!$C$57*(L84-K84*L43/((1+L23/100)*(1+L42/100))),0))</f>
        <v>0</v>
      </c>
      <c r="M89" s="49">
        <f>IF(M84=0,0,IF(M80=1,'Input data'!$C$57*(M84-L84*M43/((1+M23/100)*(1+M42/100))),0))</f>
        <v>0</v>
      </c>
      <c r="N89" s="49">
        <f>IF(N84=0,0,IF(N80=1,'Input data'!$C$57*(N84-M84*N43/((1+N23/100)*(1+N42/100))),0))</f>
        <v>0</v>
      </c>
      <c r="O89" s="49">
        <f>IF(O84=0,0,IF(O80=1,'Input data'!$C$57*(O84-N84*O43/((1+O23/100)*(1+O42/100))),0))</f>
        <v>0</v>
      </c>
      <c r="P89" s="49">
        <f>IF(P84=0,0,IF(P80=1,'Input data'!$C$57*(P84-O84*P43/((1+P23/100)*(1+P42/100))),0))</f>
        <v>0</v>
      </c>
      <c r="Q89" s="49">
        <f>IF(Q84=0,0,IF(Q80=1,'Input data'!$C$57*(Q84-P84*Q43/((1+Q23/100)*(1+Q42/100))),0))</f>
        <v>0</v>
      </c>
      <c r="R89" s="49">
        <f>IF(R84=0,0,IF(R80=1,'Input data'!$C$57*(R84-Q84*R43/((1+R23/100)*(1+R42/100))),0))</f>
        <v>0</v>
      </c>
      <c r="S89" s="49">
        <f>IF(S84=0,0,IF(S80=1,'Input data'!$C$57*(S84-R84*S43/((1+S23/100)*(1+S42/100))),0))</f>
        <v>0</v>
      </c>
      <c r="T89" s="49">
        <f>IF(T84=0,0,IF(T80=1,'Input data'!$C$57*(T84-S84*T43/((1+T23/100)*(1+T42/100))),0))</f>
        <v>0</v>
      </c>
      <c r="U89" s="49">
        <f>IF(U84=0,0,IF(U80=1,'Input data'!$C$57*(U84-T84*U43/((1+U23/100)*(1+U42/100))),0))</f>
        <v>0</v>
      </c>
      <c r="V89" s="49">
        <f>IF(V84=0,0,IF(V80=1,'Input data'!$C$57*(V84-U84*V43/((1+V23/100)*(1+V42/100))),0))</f>
        <v>0</v>
      </c>
      <c r="W89" s="49">
        <f>IF(W84=0,0,IF(W80=1,'Input data'!$C$57*(W84-V84*W43/((1+W23/100)*(1+W42/100))),0))</f>
        <v>0</v>
      </c>
    </row>
    <row r="90" spans="2:23" x14ac:dyDescent="0.2">
      <c r="B90" s="26" t="s">
        <v>73</v>
      </c>
      <c r="C90" s="34"/>
      <c r="D90" s="34"/>
      <c r="E90" s="259">
        <f>'Baseline NFPC'!E$93</f>
        <v>7.1428575793291621E-2</v>
      </c>
      <c r="F90" s="34">
        <f t="shared" ref="F90:G90" si="46">IF(F84&lt;&gt;0,(F87+F89)/(F85+F86+F87+F88+F89),0)</f>
        <v>7.1348470133590011E-2</v>
      </c>
      <c r="G90" s="34">
        <f t="shared" si="46"/>
        <v>7.1285506730539017E-2</v>
      </c>
      <c r="H90" s="34">
        <f t="shared" ref="H90:W90" si="47">IF(H84&lt;&gt;0,(H87+H89)/(H85+H86+H87+H88+H89),0)</f>
        <v>7.1245339400727734E-2</v>
      </c>
      <c r="I90" s="34">
        <f t="shared" si="47"/>
        <v>7.1223638498290123E-2</v>
      </c>
      <c r="J90" s="34">
        <f t="shared" si="47"/>
        <v>7.1218935820355281E-2</v>
      </c>
      <c r="K90" s="34">
        <f t="shared" si="47"/>
        <v>7.1218083257654538E-2</v>
      </c>
      <c r="L90" s="34">
        <f t="shared" si="47"/>
        <v>7.0266285240003751E-2</v>
      </c>
      <c r="M90" s="34">
        <f t="shared" si="47"/>
        <v>6.7976555547721432E-2</v>
      </c>
      <c r="N90" s="34">
        <f t="shared" si="47"/>
        <v>6.6236832207157689E-2</v>
      </c>
      <c r="O90" s="34">
        <f t="shared" si="47"/>
        <v>6.4823368675085757E-2</v>
      </c>
      <c r="P90" s="34">
        <f t="shared" si="47"/>
        <v>6.388153713464699E-2</v>
      </c>
      <c r="Q90" s="34">
        <f t="shared" si="47"/>
        <v>6.3208835345590589E-2</v>
      </c>
      <c r="R90" s="34">
        <f t="shared" si="47"/>
        <v>6.2696690578042377E-2</v>
      </c>
      <c r="S90" s="34">
        <f t="shared" si="47"/>
        <v>6.2267723480866788E-2</v>
      </c>
      <c r="T90" s="34">
        <f t="shared" si="47"/>
        <v>6.1809188148235161E-2</v>
      </c>
      <c r="U90" s="34">
        <f t="shared" si="47"/>
        <v>6.1245860328883392E-2</v>
      </c>
      <c r="V90" s="34">
        <f t="shared" si="47"/>
        <v>6.0464736262535707E-2</v>
      </c>
      <c r="W90" s="34">
        <f t="shared" si="47"/>
        <v>5.9481176920300187E-2</v>
      </c>
    </row>
    <row r="91" spans="2:23" x14ac:dyDescent="0.2">
      <c r="B91" s="35" t="s">
        <v>74</v>
      </c>
      <c r="C91" s="49"/>
      <c r="D91" s="49"/>
      <c r="E91" s="260">
        <f>'Baseline NFPC'!E$94</f>
        <v>0.92857142420670824</v>
      </c>
      <c r="F91" s="49">
        <f t="shared" ref="F91:G91" si="48">IF(F84&lt;&gt;0,(F85+F86+F88)/(F85+F86+F87+F88+F89),1)</f>
        <v>0.92865152986641009</v>
      </c>
      <c r="G91" s="49">
        <f t="shared" si="48"/>
        <v>0.92871449326946109</v>
      </c>
      <c r="H91" s="49">
        <f t="shared" ref="H91:W91" si="49">IF(H84&lt;&gt;0,(H85+H86+H88)/(H85+H86+H87+H88+H89),1)</f>
        <v>0.92875466059927214</v>
      </c>
      <c r="I91" s="49">
        <f t="shared" si="49"/>
        <v>0.92877636150170995</v>
      </c>
      <c r="J91" s="49">
        <f t="shared" si="49"/>
        <v>0.92878106417964479</v>
      </c>
      <c r="K91" s="49">
        <f t="shared" si="49"/>
        <v>0.92878191674234545</v>
      </c>
      <c r="L91" s="49">
        <f t="shared" si="49"/>
        <v>0.92973371475999622</v>
      </c>
      <c r="M91" s="49">
        <f t="shared" si="49"/>
        <v>0.93202344445227858</v>
      </c>
      <c r="N91" s="49">
        <f t="shared" si="49"/>
        <v>0.9337631677928423</v>
      </c>
      <c r="O91" s="49">
        <f t="shared" si="49"/>
        <v>0.93517663132491413</v>
      </c>
      <c r="P91" s="49">
        <f t="shared" si="49"/>
        <v>0.93611846286535305</v>
      </c>
      <c r="Q91" s="49">
        <f t="shared" si="49"/>
        <v>0.93679116465440937</v>
      </c>
      <c r="R91" s="49">
        <f t="shared" si="49"/>
        <v>0.93730330942195761</v>
      </c>
      <c r="S91" s="49">
        <f t="shared" si="49"/>
        <v>0.93773227651913316</v>
      </c>
      <c r="T91" s="49">
        <f t="shared" si="49"/>
        <v>0.93819081185176489</v>
      </c>
      <c r="U91" s="49">
        <f t="shared" si="49"/>
        <v>0.93875413967111665</v>
      </c>
      <c r="V91" s="49">
        <f t="shared" si="49"/>
        <v>0.93953526373746432</v>
      </c>
      <c r="W91" s="49">
        <f t="shared" si="49"/>
        <v>0.94051882307969981</v>
      </c>
    </row>
    <row r="92" spans="2:23" x14ac:dyDescent="0.2">
      <c r="C92" s="38"/>
      <c r="D92" s="38"/>
      <c r="E92" s="38"/>
      <c r="F92" s="38"/>
      <c r="G92" s="38"/>
      <c r="H92" s="38"/>
      <c r="I92" s="38"/>
      <c r="J92" s="38"/>
      <c r="K92" s="38"/>
      <c r="L92" s="38"/>
      <c r="M92" s="38"/>
      <c r="N92" s="38"/>
      <c r="O92" s="38"/>
      <c r="P92" s="38"/>
      <c r="Q92" s="38"/>
      <c r="R92" s="38"/>
      <c r="S92" s="38"/>
      <c r="T92" s="38"/>
      <c r="U92" s="38"/>
      <c r="V92" s="38"/>
      <c r="W92" s="38"/>
    </row>
    <row r="93" spans="2:23" x14ac:dyDescent="0.2">
      <c r="B93" s="112" t="s">
        <v>129</v>
      </c>
      <c r="C93" s="114">
        <f>C105</f>
        <v>1.4190647602081299</v>
      </c>
      <c r="D93" s="114">
        <f>D105</f>
        <v>1.2721904516220093</v>
      </c>
      <c r="E93" s="114">
        <f>E105</f>
        <v>1.6214711666107178</v>
      </c>
      <c r="F93" s="114">
        <f t="shared" ref="F93:G93" si="50">F95+F96</f>
        <v>1.9528080000000001</v>
      </c>
      <c r="G93" s="114">
        <f t="shared" si="50"/>
        <v>1.9344650000000001</v>
      </c>
      <c r="H93" s="114">
        <f t="shared" ref="H93:W93" si="51">H95+H96</f>
        <v>1.8809861130955123</v>
      </c>
      <c r="I93" s="114">
        <f t="shared" si="51"/>
        <v>2.0239034219102687</v>
      </c>
      <c r="J93" s="114">
        <f t="shared" si="51"/>
        <v>2.1462506647711721</v>
      </c>
      <c r="K93" s="114">
        <f t="shared" si="51"/>
        <v>2.3385326593131857</v>
      </c>
      <c r="L93" s="114">
        <f t="shared" si="51"/>
        <v>2.4816032701937862</v>
      </c>
      <c r="M93" s="114">
        <f t="shared" si="51"/>
        <v>2.612978811871828</v>
      </c>
      <c r="N93" s="114">
        <f t="shared" si="51"/>
        <v>2.7340566617462532</v>
      </c>
      <c r="O93" s="114">
        <f t="shared" si="51"/>
        <v>2.8499762142614373</v>
      </c>
      <c r="P93" s="114">
        <f t="shared" si="51"/>
        <v>2.9607887792115024</v>
      </c>
      <c r="Q93" s="114">
        <f t="shared" si="51"/>
        <v>3.0565180919920119</v>
      </c>
      <c r="R93" s="114">
        <f t="shared" si="51"/>
        <v>3.1455175014636207</v>
      </c>
      <c r="S93" s="114">
        <f t="shared" si="51"/>
        <v>3.2281977490599445</v>
      </c>
      <c r="T93" s="114">
        <f t="shared" si="51"/>
        <v>3.3050451948924864</v>
      </c>
      <c r="U93" s="114">
        <f t="shared" si="51"/>
        <v>3.3765242309764196</v>
      </c>
      <c r="V93" s="114">
        <f t="shared" si="51"/>
        <v>3.4431559841144175</v>
      </c>
      <c r="W93" s="114">
        <f t="shared" si="51"/>
        <v>3.5054365344232021</v>
      </c>
    </row>
    <row r="94" spans="2:23" x14ac:dyDescent="0.2">
      <c r="B94" s="33" t="s">
        <v>130</v>
      </c>
      <c r="C94" s="34"/>
      <c r="D94" s="34"/>
      <c r="E94" s="34"/>
      <c r="F94" s="265">
        <f t="shared" ref="F94:G94" si="52">((F36*E84)-(F38*(E87+E89)))/(E85+E86+E88)</f>
        <v>1.8315432870429942</v>
      </c>
      <c r="G94" s="265">
        <f t="shared" si="52"/>
        <v>1.9243399338862257</v>
      </c>
      <c r="H94" s="34">
        <f>IF(G84&gt;0,(G94*G85+
('Baseline NFPC'!H$97*(G85+G86+G88)-'Baseline NFPC'!G$97*G85)/(G86+G88)
*(G88+G86))/(G85+G86+G88),H37)</f>
        <v>1.8721771606223445</v>
      </c>
      <c r="I94" s="34">
        <f t="shared" ref="I94:W94" si="53">IF(H84&gt;0,(H94*H85+I37*(H88+H86))/(H85+H86+H88),I37)</f>
        <v>2.0196550671025473</v>
      </c>
      <c r="J94" s="34">
        <f t="shared" si="53"/>
        <v>2.1449800377489825</v>
      </c>
      <c r="K94" s="34">
        <f t="shared" si="53"/>
        <v>2.3072608405523933</v>
      </c>
      <c r="L94" s="34">
        <f t="shared" si="53"/>
        <v>2.4548969865401649</v>
      </c>
      <c r="M94" s="34">
        <f t="shared" si="53"/>
        <v>2.5902720548519045</v>
      </c>
      <c r="N94" s="34">
        <f t="shared" si="53"/>
        <v>2.7148819687888355</v>
      </c>
      <c r="O94" s="34">
        <f t="shared" si="53"/>
        <v>2.8336242797900293</v>
      </c>
      <c r="P94" s="34">
        <f t="shared" si="53"/>
        <v>2.9467007661625857</v>
      </c>
      <c r="Q94" s="34">
        <f t="shared" si="53"/>
        <v>3.051447085194301</v>
      </c>
      <c r="R94" s="34">
        <f t="shared" si="53"/>
        <v>3.1487488543369677</v>
      </c>
      <c r="S94" s="34">
        <f t="shared" si="53"/>
        <v>3.2391525573075692</v>
      </c>
      <c r="T94" s="34">
        <f t="shared" si="53"/>
        <v>3.3232275939350537</v>
      </c>
      <c r="U94" s="34">
        <f t="shared" si="53"/>
        <v>3.4014604000465241</v>
      </c>
      <c r="V94" s="34">
        <f t="shared" si="53"/>
        <v>3.4743633433040713</v>
      </c>
      <c r="W94" s="34">
        <f t="shared" si="53"/>
        <v>3.5423651064401058</v>
      </c>
    </row>
    <row r="95" spans="2:23" x14ac:dyDescent="0.2">
      <c r="B95" s="26" t="s">
        <v>131</v>
      </c>
      <c r="C95" s="34"/>
      <c r="D95" s="34"/>
      <c r="E95" s="34"/>
      <c r="F95" s="34">
        <f t="shared" ref="F95" si="54">(F94*(E85+E86+E88)+F38*(E87+E89))/E84</f>
        <v>1.9528080000000001</v>
      </c>
      <c r="G95" s="34">
        <f t="shared" ref="G95" si="55">(G94*(F85+F86+F88)+G38*(F87+F89))/F84</f>
        <v>1.9344650000000001</v>
      </c>
      <c r="H95" s="34">
        <f t="shared" ref="H95:W95" si="56">(H94*(G85+G86+G88)+H38*(G87+G89))/G84</f>
        <v>1.8809861130955123</v>
      </c>
      <c r="I95" s="34">
        <f t="shared" si="56"/>
        <v>2.0239034219102687</v>
      </c>
      <c r="J95" s="34">
        <f t="shared" si="56"/>
        <v>2.1462506647711721</v>
      </c>
      <c r="K95" s="34">
        <f t="shared" si="56"/>
        <v>2.3385326593131857</v>
      </c>
      <c r="L95" s="34">
        <f t="shared" si="56"/>
        <v>2.4816032701937862</v>
      </c>
      <c r="M95" s="34">
        <f t="shared" si="56"/>
        <v>2.612978811871828</v>
      </c>
      <c r="N95" s="34">
        <f t="shared" si="56"/>
        <v>2.7340566617462532</v>
      </c>
      <c r="O95" s="34">
        <f t="shared" si="56"/>
        <v>2.8499762142614373</v>
      </c>
      <c r="P95" s="34">
        <f t="shared" si="56"/>
        <v>2.9607887792115024</v>
      </c>
      <c r="Q95" s="34">
        <f t="shared" si="56"/>
        <v>3.0565180919920119</v>
      </c>
      <c r="R95" s="34">
        <f t="shared" si="56"/>
        <v>3.1455175014636207</v>
      </c>
      <c r="S95" s="34">
        <f t="shared" si="56"/>
        <v>3.2281977490599445</v>
      </c>
      <c r="T95" s="34">
        <f t="shared" si="56"/>
        <v>3.3050451948924864</v>
      </c>
      <c r="U95" s="34">
        <f t="shared" si="56"/>
        <v>3.3765242309764196</v>
      </c>
      <c r="V95" s="34">
        <f t="shared" si="56"/>
        <v>3.4431559841144175</v>
      </c>
      <c r="W95" s="34">
        <f t="shared" si="56"/>
        <v>3.5054365344232021</v>
      </c>
    </row>
    <row r="96" spans="2:23" x14ac:dyDescent="0.2">
      <c r="B96" s="35" t="s">
        <v>132</v>
      </c>
      <c r="C96" s="113"/>
      <c r="D96" s="113"/>
      <c r="E96" s="49"/>
      <c r="F96" s="49">
        <f>IF('Criteria results'!$F$5=4,F106,F111)</f>
        <v>0</v>
      </c>
      <c r="G96" s="49">
        <f>IF('Criteria results'!$F$5=4,G106,G111)</f>
        <v>0</v>
      </c>
      <c r="H96" s="49">
        <f>IF('Criteria results'!$F$5=4,H106,H111)</f>
        <v>0</v>
      </c>
      <c r="I96" s="49">
        <f>IF('Criteria results'!$F$5=4,I106,I111)</f>
        <v>0</v>
      </c>
      <c r="J96" s="49">
        <f>IF('Criteria results'!$F$5=4,J106,J111)</f>
        <v>0</v>
      </c>
      <c r="K96" s="49">
        <f>IF('Criteria results'!$F$5=4,K106,K111)</f>
        <v>0</v>
      </c>
      <c r="L96" s="49">
        <f>IF('Criteria results'!$F$5=4,L106,L111)</f>
        <v>0</v>
      </c>
      <c r="M96" s="49">
        <f>IF('Criteria results'!$F$5=4,M106,M111)</f>
        <v>0</v>
      </c>
      <c r="N96" s="49">
        <f>IF('Criteria results'!$F$5=4,N106,N111)</f>
        <v>0</v>
      </c>
      <c r="O96" s="49">
        <f>IF('Criteria results'!$F$5=4,O106,O111)</f>
        <v>0</v>
      </c>
      <c r="P96" s="49">
        <f>IF('Criteria results'!$F$5=4,P106,P111)</f>
        <v>0</v>
      </c>
      <c r="Q96" s="49">
        <f>IF('Criteria results'!$F$5=4,Q106,Q111)</f>
        <v>0</v>
      </c>
      <c r="R96" s="49">
        <f>IF('Criteria results'!$F$5=4,R106,R111)</f>
        <v>0</v>
      </c>
      <c r="S96" s="49">
        <f>IF('Criteria results'!$F$5=4,S106,S111)</f>
        <v>0</v>
      </c>
      <c r="T96" s="49">
        <f>IF('Criteria results'!$F$5=4,T106,T111)</f>
        <v>0</v>
      </c>
      <c r="U96" s="49">
        <f>IF('Criteria results'!$F$5=4,U106,U111)</f>
        <v>0</v>
      </c>
      <c r="V96" s="49">
        <f>IF('Criteria results'!$F$5=4,V106,V111)</f>
        <v>0</v>
      </c>
      <c r="W96" s="49">
        <f>IF('Criteria results'!$F$5=4,W106,W111)</f>
        <v>0</v>
      </c>
    </row>
    <row r="98" spans="1:54" x14ac:dyDescent="0.2">
      <c r="B98" s="112" t="s">
        <v>181</v>
      </c>
      <c r="C98" s="114">
        <f>((1+C93/100)/((1+C23/100)*(1+C42/100))-1)*100</f>
        <v>-5.0506237666782745</v>
      </c>
      <c r="D98" s="114">
        <f t="shared" ref="D98:T98" si="57">((1+D93/100)/((1+D23/100)*(1+D42/100))-1)*100</f>
        <v>-8.1711448349229059</v>
      </c>
      <c r="E98" s="114">
        <f t="shared" si="57"/>
        <v>-3.794155362881857</v>
      </c>
      <c r="F98" s="114">
        <f t="shared" si="57"/>
        <v>-1.5755368351901722</v>
      </c>
      <c r="G98" s="114">
        <f t="shared" si="57"/>
        <v>-0.40998026742823379</v>
      </c>
      <c r="H98" s="114">
        <f t="shared" si="57"/>
        <v>-0.8866134357300326</v>
      </c>
      <c r="I98" s="114">
        <f t="shared" si="57"/>
        <v>-0.90003494872706868</v>
      </c>
      <c r="J98" s="114">
        <f t="shared" si="57"/>
        <v>-0.78961071018289752</v>
      </c>
      <c r="K98" s="114">
        <f t="shared" si="57"/>
        <v>-0.93572163185730028</v>
      </c>
      <c r="L98" s="114">
        <f t="shared" si="57"/>
        <v>-0.93837461610679629</v>
      </c>
      <c r="M98" s="114">
        <f t="shared" si="57"/>
        <v>-0.87429888178228721</v>
      </c>
      <c r="N98" s="114">
        <f t="shared" si="57"/>
        <v>-0.12676414032724015</v>
      </c>
      <c r="O98" s="114">
        <f t="shared" si="57"/>
        <v>-7.0383484200209345E-2</v>
      </c>
      <c r="P98" s="114">
        <f t="shared" si="57"/>
        <v>-6.465428131445794E-2</v>
      </c>
      <c r="Q98" s="114">
        <f t="shared" si="57"/>
        <v>-3.4938211686075249E-2</v>
      </c>
      <c r="R98" s="114">
        <f t="shared" si="57"/>
        <v>-1.1761093956641488E-2</v>
      </c>
      <c r="S98" s="114">
        <f t="shared" si="57"/>
        <v>5.2913463429726804E-3</v>
      </c>
      <c r="T98" s="114">
        <f t="shared" si="57"/>
        <v>3.3697892352058112E-2</v>
      </c>
      <c r="U98" s="114">
        <f>((1+U93/100)/((1+U23/100)*(1+U42/100))-1)*100</f>
        <v>5.4875696181633238E-2</v>
      </c>
      <c r="V98" s="114">
        <f t="shared" ref="V98:W98" si="58">((1+V93/100)/((1+V23/100)*(1+V42/100))-1)*100</f>
        <v>7.2341175415724379E-2</v>
      </c>
      <c r="W98" s="114">
        <f t="shared" si="58"/>
        <v>0.16532136699731748</v>
      </c>
    </row>
    <row r="100" spans="1:54" x14ac:dyDescent="0.2">
      <c r="B100" s="396"/>
      <c r="C100" s="396"/>
      <c r="D100" s="396"/>
      <c r="E100" s="396"/>
      <c r="F100" s="397"/>
      <c r="G100" s="398"/>
      <c r="H100" s="398"/>
    </row>
    <row r="101" spans="1:54" s="25" customFormat="1" ht="13.2" outlineLevel="1" x14ac:dyDescent="0.25">
      <c r="B101" s="25" t="s">
        <v>133</v>
      </c>
      <c r="C101" s="111"/>
      <c r="D101" s="111"/>
      <c r="E101" s="111"/>
      <c r="F101" s="111"/>
      <c r="G101" s="111"/>
      <c r="H101" s="111"/>
      <c r="I101" s="111"/>
      <c r="J101" s="111"/>
      <c r="K101" s="111"/>
      <c r="L101" s="111"/>
      <c r="M101" s="111"/>
      <c r="N101" s="111"/>
      <c r="O101" s="111"/>
      <c r="P101" s="111"/>
      <c r="Q101" s="111"/>
      <c r="R101" s="111"/>
      <c r="S101" s="111"/>
      <c r="T101" s="111"/>
      <c r="U101" s="111"/>
      <c r="V101" s="111"/>
      <c r="W101" s="111"/>
    </row>
    <row r="102" spans="1:54" s="126" customFormat="1" ht="13.2" outlineLevel="1" x14ac:dyDescent="0.25">
      <c r="C102" s="127"/>
      <c r="D102" s="127"/>
      <c r="E102" s="127"/>
      <c r="F102" s="127"/>
      <c r="G102" s="127"/>
      <c r="H102" s="127"/>
      <c r="I102" s="127"/>
      <c r="J102" s="127"/>
      <c r="K102" s="127"/>
      <c r="L102" s="127"/>
      <c r="M102" s="127"/>
      <c r="N102" s="127"/>
      <c r="O102" s="127"/>
      <c r="P102" s="127"/>
      <c r="Q102" s="127"/>
      <c r="R102" s="127"/>
      <c r="S102" s="127"/>
      <c r="T102" s="127"/>
      <c r="U102" s="127"/>
      <c r="V102" s="127"/>
      <c r="W102" s="127"/>
    </row>
    <row r="103" spans="1:54" s="126" customFormat="1" ht="13.2" outlineLevel="1" x14ac:dyDescent="0.25">
      <c r="B103" s="105" t="s">
        <v>294</v>
      </c>
      <c r="C103" s="128"/>
      <c r="D103" s="128"/>
      <c r="E103" s="128"/>
      <c r="F103" s="128"/>
      <c r="G103" s="128"/>
      <c r="H103" s="128"/>
      <c r="I103" s="128"/>
      <c r="J103" s="128"/>
      <c r="K103" s="128"/>
      <c r="L103" s="128"/>
      <c r="M103" s="128"/>
      <c r="N103" s="128"/>
      <c r="O103" s="128"/>
      <c r="P103" s="128"/>
      <c r="Q103" s="128"/>
      <c r="R103" s="128"/>
      <c r="S103" s="128"/>
      <c r="T103" s="128"/>
      <c r="U103" s="128"/>
      <c r="V103" s="128"/>
      <c r="W103" s="128"/>
    </row>
    <row r="104" spans="1:54" outlineLevel="1" x14ac:dyDescent="0.2">
      <c r="B104" s="119" t="s">
        <v>43</v>
      </c>
      <c r="C104" s="34">
        <v>82.39459228515625</v>
      </c>
      <c r="D104" s="34">
        <v>78.375633239746094</v>
      </c>
      <c r="E104" s="34">
        <v>78.551918029785156</v>
      </c>
      <c r="F104" s="34">
        <v>79.538070678710938</v>
      </c>
      <c r="G104" s="34">
        <v>80.808403015136719</v>
      </c>
      <c r="H104" s="34">
        <v>81.055084228515625</v>
      </c>
      <c r="I104" s="34">
        <v>80.65228271484375</v>
      </c>
      <c r="J104" s="34">
        <v>79.802017211914063</v>
      </c>
      <c r="K104" s="34">
        <v>78.971359252929688</v>
      </c>
      <c r="L104" s="34">
        <v>78.008956909179688</v>
      </c>
      <c r="M104" s="34">
        <v>76.966629028320313</v>
      </c>
      <c r="N104" s="34">
        <v>76.426353454589844</v>
      </c>
      <c r="O104" s="34">
        <v>75.995025634765625</v>
      </c>
      <c r="P104" s="34">
        <v>75.663749694824219</v>
      </c>
      <c r="Q104" s="34">
        <v>75.417167663574219</v>
      </c>
      <c r="R104" s="34">
        <v>75.232398986816406</v>
      </c>
      <c r="S104" s="34">
        <v>75.093803405761719</v>
      </c>
      <c r="T104" s="34">
        <v>74.993621826171875</v>
      </c>
      <c r="U104" s="34">
        <v>74.918075561523438</v>
      </c>
      <c r="V104" s="34">
        <v>74.850967407226563</v>
      </c>
      <c r="W104" s="34">
        <v>74.855186462402344</v>
      </c>
      <c r="X104" s="34"/>
      <c r="Y104" s="34"/>
      <c r="Z104" s="34"/>
    </row>
    <row r="105" spans="1:54" s="5" customFormat="1" ht="13.2" x14ac:dyDescent="0.25">
      <c r="A105" s="26"/>
      <c r="B105" s="26" t="s">
        <v>129</v>
      </c>
      <c r="C105" s="1">
        <v>1.4190647602081299</v>
      </c>
      <c r="D105" s="1">
        <v>1.2721904516220093</v>
      </c>
      <c r="E105" s="1">
        <v>1.6214711666107178</v>
      </c>
      <c r="F105" s="1">
        <v>1.9528083801269531</v>
      </c>
      <c r="G105" s="1">
        <v>1.9344645738601685</v>
      </c>
      <c r="H105" s="1">
        <v>1.8831226825714111</v>
      </c>
      <c r="I105" s="1">
        <v>2.0319912433624268</v>
      </c>
      <c r="J105" s="1">
        <v>2.16288161277771</v>
      </c>
      <c r="K105" s="1">
        <v>2.3730537891387939</v>
      </c>
      <c r="L105" s="1">
        <v>2.5335123538970947</v>
      </c>
      <c r="M105" s="1">
        <v>2.681232213973999</v>
      </c>
      <c r="N105" s="1">
        <v>2.8177320957183838</v>
      </c>
      <c r="O105" s="1">
        <v>2.9471991062164307</v>
      </c>
      <c r="P105" s="1">
        <v>3.0701549053192139</v>
      </c>
      <c r="Q105" s="1">
        <v>3.1744246482849121</v>
      </c>
      <c r="R105" s="1">
        <v>3.2696483135223389</v>
      </c>
      <c r="S105" s="1">
        <v>3.356574535369873</v>
      </c>
      <c r="T105" s="1">
        <v>3.4359941482543945</v>
      </c>
      <c r="U105" s="1">
        <v>3.508622407913208</v>
      </c>
      <c r="V105" s="1">
        <v>3.5751874446868896</v>
      </c>
      <c r="W105" s="1">
        <v>3.6363310813903809</v>
      </c>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row>
    <row r="106" spans="1:54" s="5" customFormat="1" ht="13.2" x14ac:dyDescent="0.25">
      <c r="B106" s="26" t="s">
        <v>180</v>
      </c>
      <c r="C106" s="1"/>
      <c r="D106" s="1"/>
      <c r="E106" s="1"/>
      <c r="F106" s="1"/>
      <c r="G106" s="1">
        <v>0</v>
      </c>
      <c r="H106" s="1">
        <v>0</v>
      </c>
      <c r="I106" s="1">
        <v>0</v>
      </c>
      <c r="J106" s="1">
        <v>0</v>
      </c>
      <c r="K106" s="1">
        <v>0</v>
      </c>
      <c r="L106" s="1">
        <v>0</v>
      </c>
      <c r="M106" s="1">
        <v>0</v>
      </c>
      <c r="N106" s="1">
        <v>0</v>
      </c>
      <c r="O106" s="1">
        <v>0</v>
      </c>
      <c r="P106" s="1">
        <v>0</v>
      </c>
      <c r="Q106" s="1">
        <v>0</v>
      </c>
      <c r="R106" s="1">
        <v>0</v>
      </c>
      <c r="S106" s="1">
        <v>0</v>
      </c>
      <c r="T106" s="1">
        <v>0</v>
      </c>
      <c r="U106" s="1">
        <v>0</v>
      </c>
      <c r="V106" s="1">
        <v>0</v>
      </c>
      <c r="W106" s="1">
        <v>0</v>
      </c>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row>
    <row r="107" spans="1:54" s="5" customFormat="1" ht="13.2" x14ac:dyDescent="0.25">
      <c r="B107" s="2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row>
    <row r="108" spans="1:54" s="5" customFormat="1" ht="13.2" x14ac:dyDescent="0.25">
      <c r="B108" s="105" t="s">
        <v>295</v>
      </c>
      <c r="C108" s="37"/>
      <c r="D108" s="37"/>
      <c r="E108" s="37"/>
      <c r="F108" s="37"/>
      <c r="G108" s="37"/>
      <c r="H108" s="37"/>
      <c r="I108" s="37"/>
      <c r="J108" s="37"/>
      <c r="K108" s="37"/>
      <c r="L108" s="37"/>
      <c r="M108" s="37"/>
      <c r="N108" s="37"/>
      <c r="O108" s="37"/>
      <c r="P108" s="37"/>
      <c r="Q108" s="37"/>
      <c r="R108" s="37"/>
      <c r="S108" s="37"/>
      <c r="T108" s="37"/>
      <c r="U108" s="37"/>
      <c r="V108" s="37"/>
      <c r="W108" s="37"/>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row>
    <row r="109" spans="1:54" outlineLevel="1" x14ac:dyDescent="0.2">
      <c r="B109" s="119" t="s">
        <v>43</v>
      </c>
      <c r="C109" s="34">
        <v>82.39459228515625</v>
      </c>
      <c r="D109" s="34">
        <v>78.375633239746094</v>
      </c>
      <c r="E109" s="34">
        <v>78.551918029785156</v>
      </c>
      <c r="F109" s="34">
        <v>79.538070678710938</v>
      </c>
      <c r="G109" s="34">
        <v>80.806404113769531</v>
      </c>
      <c r="H109" s="34">
        <v>81.272010803222656</v>
      </c>
      <c r="I109" s="34">
        <v>81.315498352050781</v>
      </c>
      <c r="J109" s="34">
        <v>81.143211364746094</v>
      </c>
      <c r="K109" s="34">
        <v>80.666961669921875</v>
      </c>
      <c r="L109" s="34">
        <v>79.838478088378906</v>
      </c>
      <c r="M109" s="34">
        <v>78.7188720703125</v>
      </c>
      <c r="N109" s="34">
        <v>77.873565673828125</v>
      </c>
      <c r="O109" s="34">
        <v>77.007133483886719</v>
      </c>
      <c r="P109" s="34">
        <v>76.107292175292969</v>
      </c>
      <c r="Q109" s="34">
        <v>75.494209289550781</v>
      </c>
      <c r="R109" s="34">
        <v>74.948699951171875</v>
      </c>
      <c r="S109" s="34">
        <v>74.454429626464844</v>
      </c>
      <c r="T109" s="34">
        <v>74.002944946289063</v>
      </c>
      <c r="U109" s="34">
        <v>73.579902648925781</v>
      </c>
      <c r="V109" s="34">
        <v>73.168586730957031</v>
      </c>
      <c r="W109" s="34">
        <v>72.830085754394531</v>
      </c>
      <c r="X109" s="34"/>
      <c r="Y109" s="34"/>
      <c r="Z109" s="34"/>
    </row>
    <row r="110" spans="1:54" x14ac:dyDescent="0.2">
      <c r="B110" s="26" t="s">
        <v>129</v>
      </c>
      <c r="C110" s="1">
        <v>1.4190647602081299</v>
      </c>
      <c r="D110" s="1">
        <v>1.2721904516220093</v>
      </c>
      <c r="E110" s="1">
        <v>1.6214711666107178</v>
      </c>
      <c r="F110" s="1">
        <v>1.9528083801269531</v>
      </c>
      <c r="G110" s="1">
        <v>1.9344645738601685</v>
      </c>
      <c r="H110" s="1">
        <v>1.8826382160186768</v>
      </c>
      <c r="I110" s="1">
        <v>2.0350871086120605</v>
      </c>
      <c r="J110" s="1">
        <v>2.1708476543426514</v>
      </c>
      <c r="K110" s="1">
        <v>2.2940125465393066</v>
      </c>
      <c r="L110" s="1">
        <v>2.4067330360412598</v>
      </c>
      <c r="M110" s="1">
        <v>2.5106868743896484</v>
      </c>
      <c r="N110" s="1">
        <v>2.6993412971496582</v>
      </c>
      <c r="O110" s="1">
        <v>2.8422598838806152</v>
      </c>
      <c r="P110" s="1">
        <v>2.9756438732147217</v>
      </c>
      <c r="Q110" s="1">
        <v>3.0878870487213135</v>
      </c>
      <c r="R110" s="1">
        <v>3.1906037330627441</v>
      </c>
      <c r="S110" s="1">
        <v>3.2845175266265869</v>
      </c>
      <c r="T110" s="1">
        <v>3.3704133033752441</v>
      </c>
      <c r="U110" s="1">
        <v>3.4490039348602295</v>
      </c>
      <c r="V110" s="1">
        <v>3.5210311412811279</v>
      </c>
      <c r="W110" s="1">
        <v>3.5871505737304688</v>
      </c>
      <c r="X110" s="1"/>
      <c r="Y110" s="1"/>
      <c r="Z110" s="1"/>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60"/>
    </row>
    <row r="111" spans="1:54" x14ac:dyDescent="0.2">
      <c r="B111" s="26" t="s">
        <v>180</v>
      </c>
      <c r="C111" s="34"/>
      <c r="D111" s="34"/>
      <c r="E111" s="34"/>
      <c r="F111" s="34"/>
      <c r="G111" s="34">
        <v>0</v>
      </c>
      <c r="H111" s="34">
        <v>0</v>
      </c>
      <c r="I111" s="34">
        <v>0</v>
      </c>
      <c r="J111" s="34">
        <v>0</v>
      </c>
      <c r="K111" s="34">
        <v>0</v>
      </c>
      <c r="L111" s="34">
        <v>0</v>
      </c>
      <c r="M111" s="34">
        <v>0</v>
      </c>
      <c r="N111" s="34">
        <v>0</v>
      </c>
      <c r="O111" s="34">
        <v>0</v>
      </c>
      <c r="P111" s="34">
        <v>0</v>
      </c>
      <c r="Q111" s="34">
        <v>0</v>
      </c>
      <c r="R111" s="34">
        <v>0</v>
      </c>
      <c r="S111" s="34">
        <v>0</v>
      </c>
      <c r="T111" s="34">
        <v>0</v>
      </c>
      <c r="U111" s="34">
        <v>0</v>
      </c>
      <c r="V111" s="34">
        <v>0</v>
      </c>
      <c r="W111" s="34">
        <v>0</v>
      </c>
    </row>
    <row r="113" spans="2:25" x14ac:dyDescent="0.2">
      <c r="C113" s="34"/>
      <c r="D113" s="34"/>
      <c r="E113" s="34"/>
      <c r="F113" s="34"/>
      <c r="G113" s="34"/>
      <c r="H113" s="34"/>
      <c r="I113" s="34"/>
      <c r="J113" s="34"/>
      <c r="K113" s="34"/>
      <c r="L113" s="34"/>
      <c r="M113" s="34"/>
      <c r="N113" s="34"/>
      <c r="O113" s="34"/>
      <c r="P113" s="34"/>
      <c r="Q113" s="34"/>
      <c r="R113" s="34"/>
      <c r="S113" s="34"/>
      <c r="T113" s="34"/>
      <c r="U113" s="34"/>
      <c r="V113" s="34"/>
      <c r="W113" s="34"/>
    </row>
    <row r="114" spans="2:25" x14ac:dyDescent="0.2">
      <c r="C114" s="34"/>
      <c r="D114" s="34"/>
      <c r="E114" s="34"/>
      <c r="F114" s="34"/>
      <c r="G114" s="34"/>
      <c r="H114" s="34"/>
      <c r="I114" s="34"/>
      <c r="J114" s="34"/>
      <c r="K114" s="34"/>
      <c r="L114" s="34"/>
      <c r="M114" s="34"/>
      <c r="N114" s="34"/>
      <c r="O114" s="34"/>
      <c r="P114" s="34"/>
      <c r="Q114" s="34"/>
      <c r="R114" s="34"/>
      <c r="S114" s="34"/>
      <c r="T114" s="34"/>
      <c r="U114" s="34"/>
      <c r="V114" s="34"/>
      <c r="W114" s="34"/>
    </row>
    <row r="115" spans="2:25" x14ac:dyDescent="0.2">
      <c r="C115" s="34"/>
      <c r="D115" s="34"/>
      <c r="E115" s="34"/>
      <c r="F115" s="34"/>
      <c r="G115" s="121"/>
      <c r="H115" s="121"/>
      <c r="I115" s="121"/>
      <c r="J115" s="121"/>
      <c r="K115" s="121"/>
      <c r="L115" s="121"/>
      <c r="M115" s="121"/>
      <c r="N115" s="121"/>
      <c r="O115" s="121"/>
      <c r="P115" s="121"/>
      <c r="Q115" s="121"/>
      <c r="R115" s="121"/>
      <c r="S115" s="121"/>
      <c r="T115" s="121"/>
      <c r="U115" s="121"/>
      <c r="V115" s="121"/>
      <c r="W115" s="121"/>
    </row>
    <row r="116" spans="2:25" x14ac:dyDescent="0.2">
      <c r="C116" s="34"/>
      <c r="D116" s="34"/>
      <c r="E116" s="34"/>
      <c r="F116" s="34"/>
      <c r="G116" s="121"/>
      <c r="H116" s="121"/>
      <c r="I116" s="121"/>
      <c r="J116" s="121"/>
      <c r="K116" s="121"/>
      <c r="L116" s="121"/>
      <c r="M116" s="121"/>
      <c r="N116" s="121"/>
      <c r="O116" s="121"/>
      <c r="P116" s="121"/>
      <c r="Q116" s="121"/>
      <c r="R116" s="121"/>
      <c r="S116" s="121"/>
      <c r="T116" s="121"/>
      <c r="U116" s="121"/>
      <c r="V116" s="121"/>
      <c r="W116" s="121"/>
    </row>
    <row r="117" spans="2:25" x14ac:dyDescent="0.2">
      <c r="C117" s="36"/>
      <c r="D117" s="122"/>
      <c r="E117" s="122"/>
      <c r="F117" s="122"/>
      <c r="G117" s="122"/>
      <c r="H117" s="122"/>
      <c r="I117" s="122"/>
      <c r="J117" s="122"/>
      <c r="K117" s="122"/>
      <c r="L117" s="122"/>
      <c r="M117" s="122"/>
      <c r="N117" s="122"/>
      <c r="O117" s="122"/>
      <c r="P117" s="122"/>
      <c r="Q117" s="122"/>
      <c r="R117" s="122"/>
      <c r="S117" s="122"/>
      <c r="T117" s="122"/>
      <c r="U117" s="122"/>
      <c r="V117" s="122"/>
      <c r="W117" s="122"/>
    </row>
    <row r="118" spans="2:25" x14ac:dyDescent="0.2">
      <c r="C118" s="36"/>
      <c r="D118" s="36"/>
      <c r="E118" s="34"/>
      <c r="F118" s="34"/>
      <c r="G118" s="121"/>
      <c r="H118" s="121"/>
      <c r="I118" s="121"/>
      <c r="J118" s="121"/>
      <c r="K118" s="121"/>
      <c r="L118" s="121"/>
      <c r="M118" s="121"/>
      <c r="N118" s="121"/>
      <c r="O118" s="121"/>
      <c r="P118" s="121"/>
      <c r="Q118" s="121"/>
      <c r="R118" s="121"/>
      <c r="S118" s="121"/>
      <c r="T118" s="121"/>
      <c r="U118" s="121"/>
      <c r="V118" s="121"/>
      <c r="W118" s="121"/>
    </row>
    <row r="119" spans="2:25" x14ac:dyDescent="0.2">
      <c r="E119" s="34"/>
      <c r="F119" s="34"/>
      <c r="G119" s="121"/>
      <c r="H119" s="121"/>
      <c r="I119" s="121"/>
      <c r="J119" s="121"/>
      <c r="K119" s="121"/>
      <c r="L119" s="121"/>
      <c r="M119" s="121"/>
      <c r="N119" s="121"/>
      <c r="O119" s="121"/>
      <c r="P119" s="121"/>
      <c r="Q119" s="121"/>
      <c r="R119" s="121"/>
      <c r="S119" s="121"/>
      <c r="T119" s="121"/>
      <c r="U119" s="121"/>
      <c r="V119" s="121"/>
      <c r="W119" s="121"/>
      <c r="X119" s="53"/>
      <c r="Y119" s="53"/>
    </row>
    <row r="120" spans="2:25" x14ac:dyDescent="0.2">
      <c r="B120" s="33"/>
      <c r="C120" s="96"/>
      <c r="D120" s="96"/>
      <c r="G120" s="122"/>
      <c r="H120" s="122"/>
      <c r="I120" s="122"/>
      <c r="J120" s="122"/>
      <c r="K120" s="122"/>
      <c r="L120" s="122"/>
      <c r="M120" s="122"/>
      <c r="N120" s="122"/>
      <c r="O120" s="122"/>
      <c r="P120" s="122"/>
      <c r="Q120" s="122"/>
      <c r="R120" s="122"/>
      <c r="S120" s="122"/>
      <c r="T120" s="122"/>
      <c r="U120" s="122"/>
      <c r="V120" s="122"/>
      <c r="W120" s="122"/>
      <c r="X120" s="53"/>
      <c r="Y120" s="53"/>
    </row>
    <row r="121" spans="2:25" x14ac:dyDescent="0.2">
      <c r="C121" s="96"/>
      <c r="D121" s="96"/>
      <c r="E121" s="34"/>
      <c r="F121" s="34"/>
      <c r="G121" s="121"/>
      <c r="H121" s="121"/>
      <c r="I121" s="121"/>
      <c r="J121" s="121"/>
      <c r="K121" s="121"/>
      <c r="L121" s="121"/>
      <c r="M121" s="121"/>
      <c r="N121" s="121"/>
      <c r="O121" s="121"/>
      <c r="P121" s="121"/>
      <c r="Q121" s="121"/>
      <c r="R121" s="121"/>
      <c r="S121" s="121"/>
      <c r="T121" s="121"/>
      <c r="U121" s="121"/>
      <c r="V121" s="121"/>
      <c r="W121" s="121"/>
      <c r="X121" s="53"/>
      <c r="Y121" s="53"/>
    </row>
    <row r="122" spans="2:25" x14ac:dyDescent="0.2">
      <c r="E122" s="34"/>
      <c r="F122" s="34"/>
      <c r="G122" s="121"/>
      <c r="H122" s="121"/>
      <c r="I122" s="121"/>
      <c r="J122" s="121"/>
      <c r="K122" s="121"/>
      <c r="L122" s="121"/>
      <c r="M122" s="121"/>
      <c r="N122" s="121"/>
      <c r="O122" s="121"/>
      <c r="P122" s="121"/>
      <c r="Q122" s="121"/>
      <c r="R122" s="121"/>
      <c r="S122" s="121"/>
      <c r="T122" s="121"/>
      <c r="U122" s="121"/>
      <c r="V122" s="121"/>
      <c r="W122" s="121"/>
      <c r="X122" s="53"/>
      <c r="Y122" s="53"/>
    </row>
    <row r="123" spans="2:25" x14ac:dyDescent="0.2">
      <c r="C123" s="96"/>
      <c r="D123" s="96"/>
      <c r="E123" s="96"/>
      <c r="F123" s="96"/>
      <c r="G123" s="122"/>
      <c r="H123" s="122"/>
      <c r="I123" s="122"/>
      <c r="J123" s="122"/>
      <c r="K123" s="122"/>
      <c r="L123" s="122"/>
      <c r="M123" s="122"/>
      <c r="N123" s="122"/>
      <c r="O123" s="122"/>
      <c r="P123" s="122"/>
      <c r="Q123" s="122"/>
      <c r="R123" s="122"/>
      <c r="S123" s="122"/>
      <c r="T123" s="122"/>
      <c r="U123" s="122"/>
      <c r="V123" s="122"/>
      <c r="W123" s="122"/>
      <c r="X123" s="53"/>
      <c r="Y123" s="53"/>
    </row>
    <row r="124" spans="2:25" x14ac:dyDescent="0.2">
      <c r="E124" s="34"/>
      <c r="F124" s="34"/>
      <c r="G124" s="121"/>
      <c r="H124" s="121"/>
      <c r="I124" s="121"/>
      <c r="J124" s="121"/>
      <c r="K124" s="121"/>
      <c r="L124" s="121"/>
      <c r="M124" s="121"/>
      <c r="N124" s="121"/>
      <c r="O124" s="121"/>
      <c r="P124" s="121"/>
      <c r="Q124" s="121"/>
      <c r="R124" s="121"/>
      <c r="S124" s="121"/>
      <c r="T124" s="121"/>
      <c r="U124" s="121"/>
      <c r="V124" s="121"/>
      <c r="W124" s="121"/>
      <c r="X124" s="53"/>
      <c r="Y124" s="53"/>
    </row>
    <row r="125" spans="2:25" x14ac:dyDescent="0.2">
      <c r="E125" s="34"/>
      <c r="F125" s="34"/>
      <c r="G125" s="121"/>
      <c r="H125" s="121"/>
      <c r="I125" s="121"/>
      <c r="J125" s="121"/>
      <c r="K125" s="121"/>
      <c r="L125" s="121"/>
      <c r="M125" s="121"/>
      <c r="N125" s="121"/>
      <c r="O125" s="121"/>
      <c r="P125" s="121"/>
      <c r="Q125" s="121"/>
      <c r="R125" s="121"/>
      <c r="S125" s="121"/>
      <c r="T125" s="121"/>
      <c r="U125" s="121"/>
      <c r="V125" s="121"/>
      <c r="W125" s="121"/>
      <c r="X125" s="121"/>
      <c r="Y125" s="53"/>
    </row>
    <row r="126" spans="2:25" x14ac:dyDescent="0.2">
      <c r="G126" s="121"/>
      <c r="H126" s="121"/>
      <c r="I126" s="121"/>
      <c r="J126" s="121"/>
      <c r="K126" s="121"/>
      <c r="L126" s="121"/>
      <c r="M126" s="121"/>
      <c r="N126" s="121"/>
      <c r="O126" s="121"/>
      <c r="P126" s="121"/>
      <c r="Q126" s="121"/>
      <c r="R126" s="121"/>
      <c r="S126" s="121"/>
      <c r="T126" s="121"/>
      <c r="U126" s="121"/>
      <c r="V126" s="121"/>
      <c r="W126" s="121"/>
      <c r="X126" s="121"/>
      <c r="Y126" s="53"/>
    </row>
    <row r="127" spans="2:25" x14ac:dyDescent="0.2">
      <c r="C127" s="96"/>
      <c r="D127" s="96"/>
      <c r="E127" s="34"/>
      <c r="F127" s="34"/>
      <c r="G127" s="121"/>
      <c r="H127" s="121"/>
      <c r="I127" s="121"/>
      <c r="J127" s="121"/>
      <c r="K127" s="121"/>
      <c r="L127" s="121"/>
      <c r="M127" s="121"/>
      <c r="N127" s="121"/>
      <c r="O127" s="121"/>
      <c r="P127" s="121"/>
      <c r="Q127" s="121"/>
      <c r="R127" s="121"/>
      <c r="S127" s="121"/>
      <c r="T127" s="121"/>
      <c r="U127" s="121"/>
      <c r="V127" s="121"/>
      <c r="W127" s="121"/>
      <c r="X127" s="121"/>
      <c r="Y127" s="53"/>
    </row>
    <row r="128" spans="2:25" x14ac:dyDescent="0.2">
      <c r="E128" s="34"/>
      <c r="F128" s="34"/>
      <c r="G128" s="121"/>
      <c r="H128" s="121"/>
      <c r="I128" s="121"/>
      <c r="J128" s="121"/>
      <c r="K128" s="121"/>
      <c r="L128" s="121"/>
      <c r="M128" s="121"/>
      <c r="N128" s="121"/>
      <c r="O128" s="121"/>
      <c r="P128" s="121"/>
      <c r="Q128" s="121"/>
      <c r="R128" s="121"/>
      <c r="S128" s="121"/>
      <c r="T128" s="121"/>
      <c r="U128" s="121"/>
      <c r="V128" s="121"/>
      <c r="W128" s="121"/>
      <c r="X128" s="121"/>
      <c r="Y128" s="53"/>
    </row>
    <row r="129" spans="6:25" x14ac:dyDescent="0.2">
      <c r="G129" s="121"/>
      <c r="H129" s="121"/>
      <c r="I129" s="121"/>
      <c r="J129" s="121"/>
      <c r="K129" s="121"/>
      <c r="L129" s="121"/>
      <c r="M129" s="121"/>
      <c r="N129" s="121"/>
      <c r="O129" s="121"/>
      <c r="P129" s="121"/>
      <c r="Q129" s="121"/>
      <c r="R129" s="121"/>
      <c r="S129" s="121"/>
      <c r="T129" s="121"/>
      <c r="U129" s="121"/>
      <c r="V129" s="121"/>
      <c r="W129" s="121"/>
      <c r="X129" s="121"/>
      <c r="Y129" s="53"/>
    </row>
    <row r="130" spans="6:25" x14ac:dyDescent="0.2">
      <c r="F130" s="34"/>
      <c r="G130" s="121"/>
      <c r="H130" s="121"/>
      <c r="I130" s="121"/>
      <c r="J130" s="121"/>
      <c r="K130" s="121"/>
      <c r="L130" s="121"/>
      <c r="M130" s="121"/>
      <c r="N130" s="121"/>
      <c r="O130" s="121"/>
      <c r="P130" s="121"/>
      <c r="Q130" s="121"/>
      <c r="R130" s="121"/>
      <c r="S130" s="121"/>
      <c r="T130" s="121"/>
      <c r="U130" s="121"/>
      <c r="V130" s="121"/>
      <c r="W130" s="121"/>
      <c r="X130" s="121"/>
      <c r="Y130" s="53"/>
    </row>
    <row r="131" spans="6:25" x14ac:dyDescent="0.2">
      <c r="G131" s="121"/>
      <c r="H131" s="121"/>
      <c r="I131" s="121"/>
      <c r="J131" s="121"/>
      <c r="K131" s="121"/>
      <c r="L131" s="121"/>
      <c r="M131" s="121"/>
      <c r="N131" s="121"/>
      <c r="O131" s="121"/>
      <c r="P131" s="121"/>
      <c r="Q131" s="121"/>
      <c r="R131" s="121"/>
      <c r="S131" s="121"/>
      <c r="T131" s="121"/>
      <c r="U131" s="121"/>
      <c r="V131" s="121"/>
      <c r="W131" s="121"/>
      <c r="X131" s="121"/>
      <c r="Y131" s="53"/>
    </row>
    <row r="132" spans="6:25" x14ac:dyDescent="0.2">
      <c r="G132" s="121"/>
      <c r="H132" s="121"/>
      <c r="I132" s="121"/>
      <c r="J132" s="121"/>
      <c r="K132" s="121"/>
      <c r="L132" s="121"/>
      <c r="M132" s="121"/>
      <c r="N132" s="121"/>
      <c r="O132" s="121"/>
      <c r="P132" s="121"/>
      <c r="Q132" s="121"/>
      <c r="R132" s="121"/>
      <c r="S132" s="121"/>
      <c r="T132" s="121"/>
      <c r="U132" s="121"/>
      <c r="V132" s="121"/>
      <c r="W132" s="121"/>
      <c r="X132" s="121"/>
    </row>
  </sheetData>
  <conditionalFormatting sqref="K27:M27 K22:M24 K37:M38">
    <cfRule type="expression" dxfId="12" priority="23">
      <formula>K$10&lt;=$C$6</formula>
    </cfRule>
  </conditionalFormatting>
  <conditionalFormatting sqref="G12:M12">
    <cfRule type="expression" dxfId="11" priority="80">
      <formula>AND(G10&gt;$C$5,G10&lt;=$C$6)</formula>
    </cfRule>
  </conditionalFormatting>
  <conditionalFormatting sqref="U10:W44 U46:W53 U55:W77 U79:W100 U102:W130">
    <cfRule type="expression" dxfId="10" priority="1">
      <formula>U$10&gt;$C$7</formula>
    </cfRule>
  </conditionalFormatting>
  <pageMargins left="0.7" right="0.7" top="0.75" bottom="0.75" header="0.3" footer="0.3"/>
  <pageSetup paperSize="9" orientation="portrait" r:id="rId1"/>
  <ignoredErrors>
    <ignoredError sqref="C5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11" id="{47096C19-0CC0-4A07-971C-858ECF0661D5}">
            <xm:f>'Criteria results'!$F$5=7</xm:f>
            <x14:dxf>
              <fill>
                <patternFill>
                  <bgColor theme="0"/>
                </patternFill>
              </fill>
            </x14:dxf>
          </x14:cfRule>
          <xm:sqref>K52</xm:sqref>
        </x14:conditionalFormatting>
        <x14:conditionalFormatting xmlns:xm="http://schemas.microsoft.com/office/excel/2006/main">
          <x14:cfRule type="expression" priority="10" id="{1BFFC212-476D-44E4-A610-AF76A344A99F}">
            <xm:f>'Criteria results'!$F$5=7</xm:f>
            <x14:dxf>
              <fill>
                <patternFill>
                  <bgColor theme="0"/>
                </patternFill>
              </fill>
            </x14:dxf>
          </x14:cfRule>
          <xm:sqref>L52</xm:sqref>
        </x14:conditionalFormatting>
        <x14:conditionalFormatting xmlns:xm="http://schemas.microsoft.com/office/excel/2006/main">
          <x14:cfRule type="expression" priority="9" id="{4EACEE69-D13B-4A8D-9236-28646E633B5B}">
            <xm:f>'Criteria results'!$F$5=7</xm:f>
            <x14:dxf>
              <fill>
                <patternFill>
                  <bgColor theme="0"/>
                </patternFill>
              </fill>
            </x14:dxf>
          </x14:cfRule>
          <xm:sqref>M52</xm:sqref>
        </x14:conditionalFormatting>
        <x14:conditionalFormatting xmlns:xm="http://schemas.microsoft.com/office/excel/2006/main">
          <x14:cfRule type="expression" priority="82" id="{57B4AF88-7351-4B19-BA3B-6B998AD74D0C}">
            <xm:f>AND($N$10&gt;2024,$N$10&lt;=2024+'Criteria results'!$F$5)</xm:f>
            <x14:dxf>
              <fill>
                <patternFill>
                  <bgColor theme="0" tint="-0.14996795556505021"/>
                </patternFill>
              </fill>
            </x14:dxf>
          </x14:cfRule>
          <xm:sqref>N12</xm:sqref>
        </x14:conditionalFormatting>
        <x14:conditionalFormatting xmlns:xm="http://schemas.microsoft.com/office/excel/2006/main">
          <x14:cfRule type="expression" priority="83" id="{354A6338-46EF-4602-BA31-438E78236E93}">
            <xm:f>AND($O$10&gt;2024,$O$10&lt;=2024+'Criteria results'!$F$5)</xm:f>
            <x14:dxf>
              <fill>
                <patternFill>
                  <bgColor theme="0" tint="-0.14996795556505021"/>
                </patternFill>
              </fill>
            </x14:dxf>
          </x14:cfRule>
          <xm:sqref>O12</xm:sqref>
        </x14:conditionalFormatting>
        <x14:conditionalFormatting xmlns:xm="http://schemas.microsoft.com/office/excel/2006/main">
          <x14:cfRule type="expression" priority="84" id="{9F1C1270-F5DB-4E73-982C-3D38BC86117F}">
            <xm:f>AND($P$10&gt;2024,$P$10&lt;=2024+'Criteria results'!#REF!)</xm:f>
            <x14:dxf>
              <fill>
                <patternFill>
                  <bgColor theme="0" tint="-0.14996795556505021"/>
                </patternFill>
              </fill>
            </x14:dxf>
          </x14:cfRule>
          <xm:sqref>P12</xm:sqref>
        </x14:conditionalFormatting>
        <x14:conditionalFormatting xmlns:xm="http://schemas.microsoft.com/office/excel/2006/main">
          <x14:cfRule type="expression" priority="85" id="{3B57B2B3-DFDF-4C5A-9FDD-41F823A47376}">
            <xm:f>OR('Criteria results'!#REF!=7,'Criteria results'!#REF!=10)</xm:f>
            <x14:dxf>
              <font>
                <color theme="0"/>
              </font>
            </x14:dxf>
          </x14:cfRule>
          <xm:sqref>K76:M76</xm:sqref>
        </x14:conditionalFormatting>
        <x14:conditionalFormatting xmlns:xm="http://schemas.microsoft.com/office/excel/2006/main">
          <x14:cfRule type="expression" priority="86" id="{AD631567-B5C1-4C77-8394-9CE24A7E7ABD}">
            <xm:f>'Criteria results'!#REF!=10</xm:f>
            <x14:dxf>
              <font>
                <color theme="0"/>
              </font>
            </x14:dxf>
          </x14:cfRule>
          <xm:sqref>N76:P76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rgb="FF00B050"/>
  </sheetPr>
  <dimension ref="A1:AX31"/>
  <sheetViews>
    <sheetView workbookViewId="0"/>
  </sheetViews>
  <sheetFormatPr defaultColWidth="8.88671875" defaultRowHeight="13.2" x14ac:dyDescent="0.25"/>
  <cols>
    <col min="1" max="1" width="8.88671875" style="5"/>
    <col min="2" max="2" width="43.44140625" style="5" customWidth="1"/>
    <col min="3" max="16384" width="8.88671875" style="5"/>
  </cols>
  <sheetData>
    <row r="1" spans="1:50" s="26" customFormat="1" ht="24.75" customHeight="1" x14ac:dyDescent="0.2">
      <c r="B1" s="39"/>
    </row>
    <row r="2" spans="1:50" s="26" customFormat="1" ht="11.25" customHeight="1" x14ac:dyDescent="0.2">
      <c r="B2" s="27"/>
    </row>
    <row r="3" spans="1:50" s="26" customFormat="1" ht="11.25" customHeight="1" x14ac:dyDescent="0.2">
      <c r="B3" s="19" t="s">
        <v>15</v>
      </c>
      <c r="C3" s="20" t="str">
        <f>'Input data'!C3</f>
        <v>AT</v>
      </c>
    </row>
    <row r="4" spans="1:50" s="26" customFormat="1" ht="10.199999999999999" x14ac:dyDescent="0.2">
      <c r="B4" s="64" t="s">
        <v>38</v>
      </c>
      <c r="C4" s="21"/>
    </row>
    <row r="5" spans="1:50" s="26" customFormat="1" ht="10.199999999999999" x14ac:dyDescent="0.2">
      <c r="A5" s="29"/>
      <c r="B5" s="22" t="str">
        <f>'Input data'!B5</f>
        <v>Last year before the adjustment</v>
      </c>
      <c r="C5" s="23">
        <f>+'Input data'!C5</f>
        <v>2024</v>
      </c>
    </row>
    <row r="6" spans="1:50" s="26" customFormat="1" ht="10.199999999999999" x14ac:dyDescent="0.2">
      <c r="A6" s="29"/>
      <c r="B6" s="65" t="s">
        <v>146</v>
      </c>
      <c r="C6" s="23">
        <f>C5+'Criteria results'!F5+1</f>
        <v>2029</v>
      </c>
      <c r="E6" s="43"/>
      <c r="F6" s="29"/>
    </row>
    <row r="7" spans="1:50" s="26" customFormat="1" ht="10.199999999999999" x14ac:dyDescent="0.2">
      <c r="A7" s="29"/>
      <c r="B7" s="24" t="s">
        <v>147</v>
      </c>
      <c r="C7" s="66">
        <f>C6+4</f>
        <v>2033</v>
      </c>
      <c r="E7" s="43"/>
      <c r="F7" s="29"/>
    </row>
    <row r="8" spans="1:50" s="26" customFormat="1" ht="10.199999999999999" x14ac:dyDescent="0.2">
      <c r="A8" s="29"/>
      <c r="C8" s="29"/>
      <c r="E8" s="43"/>
      <c r="F8" s="29"/>
    </row>
    <row r="9" spans="1:50" s="67" customFormat="1" ht="10.199999999999999" x14ac:dyDescent="0.2">
      <c r="B9" s="89" t="s">
        <v>148</v>
      </c>
    </row>
    <row r="10" spans="1:50" s="26" customFormat="1" ht="10.199999999999999" x14ac:dyDescent="0.2">
      <c r="C10" s="31">
        <v>2021</v>
      </c>
      <c r="D10" s="31">
        <v>2022</v>
      </c>
      <c r="E10" s="31">
        <v>2023</v>
      </c>
      <c r="F10" s="31">
        <v>2024</v>
      </c>
      <c r="G10" s="31">
        <v>2025</v>
      </c>
      <c r="H10" s="31">
        <v>2026</v>
      </c>
      <c r="I10" s="31">
        <v>2027</v>
      </c>
      <c r="J10" s="31">
        <v>2028</v>
      </c>
      <c r="K10" s="31">
        <v>2029</v>
      </c>
      <c r="L10" s="31">
        <v>2030</v>
      </c>
      <c r="M10" s="31">
        <v>2031</v>
      </c>
      <c r="N10" s="31">
        <v>2032</v>
      </c>
      <c r="O10" s="31">
        <v>2033</v>
      </c>
      <c r="P10" s="31">
        <v>2034</v>
      </c>
      <c r="Q10" s="31">
        <v>2035</v>
      </c>
      <c r="R10" s="31">
        <v>2036</v>
      </c>
      <c r="S10" s="31">
        <v>2037</v>
      </c>
      <c r="T10" s="31">
        <v>2038</v>
      </c>
      <c r="U10" s="31">
        <v>2039</v>
      </c>
      <c r="V10" s="31">
        <v>2040</v>
      </c>
      <c r="W10" s="31">
        <v>2041</v>
      </c>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row>
    <row r="11" spans="1:50" x14ac:dyDescent="0.25">
      <c r="B11" s="90" t="s">
        <v>183</v>
      </c>
      <c r="C11" s="82">
        <f>'Adjust. no safeguard'!C57</f>
        <v>82.394589999999994</v>
      </c>
      <c r="D11" s="82">
        <f>'Adjust. no safeguard'!D57</f>
        <v>78.375620315610604</v>
      </c>
      <c r="E11" s="82">
        <f>'Adjust. no safeguard'!E57</f>
        <v>78.551901298157986</v>
      </c>
      <c r="F11" s="82">
        <f>'Adjust. no safeguard'!F57</f>
        <v>79.538050043568091</v>
      </c>
      <c r="G11" s="82">
        <f>'Adjust. no safeguard'!G57</f>
        <v>80.81308351777497</v>
      </c>
      <c r="H11" s="82">
        <f>'Adjust. no safeguard'!H57</f>
        <v>80.673518010562546</v>
      </c>
      <c r="I11" s="82">
        <f>'Adjust. no safeguard'!I57</f>
        <v>79.484335796243897</v>
      </c>
      <c r="J11" s="82">
        <f>'Adjust. no safeguard'!J57</f>
        <v>77.440287313107248</v>
      </c>
      <c r="K11" s="82">
        <f>'Adjust. no safeguard'!K57</f>
        <v>74.560907903721599</v>
      </c>
      <c r="L11" s="82">
        <f>'Adjust. no safeguard'!L57</f>
        <v>71.405877847092583</v>
      </c>
      <c r="M11" s="82">
        <f>'Adjust. no safeguard'!M57</f>
        <v>68.033122681889225</v>
      </c>
      <c r="N11" s="82">
        <f>'Adjust. no safeguard'!N57</f>
        <v>65.291541962624549</v>
      </c>
      <c r="O11" s="82">
        <f>'Adjust. no safeguard'!O57</f>
        <v>62.645116436373293</v>
      </c>
      <c r="P11" s="82">
        <f>'Adjust. no safeguard'!P57</f>
        <v>60.093322914132514</v>
      </c>
      <c r="Q11" s="82">
        <f>'Adjust. no safeguard'!Q57</f>
        <v>57.62190382259854</v>
      </c>
      <c r="R11" s="82">
        <f>'Adjust. no safeguard'!R57</f>
        <v>55.211529192724086</v>
      </c>
      <c r="S11" s="82">
        <f>'Adjust. no safeguard'!S57</f>
        <v>52.850057829371522</v>
      </c>
      <c r="T11" s="82">
        <f>'Adjust. no safeguard'!T57</f>
        <v>50.529237044731246</v>
      </c>
      <c r="U11" s="82">
        <f>'Adjust. no safeguard'!U57</f>
        <v>48.238339455034449</v>
      </c>
      <c r="V11" s="82">
        <f>'Adjust. no safeguard'!V57</f>
        <v>45.963470428247113</v>
      </c>
      <c r="W11" s="82">
        <f>'Adjust. no safeguard'!W57</f>
        <v>43.74639300194378</v>
      </c>
    </row>
    <row r="12" spans="1:50" s="26" customFormat="1" ht="10.199999999999999" x14ac:dyDescent="0.2">
      <c r="A12" s="29"/>
      <c r="C12" s="29"/>
      <c r="E12" s="43"/>
      <c r="F12" s="29"/>
    </row>
    <row r="13" spans="1:50" s="67" customFormat="1" ht="10.199999999999999" x14ac:dyDescent="0.2">
      <c r="B13" s="89" t="s">
        <v>149</v>
      </c>
    </row>
    <row r="14" spans="1:50" x14ac:dyDescent="0.25">
      <c r="B14" s="5" t="s">
        <v>150</v>
      </c>
      <c r="C14" s="82">
        <f>C$11</f>
        <v>82.394589999999994</v>
      </c>
      <c r="D14" s="82">
        <f t="shared" ref="D14:J18" si="0">D$11</f>
        <v>78.375620315610604</v>
      </c>
      <c r="E14" s="82">
        <f t="shared" si="0"/>
        <v>78.551901298157986</v>
      </c>
      <c r="F14" s="82">
        <f t="shared" si="0"/>
        <v>79.538050043568091</v>
      </c>
      <c r="G14" s="82">
        <f t="shared" si="0"/>
        <v>80.81308351777497</v>
      </c>
      <c r="H14" s="82">
        <f t="shared" si="0"/>
        <v>80.673518010562546</v>
      </c>
      <c r="I14" s="82">
        <f t="shared" si="0"/>
        <v>79.484335796243897</v>
      </c>
      <c r="J14" s="82">
        <f>J$11</f>
        <v>77.440287313107248</v>
      </c>
      <c r="K14" s="82">
        <f>IF('Criteria results'!$F$5=4,K$11+'Input data'!C74,K$11)</f>
        <v>68.026850286534099</v>
      </c>
      <c r="L14" s="82">
        <f>IF('Criteria results'!$F$5=4,L$11+'Input data'!D74,L$11)</f>
        <v>62.189103860276177</v>
      </c>
      <c r="M14" s="82">
        <f>IF('Criteria results'!$F$5=4,M$11+'Input data'!E74,M$11)</f>
        <v>56.957507752690006</v>
      </c>
      <c r="N14" s="82">
        <f>IF('Criteria results'!$F$5=4,N$11+'Input data'!F74,N$11+'Input data'!C74)</f>
        <v>52.667045502663612</v>
      </c>
      <c r="O14" s="82">
        <f>IF('Criteria results'!$F$5=4,O$11+'Input data'!G74,O$11+'Input data'!D74)</f>
        <v>48.473821270357668</v>
      </c>
      <c r="P14" s="82" t="str">
        <f>IF('Criteria results'!$F$5=4,"",Stochastic!P$11+'Input data'!E74)</f>
        <v/>
      </c>
      <c r="Q14" s="82" t="str">
        <f>IF('Criteria results'!$F$5=4,"",Stochastic!Q$11+'Input data'!F74)</f>
        <v/>
      </c>
      <c r="R14" s="82" t="str">
        <f>IF('Criteria results'!$F$5=4,"",Stochastic!R$11+'Input data'!G74)</f>
        <v/>
      </c>
    </row>
    <row r="15" spans="1:50" x14ac:dyDescent="0.25">
      <c r="B15" s="5" t="s">
        <v>151</v>
      </c>
      <c r="C15" s="82">
        <f t="shared" ref="C15:C18" si="1">C$11</f>
        <v>82.394589999999994</v>
      </c>
      <c r="D15" s="82">
        <f t="shared" si="0"/>
        <v>78.375620315610604</v>
      </c>
      <c r="E15" s="82">
        <f t="shared" si="0"/>
        <v>78.551901298157986</v>
      </c>
      <c r="F15" s="82">
        <f t="shared" si="0"/>
        <v>79.538050043568091</v>
      </c>
      <c r="G15" s="82">
        <f t="shared" si="0"/>
        <v>80.81308351777497</v>
      </c>
      <c r="H15" s="82">
        <f t="shared" si="0"/>
        <v>80.673518010562546</v>
      </c>
      <c r="I15" s="82">
        <f t="shared" si="0"/>
        <v>79.484335796243897</v>
      </c>
      <c r="J15" s="82">
        <f t="shared" si="0"/>
        <v>77.440287313107248</v>
      </c>
      <c r="K15" s="82">
        <f>IF('Criteria results'!$F$5=4,K$11+'Input data'!C75,K$11)</f>
        <v>71.970255437901287</v>
      </c>
      <c r="L15" s="82">
        <f>IF('Criteria results'!$F$5=4,L$11+'Input data'!D75,L$11)</f>
        <v>67.541703957932427</v>
      </c>
      <c r="M15" s="82">
        <f>IF('Criteria results'!$F$5=4,M$11+'Input data'!E75,M$11)</f>
        <v>63.395099305424381</v>
      </c>
      <c r="N15" s="82">
        <f>IF('Criteria results'!$F$5=4,N$11+'Input data'!F75,N$11+'Input data'!C75)</f>
        <v>60.130523591042518</v>
      </c>
      <c r="O15" s="82">
        <f>IF('Criteria results'!$F$5=4,O$11+'Input data'!G75,O$11+'Input data'!D75)</f>
        <v>56.846410381685793</v>
      </c>
      <c r="P15" s="82" t="str">
        <f>IF('Criteria results'!$F$5=4,"",Stochastic!P$11+'Input data'!E75)</f>
        <v/>
      </c>
      <c r="Q15" s="82" t="str">
        <f>IF('Criteria results'!$F$5=4,"",Stochastic!Q$11+'Input data'!F75)</f>
        <v/>
      </c>
      <c r="R15" s="82" t="str">
        <f>IF('Criteria results'!$F$5=4,"",Stochastic!R$11+'Input data'!G75)</f>
        <v/>
      </c>
    </row>
    <row r="16" spans="1:50" x14ac:dyDescent="0.25">
      <c r="B16" s="5" t="s">
        <v>184</v>
      </c>
      <c r="C16" s="82">
        <f t="shared" si="1"/>
        <v>82.394589999999994</v>
      </c>
      <c r="D16" s="82">
        <f t="shared" si="0"/>
        <v>78.375620315610604</v>
      </c>
      <c r="E16" s="82">
        <f t="shared" si="0"/>
        <v>78.551901298157986</v>
      </c>
      <c r="F16" s="82">
        <f t="shared" si="0"/>
        <v>79.538050043568091</v>
      </c>
      <c r="G16" s="82">
        <f t="shared" si="0"/>
        <v>80.81308351777497</v>
      </c>
      <c r="H16" s="82">
        <f t="shared" si="0"/>
        <v>80.673518010562546</v>
      </c>
      <c r="I16" s="82">
        <f t="shared" si="0"/>
        <v>79.484335796243897</v>
      </c>
      <c r="J16" s="82">
        <f t="shared" si="0"/>
        <v>77.440287313107248</v>
      </c>
      <c r="K16" s="82">
        <f>K11</f>
        <v>74.560907903721599</v>
      </c>
      <c r="L16" s="82">
        <f t="shared" ref="L16:O16" si="2">L11</f>
        <v>71.405877847092583</v>
      </c>
      <c r="M16" s="82">
        <f t="shared" si="2"/>
        <v>68.033122681889225</v>
      </c>
      <c r="N16" s="82">
        <f t="shared" si="2"/>
        <v>65.291541962624549</v>
      </c>
      <c r="O16" s="82">
        <f t="shared" si="2"/>
        <v>62.645116436373293</v>
      </c>
      <c r="P16" s="82" t="str">
        <f>IF('Criteria results'!$F$5=4,"",Stochastic!P$11)</f>
        <v/>
      </c>
      <c r="Q16" s="82" t="str">
        <f>IF('Criteria results'!$F$5=4,"",Stochastic!Q$11)</f>
        <v/>
      </c>
      <c r="R16" s="82" t="str">
        <f>IF('Criteria results'!$F$5=4,"",Stochastic!R$11)</f>
        <v/>
      </c>
    </row>
    <row r="17" spans="2:18" x14ac:dyDescent="0.25">
      <c r="B17" s="5" t="s">
        <v>152</v>
      </c>
      <c r="C17" s="82">
        <f t="shared" si="1"/>
        <v>82.394589999999994</v>
      </c>
      <c r="D17" s="82">
        <f t="shared" si="0"/>
        <v>78.375620315610604</v>
      </c>
      <c r="E17" s="82">
        <f t="shared" si="0"/>
        <v>78.551901298157986</v>
      </c>
      <c r="F17" s="82">
        <f t="shared" si="0"/>
        <v>79.538050043568091</v>
      </c>
      <c r="G17" s="82">
        <f t="shared" si="0"/>
        <v>80.81308351777497</v>
      </c>
      <c r="H17" s="82">
        <f t="shared" si="0"/>
        <v>80.673518010562546</v>
      </c>
      <c r="I17" s="82">
        <f t="shared" si="0"/>
        <v>79.484335796243897</v>
      </c>
      <c r="J17" s="82">
        <f t="shared" si="0"/>
        <v>77.440287313107248</v>
      </c>
      <c r="K17" s="82">
        <f>IF('Criteria results'!$F$5=4,K$11+'Input data'!C76,K$11)</f>
        <v>77.213800970127849</v>
      </c>
      <c r="L17" s="82">
        <f>IF('Criteria results'!$F$5=4,L$11+'Input data'!D76,L$11)</f>
        <v>75.157769936936333</v>
      </c>
      <c r="M17" s="82">
        <f>IF('Criteria results'!$F$5=4,M$11+'Input data'!E76,M$11)</f>
        <v>72.522418641361881</v>
      </c>
      <c r="N17" s="82">
        <f>IF('Criteria results'!$F$5=4,N$11+'Input data'!F76,N$11+'Input data'!C76)</f>
        <v>70.486633210183143</v>
      </c>
      <c r="O17" s="82">
        <f>IF('Criteria results'!$F$5=4,O$11+'Input data'!G76,O$11+'Input data'!D76)</f>
        <v>68.747090923677973</v>
      </c>
      <c r="P17" s="82" t="str">
        <f>IF('Criteria results'!$F$5=4,"",Stochastic!P$11+'Input data'!E76)</f>
        <v/>
      </c>
      <c r="Q17" s="82" t="str">
        <f>IF('Criteria results'!$F$5=4,"",Stochastic!Q$11+'Input data'!F76)</f>
        <v/>
      </c>
      <c r="R17" s="82" t="str">
        <f>IF('Criteria results'!$F$5=4,"",Stochastic!R$11+'Input data'!G76)</f>
        <v/>
      </c>
    </row>
    <row r="18" spans="2:18" x14ac:dyDescent="0.25">
      <c r="B18" s="5" t="s">
        <v>153</v>
      </c>
      <c r="C18" s="82">
        <f t="shared" si="1"/>
        <v>82.394589999999994</v>
      </c>
      <c r="D18" s="82">
        <f t="shared" si="0"/>
        <v>78.375620315610604</v>
      </c>
      <c r="E18" s="82">
        <f t="shared" si="0"/>
        <v>78.551901298157986</v>
      </c>
      <c r="F18" s="82">
        <f t="shared" si="0"/>
        <v>79.538050043568091</v>
      </c>
      <c r="G18" s="82">
        <f t="shared" si="0"/>
        <v>80.81308351777497</v>
      </c>
      <c r="H18" s="82">
        <f t="shared" si="0"/>
        <v>80.673518010562546</v>
      </c>
      <c r="I18" s="82">
        <f t="shared" si="0"/>
        <v>79.484335796243897</v>
      </c>
      <c r="J18" s="82">
        <f t="shared" si="0"/>
        <v>77.440287313107248</v>
      </c>
      <c r="K18" s="82">
        <f>IF('Criteria results'!$F$5=4,K$11+'Input data'!C77,K$11)</f>
        <v>81.188166204502849</v>
      </c>
      <c r="L18" s="82">
        <f>IF('Criteria results'!$F$5=4,L$11+'Input data'!D77,L$11)</f>
        <v>80.687364358323052</v>
      </c>
      <c r="M18" s="82">
        <f>IF('Criteria results'!$F$5=4,M$11+'Input data'!E77,M$11)</f>
        <v>79.287707948002506</v>
      </c>
      <c r="N18" s="82">
        <f>IF('Criteria results'!$F$5=4,N$11+'Input data'!F77,N$11+'Input data'!C77)</f>
        <v>78.256088166237831</v>
      </c>
      <c r="O18" s="82">
        <f>IF('Criteria results'!$F$5=4,O$11+'Input data'!G77,O$11+'Input data'!D77)</f>
        <v>77.117513286959223</v>
      </c>
      <c r="P18" s="82" t="str">
        <f>IF('Criteria results'!$F$5=4,"",Stochastic!P$11+'Input data'!E77)</f>
        <v/>
      </c>
      <c r="Q18" s="82" t="str">
        <f>IF('Criteria results'!$F$5=4,"",Stochastic!Q$11+'Input data'!F77)</f>
        <v/>
      </c>
      <c r="R18" s="82" t="str">
        <f>IF('Criteria results'!$F$5=4,"",Stochastic!R$11+'Input data'!G77)</f>
        <v/>
      </c>
    </row>
    <row r="20" spans="2:18" s="67" customFormat="1" ht="10.199999999999999" x14ac:dyDescent="0.2">
      <c r="B20" s="89" t="s">
        <v>154</v>
      </c>
    </row>
    <row r="21" spans="2:18" s="26" customFormat="1" x14ac:dyDescent="0.25">
      <c r="B21" s="80" t="str">
        <f>"Stochastic debt projections "&amp;E21&amp;"-"&amp;I21</f>
        <v>Stochastic debt projections 2029-2033</v>
      </c>
      <c r="C21" s="81">
        <f>IF('Criteria results'!$F$5=4,I10,L10)</f>
        <v>2027</v>
      </c>
      <c r="D21" s="81">
        <f>IF('Criteria results'!$F$5=4,J10,M10)</f>
        <v>2028</v>
      </c>
      <c r="E21" s="81">
        <f>IF('Criteria results'!$F$5=4,K10,N10)</f>
        <v>2029</v>
      </c>
      <c r="F21" s="81">
        <f>IF('Criteria results'!$F$5=4,L10,O10)</f>
        <v>2030</v>
      </c>
      <c r="G21" s="81">
        <f>IF('Criteria results'!$F$5=4,M10,P10)</f>
        <v>2031</v>
      </c>
      <c r="H21" s="81">
        <f>IF('Criteria results'!$F$5=4,N10,Q10)</f>
        <v>2032</v>
      </c>
      <c r="I21" s="81">
        <f>IF('Criteria results'!$F$5=4,O10,R10)</f>
        <v>2033</v>
      </c>
    </row>
    <row r="22" spans="2:18" x14ac:dyDescent="0.25">
      <c r="B22" s="5" t="s">
        <v>150</v>
      </c>
      <c r="C22" s="82">
        <f>IF('Criteria results'!$F$5=4,I$11,L$11)</f>
        <v>79.484335796243897</v>
      </c>
      <c r="D22" s="82">
        <f>IF('Criteria results'!$F$5=4,J$11,M$11)</f>
        <v>77.440287313107248</v>
      </c>
      <c r="E22" s="82">
        <f>IF('Criteria results'!$F$5=4,K$11+'Input data'!C74,N$11+'Input data'!C74)</f>
        <v>68.026850286534099</v>
      </c>
      <c r="F22" s="82">
        <f>IF('Criteria results'!$F$5=4,L$11+'Input data'!D74,O$11+'Input data'!D74)</f>
        <v>62.189103860276177</v>
      </c>
      <c r="G22" s="82">
        <f>IF('Criteria results'!$F$5=4,M$11+'Input data'!E74,P$11+'Input data'!E74)</f>
        <v>56.957507752690006</v>
      </c>
      <c r="H22" s="82">
        <f>IF('Criteria results'!$F$5=4,N$11+'Input data'!F74,Q$11+'Input data'!F74)</f>
        <v>52.667045502663612</v>
      </c>
      <c r="I22" s="82">
        <f>IF('Criteria results'!$F$5=4,O$11+'Input data'!G74,R$11+'Input data'!G74)</f>
        <v>48.473821270357668</v>
      </c>
      <c r="P22" s="82"/>
      <c r="Q22" s="82"/>
      <c r="R22" s="82"/>
    </row>
    <row r="23" spans="2:18" x14ac:dyDescent="0.25">
      <c r="B23" s="5" t="s">
        <v>155</v>
      </c>
      <c r="C23" s="82">
        <v>0</v>
      </c>
      <c r="D23" s="82">
        <v>0</v>
      </c>
      <c r="E23" s="82">
        <f>'Input data'!C75-'Input data'!C74</f>
        <v>3.9434051513671875</v>
      </c>
      <c r="F23" s="82">
        <f>'Input data'!D75-'Input data'!D74</f>
        <v>5.35260009765625</v>
      </c>
      <c r="G23" s="82">
        <f>'Input data'!E75-'Input data'!E74</f>
        <v>6.437591552734375</v>
      </c>
      <c r="H23" s="82">
        <f>'Input data'!F75-'Input data'!F74</f>
        <v>7.4634780883789063</v>
      </c>
      <c r="I23" s="82">
        <f>'Input data'!G75-'Input data'!G74</f>
        <v>8.372589111328125</v>
      </c>
      <c r="P23" s="82"/>
      <c r="Q23" s="82"/>
      <c r="R23" s="82"/>
    </row>
    <row r="24" spans="2:18" x14ac:dyDescent="0.25">
      <c r="B24" s="5" t="s">
        <v>156</v>
      </c>
      <c r="C24" s="82">
        <v>0</v>
      </c>
      <c r="D24" s="82">
        <v>0</v>
      </c>
      <c r="E24" s="82">
        <f>-'Input data'!C75</f>
        <v>2.5906524658203125</v>
      </c>
      <c r="F24" s="82">
        <f>-'Input data'!D75</f>
        <v>3.8641738891601563</v>
      </c>
      <c r="G24" s="82">
        <f>-'Input data'!E75</f>
        <v>4.6380233764648438</v>
      </c>
      <c r="H24" s="82">
        <f>-'Input data'!F75</f>
        <v>5.1610183715820313</v>
      </c>
      <c r="I24" s="82">
        <f>-'Input data'!G75</f>
        <v>5.7987060546875</v>
      </c>
      <c r="P24" s="82"/>
      <c r="Q24" s="82"/>
      <c r="R24" s="82"/>
    </row>
    <row r="25" spans="2:18" x14ac:dyDescent="0.25">
      <c r="B25" s="5" t="s">
        <v>157</v>
      </c>
      <c r="C25" s="82">
        <v>0</v>
      </c>
      <c r="D25" s="82">
        <v>0</v>
      </c>
      <c r="E25" s="82">
        <f>'Input data'!C76</f>
        <v>2.65289306640625</v>
      </c>
      <c r="F25" s="82">
        <f>'Input data'!D76</f>
        <v>3.75189208984375</v>
      </c>
      <c r="G25" s="82">
        <f>'Input data'!E76</f>
        <v>4.4892959594726563</v>
      </c>
      <c r="H25" s="82">
        <f>'Input data'!F76</f>
        <v>5.1950912475585938</v>
      </c>
      <c r="I25" s="82">
        <f>'Input data'!G76</f>
        <v>6.1019744873046875</v>
      </c>
      <c r="P25" s="82"/>
      <c r="Q25" s="82"/>
      <c r="R25" s="82"/>
    </row>
    <row r="26" spans="2:18" x14ac:dyDescent="0.25">
      <c r="B26" s="5" t="s">
        <v>158</v>
      </c>
      <c r="C26" s="82">
        <v>0</v>
      </c>
      <c r="D26" s="82">
        <v>0</v>
      </c>
      <c r="E26" s="82">
        <f>'Input data'!C77-'Input data'!C76</f>
        <v>3.974365234375</v>
      </c>
      <c r="F26" s="82">
        <f>'Input data'!D77-'Input data'!D76</f>
        <v>5.5295944213867188</v>
      </c>
      <c r="G26" s="82">
        <f>'Input data'!E77-'Input data'!E76</f>
        <v>6.765289306640625</v>
      </c>
      <c r="H26" s="82">
        <f>'Input data'!F77-'Input data'!F76</f>
        <v>7.7694549560546875</v>
      </c>
      <c r="I26" s="82">
        <f>'Input data'!G77-'Input data'!G76</f>
        <v>8.37042236328125</v>
      </c>
      <c r="P26" s="82"/>
      <c r="Q26" s="82"/>
      <c r="R26" s="82"/>
    </row>
    <row r="27" spans="2:18" x14ac:dyDescent="0.25">
      <c r="B27" s="5" t="s">
        <v>150</v>
      </c>
      <c r="C27" s="82">
        <f>IF('Criteria results'!$F$5=4,I$11,L$11)</f>
        <v>79.484335796243897</v>
      </c>
      <c r="D27" s="82">
        <f>IF('Criteria results'!$F$5=4,J$11,M$11)</f>
        <v>77.440287313107248</v>
      </c>
      <c r="E27" s="82">
        <f>IF('Criteria results'!$F$5=4,K$11+'Input data'!C74,N$11+'Input data'!C74)</f>
        <v>68.026850286534099</v>
      </c>
      <c r="F27" s="82">
        <f>IF('Criteria results'!$F$5=4,L$11+'Input data'!D74,O$11+'Input data'!D74)</f>
        <v>62.189103860276177</v>
      </c>
      <c r="G27" s="82">
        <f>IF('Criteria results'!$F$5=4,M$11+'Input data'!E74,P$11+'Input data'!E74)</f>
        <v>56.957507752690006</v>
      </c>
      <c r="H27" s="82">
        <f>IF('Criteria results'!$F$5=4,N$11+'Input data'!F74,Q$11+'Input data'!F74)</f>
        <v>52.667045502663612</v>
      </c>
      <c r="I27" s="82">
        <f>IF('Criteria results'!$F$5=4,O$11+'Input data'!G74,R$11+'Input data'!G74)</f>
        <v>48.473821270357668</v>
      </c>
    </row>
    <row r="28" spans="2:18" x14ac:dyDescent="0.25">
      <c r="B28" s="5" t="s">
        <v>151</v>
      </c>
      <c r="C28" s="82">
        <f>IF('Criteria results'!$F$5=4,I$11,L$11)</f>
        <v>79.484335796243897</v>
      </c>
      <c r="D28" s="82">
        <f>IF('Criteria results'!$F$5=4,J$11,M$11)</f>
        <v>77.440287313107248</v>
      </c>
      <c r="E28" s="82">
        <f>IF('Criteria results'!$F$5=4,K$11+'Input data'!C75,N$11+'Input data'!C75)</f>
        <v>71.970255437901287</v>
      </c>
      <c r="F28" s="82">
        <f>IF('Criteria results'!$F$5=4,L$11+'Input data'!D75,O$11+'Input data'!D75)</f>
        <v>67.541703957932427</v>
      </c>
      <c r="G28" s="82">
        <f>IF('Criteria results'!$F$5=4,M$11+'Input data'!E75,P$11+'Input data'!E75)</f>
        <v>63.395099305424381</v>
      </c>
      <c r="H28" s="82">
        <f>IF('Criteria results'!$F$5=4,N$11+'Input data'!F75,Q$11+'Input data'!F75)</f>
        <v>60.130523591042518</v>
      </c>
      <c r="I28" s="82">
        <f>IF('Criteria results'!$F$5=4,O$11+'Input data'!G75,R$11+'Input data'!G75)</f>
        <v>56.846410381685793</v>
      </c>
      <c r="P28" s="82"/>
      <c r="Q28" s="82"/>
      <c r="R28" s="82"/>
    </row>
    <row r="29" spans="2:18" x14ac:dyDescent="0.25">
      <c r="B29" s="5" t="s">
        <v>159</v>
      </c>
      <c r="C29" s="82">
        <f>IF('Criteria results'!$F$5=4,I$11,L$11)</f>
        <v>79.484335796243897</v>
      </c>
      <c r="D29" s="82">
        <f>IF('Criteria results'!$F$5=4,J$11,M$11)</f>
        <v>77.440287313107248</v>
      </c>
      <c r="E29" s="82">
        <f>IF('Criteria results'!$F$5=4,K$11,N$11)</f>
        <v>74.560907903721599</v>
      </c>
      <c r="F29" s="82">
        <f>IF('Criteria results'!$F$5=4,L$11,O$11)</f>
        <v>71.405877847092583</v>
      </c>
      <c r="G29" s="82">
        <f>IF('Criteria results'!$F$5=4,M$11,P$11)</f>
        <v>68.033122681889225</v>
      </c>
      <c r="H29" s="82">
        <f>IF('Criteria results'!$F$5=4,N$11,Q$11)</f>
        <v>65.291541962624549</v>
      </c>
      <c r="I29" s="82">
        <f>IF('Criteria results'!$F$5=4,O$11,R$11)</f>
        <v>62.645116436373293</v>
      </c>
      <c r="P29" s="82"/>
      <c r="Q29" s="82"/>
      <c r="R29" s="82"/>
    </row>
    <row r="30" spans="2:18" x14ac:dyDescent="0.25">
      <c r="B30" s="5" t="s">
        <v>152</v>
      </c>
      <c r="C30" s="82">
        <f>IF('Criteria results'!$F$5=4,I$11,L$11)</f>
        <v>79.484335796243897</v>
      </c>
      <c r="D30" s="82">
        <f>IF('Criteria results'!$F$5=4,J$11,M$11)</f>
        <v>77.440287313107248</v>
      </c>
      <c r="E30" s="82">
        <f>IF('Criteria results'!$F$5=4,K$11+'Input data'!C76,N$11+'Input data'!C76)</f>
        <v>77.213800970127849</v>
      </c>
      <c r="F30" s="82">
        <f>IF('Criteria results'!$F$5=4,L$11+'Input data'!D76,O$11+'Input data'!D76)</f>
        <v>75.157769936936333</v>
      </c>
      <c r="G30" s="82">
        <f>IF('Criteria results'!$F$5=4,M$11+'Input data'!E76,P$11+'Input data'!E76)</f>
        <v>72.522418641361881</v>
      </c>
      <c r="H30" s="82">
        <f>IF('Criteria results'!$F$5=4,N$11+'Input data'!F76,Q$11+'Input data'!F76)</f>
        <v>70.486633210183143</v>
      </c>
      <c r="I30" s="82">
        <f>IF('Criteria results'!$F$5=4,O$11+'Input data'!G76,R$11+'Input data'!G76)</f>
        <v>68.747090923677973</v>
      </c>
      <c r="J30" s="82"/>
      <c r="K30" s="82"/>
      <c r="L30" s="82"/>
      <c r="M30" s="82"/>
      <c r="N30" s="82"/>
      <c r="O30" s="82"/>
    </row>
    <row r="31" spans="2:18" x14ac:dyDescent="0.25">
      <c r="B31" s="5" t="s">
        <v>153</v>
      </c>
      <c r="C31" s="82">
        <f>IF('Criteria results'!$F$5=4,I$11,L$11)</f>
        <v>79.484335796243897</v>
      </c>
      <c r="D31" s="82">
        <f>IF('Criteria results'!$F$5=4,J$11,M$11)</f>
        <v>77.440287313107248</v>
      </c>
      <c r="E31" s="82">
        <f>IF('Criteria results'!$F$5=4,K$11+'Input data'!C77,N$11+'Input data'!C77)</f>
        <v>81.188166204502849</v>
      </c>
      <c r="F31" s="82">
        <f>IF('Criteria results'!$F$5=4,L$11+'Input data'!D77,O$11+'Input data'!D77)</f>
        <v>80.687364358323052</v>
      </c>
      <c r="G31" s="82">
        <f>IF('Criteria results'!$F$5=4,M$11+'Input data'!E77,P$11+'Input data'!E77)</f>
        <v>79.287707948002506</v>
      </c>
      <c r="H31" s="82">
        <f>IF('Criteria results'!$F$5=4,N$11+'Input data'!F77,Q$11+'Input data'!F77)</f>
        <v>78.256088166237831</v>
      </c>
      <c r="I31" s="82">
        <f>IF('Criteria results'!$F$5=4,O$11+'Input data'!G77,R$11+'Input data'!G77)</f>
        <v>77.117513286959223</v>
      </c>
    </row>
  </sheetData>
  <pageMargins left="0.7" right="0.7" top="0.75" bottom="0.75" header="0.3" footer="0.3"/>
  <pageSetup paperSize="9" orientation="portrait" verticalDpi="0" r:id="rId1"/>
  <ignoredErrors>
    <ignoredError sqref="C5:C6"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ColWidth="9.109375" defaultRowHeight="13.2" x14ac:dyDescent="0.25"/>
  <cols>
    <col min="1" max="1" width="9.109375" style="330"/>
    <col min="2" max="2" width="4.5546875" style="330" customWidth="1"/>
    <col min="3" max="3" width="67" style="330" customWidth="1"/>
    <col min="4" max="4" width="16.5546875" style="330" customWidth="1"/>
    <col min="5" max="5" width="13.6640625" style="330" customWidth="1"/>
    <col min="6" max="24" width="10.6640625" style="330" customWidth="1"/>
    <col min="25" max="16384" width="9.109375" style="330"/>
  </cols>
  <sheetData>
    <row r="1" spans="1:25" x14ac:dyDescent="0.25">
      <c r="A1" s="270"/>
      <c r="B1" s="270"/>
      <c r="C1" s="270"/>
      <c r="D1" s="270"/>
      <c r="E1" s="270"/>
      <c r="F1" s="270"/>
      <c r="G1" s="270"/>
      <c r="H1" s="270"/>
      <c r="I1" s="270"/>
      <c r="J1" s="270"/>
      <c r="K1" s="270"/>
      <c r="L1" s="270"/>
      <c r="M1" s="270"/>
      <c r="N1" s="270"/>
      <c r="O1" s="270"/>
      <c r="P1" s="270"/>
      <c r="Q1" s="270"/>
      <c r="R1" s="270"/>
      <c r="S1" s="270"/>
      <c r="T1" s="270"/>
      <c r="U1" s="270"/>
      <c r="V1" s="270"/>
      <c r="W1" s="270"/>
      <c r="X1" s="270"/>
      <c r="Y1" s="270"/>
    </row>
    <row r="2" spans="1:25" x14ac:dyDescent="0.25">
      <c r="A2" s="270"/>
      <c r="B2" s="335"/>
      <c r="C2" s="336" t="s">
        <v>214</v>
      </c>
      <c r="D2" s="337"/>
      <c r="E2" s="337"/>
      <c r="F2" s="337"/>
      <c r="G2" s="353"/>
      <c r="H2" s="353"/>
      <c r="I2" s="353"/>
      <c r="J2" s="353"/>
      <c r="K2" s="270"/>
      <c r="L2" s="270"/>
      <c r="M2" s="270"/>
      <c r="N2" s="270"/>
      <c r="O2" s="270"/>
      <c r="P2" s="270"/>
      <c r="Q2" s="270"/>
      <c r="R2" s="270"/>
      <c r="S2" s="270"/>
      <c r="T2" s="270"/>
      <c r="U2" s="270"/>
      <c r="V2" s="270"/>
      <c r="W2" s="270"/>
      <c r="X2" s="270"/>
      <c r="Y2" s="270"/>
    </row>
    <row r="3" spans="1:25" x14ac:dyDescent="0.25">
      <c r="A3" s="270"/>
      <c r="B3" s="332"/>
      <c r="C3" s="353"/>
      <c r="D3" s="353"/>
      <c r="E3" s="353"/>
      <c r="F3" s="353"/>
      <c r="G3" s="353"/>
      <c r="H3" s="353"/>
      <c r="I3" s="353"/>
      <c r="J3" s="353"/>
      <c r="K3" s="270"/>
      <c r="L3" s="270"/>
      <c r="M3" s="270"/>
      <c r="N3" s="270"/>
      <c r="O3" s="270"/>
      <c r="P3" s="270"/>
      <c r="Q3" s="270"/>
      <c r="R3" s="270"/>
      <c r="S3" s="270"/>
      <c r="T3" s="270"/>
      <c r="U3" s="270"/>
      <c r="V3" s="270"/>
      <c r="W3" s="270"/>
      <c r="X3" s="270"/>
      <c r="Y3" s="270"/>
    </row>
    <row r="4" spans="1:25" x14ac:dyDescent="0.25">
      <c r="A4" s="270"/>
      <c r="B4" s="338"/>
      <c r="C4" s="336"/>
      <c r="D4" s="339" t="s">
        <v>235</v>
      </c>
      <c r="E4" s="340">
        <f>F4-1</f>
        <v>2022</v>
      </c>
      <c r="F4" s="341">
        <f>'Input data'!$C$5-1</f>
        <v>2023</v>
      </c>
      <c r="G4" s="341">
        <f>F4+1</f>
        <v>2024</v>
      </c>
      <c r="H4" s="341">
        <f t="shared" ref="H4:X4" si="0">G4+1</f>
        <v>2025</v>
      </c>
      <c r="I4" s="341">
        <f t="shared" si="0"/>
        <v>2026</v>
      </c>
      <c r="J4" s="341">
        <f t="shared" si="0"/>
        <v>2027</v>
      </c>
      <c r="K4" s="341">
        <f t="shared" si="0"/>
        <v>2028</v>
      </c>
      <c r="L4" s="341">
        <f t="shared" si="0"/>
        <v>2029</v>
      </c>
      <c r="M4" s="341">
        <f t="shared" si="0"/>
        <v>2030</v>
      </c>
      <c r="N4" s="341">
        <f t="shared" si="0"/>
        <v>2031</v>
      </c>
      <c r="O4" s="341">
        <f t="shared" si="0"/>
        <v>2032</v>
      </c>
      <c r="P4" s="341">
        <f t="shared" si="0"/>
        <v>2033</v>
      </c>
      <c r="Q4" s="341">
        <f t="shared" si="0"/>
        <v>2034</v>
      </c>
      <c r="R4" s="341">
        <f t="shared" si="0"/>
        <v>2035</v>
      </c>
      <c r="S4" s="341">
        <f t="shared" si="0"/>
        <v>2036</v>
      </c>
      <c r="T4" s="341">
        <f t="shared" si="0"/>
        <v>2037</v>
      </c>
      <c r="U4" s="341">
        <f t="shared" si="0"/>
        <v>2038</v>
      </c>
      <c r="V4" s="341">
        <f t="shared" si="0"/>
        <v>2039</v>
      </c>
      <c r="W4" s="341">
        <f t="shared" si="0"/>
        <v>2040</v>
      </c>
      <c r="X4" s="341">
        <f t="shared" si="0"/>
        <v>2041</v>
      </c>
      <c r="Y4" s="270"/>
    </row>
    <row r="5" spans="1:25" x14ac:dyDescent="0.25">
      <c r="A5" s="270"/>
      <c r="B5" s="338">
        <v>1</v>
      </c>
      <c r="C5" s="342" t="s">
        <v>215</v>
      </c>
      <c r="D5" s="343">
        <v>57</v>
      </c>
      <c r="E5" s="344" t="s">
        <v>216</v>
      </c>
      <c r="F5" s="331">
        <f ca="1">INDEX(OFFSET('Adjustment scenario'!$D$1:$W$1,$D5-1,0),MATCH(F$4,'Adjustment scenario'!$D$10:$W$10,0))</f>
        <v>78.551901298157986</v>
      </c>
      <c r="G5" s="331">
        <f ca="1">INDEX(OFFSET('Adjustment scenario'!$D$1:$W$1,$D5-1,0),MATCH(G$4,'Adjustment scenario'!$D$10:$W$10,0))</f>
        <v>79.538050043568091</v>
      </c>
      <c r="H5" s="331">
        <f ca="1">INDEX(OFFSET('Adjustment scenario'!$D$1:$W$1,$D5-1,0),MATCH(H$4,'Adjustment scenario'!$D$10:$W$10,0))</f>
        <v>80.81308351777497</v>
      </c>
      <c r="I5" s="331">
        <f ca="1">INDEX(OFFSET('Adjustment scenario'!$D$1:$W$1,$D5-1,0),MATCH(I$4,'Adjustment scenario'!$D$10:$W$10,0))</f>
        <v>80.673518010562546</v>
      </c>
      <c r="J5" s="331">
        <f ca="1">INDEX(OFFSET('Adjustment scenario'!$D$1:$W$1,$D5-1,0),MATCH(J$4,'Adjustment scenario'!$D$10:$W$10,0))</f>
        <v>79.484335796243897</v>
      </c>
      <c r="K5" s="331">
        <f ca="1">INDEX(OFFSET('Adjustment scenario'!$D$1:$W$1,$D5-1,0),MATCH(K$4,'Adjustment scenario'!$D$10:$W$10,0))</f>
        <v>77.440287313107248</v>
      </c>
      <c r="L5" s="331">
        <f ca="1">INDEX(OFFSET('Adjustment scenario'!$D$1:$W$1,$D5-1,0),MATCH(L$4,'Adjustment scenario'!$D$10:$W$10,0))</f>
        <v>74.560907903721599</v>
      </c>
      <c r="M5" s="331">
        <f ca="1">INDEX(OFFSET('Adjustment scenario'!$D$1:$W$1,$D5-1,0),MATCH(M$4,'Adjustment scenario'!$D$10:$W$10,0))</f>
        <v>71.405877847092583</v>
      </c>
      <c r="N5" s="331">
        <f ca="1">INDEX(OFFSET('Adjustment scenario'!$D$1:$W$1,$D5-1,0),MATCH(N$4,'Adjustment scenario'!$D$10:$W$10,0))</f>
        <v>68.033122681889225</v>
      </c>
      <c r="O5" s="331">
        <f ca="1">INDEX(OFFSET('Adjustment scenario'!$D$1:$W$1,$D5-1,0),MATCH(O$4,'Adjustment scenario'!$D$10:$W$10,0))</f>
        <v>65.291541962624549</v>
      </c>
      <c r="P5" s="331">
        <f ca="1">INDEX(OFFSET('Adjustment scenario'!$D$1:$W$1,$D5-1,0),MATCH(P$4,'Adjustment scenario'!$D$10:$W$10,0))</f>
        <v>62.645116436373293</v>
      </c>
      <c r="Q5" s="331">
        <f ca="1">INDEX(OFFSET('Adjustment scenario'!$D$1:$W$1,$D5-1,0),MATCH(Q$4,'Adjustment scenario'!$D$10:$W$10,0))</f>
        <v>60.093322914132514</v>
      </c>
      <c r="R5" s="331">
        <f ca="1">INDEX(OFFSET('Adjustment scenario'!$D$1:$W$1,$D5-1,0),MATCH(R$4,'Adjustment scenario'!$D$10:$W$10,0))</f>
        <v>57.62190382259854</v>
      </c>
      <c r="S5" s="331">
        <f ca="1">INDEX(OFFSET('Adjustment scenario'!$D$1:$W$1,$D5-1,0),MATCH(S$4,'Adjustment scenario'!$D$10:$W$10,0))</f>
        <v>55.211529192724086</v>
      </c>
      <c r="T5" s="331">
        <f ca="1">INDEX(OFFSET('Adjustment scenario'!$D$1:$W$1,$D5-1,0),MATCH(T$4,'Adjustment scenario'!$D$10:$W$10,0))</f>
        <v>52.850057829371522</v>
      </c>
      <c r="U5" s="331">
        <f ca="1">INDEX(OFFSET('Adjustment scenario'!$D$1:$W$1,$D5-1,0),MATCH(U$4,'Adjustment scenario'!$D$10:$W$10,0))</f>
        <v>50.529237044731246</v>
      </c>
      <c r="V5" s="331">
        <f ca="1">INDEX(OFFSET('Adjustment scenario'!$D$1:$W$1,$D5-1,0),MATCH(V$4,'Adjustment scenario'!$D$10:$W$10,0))</f>
        <v>48.238339455034449</v>
      </c>
      <c r="W5" s="331">
        <f ca="1">INDEX(OFFSET('Adjustment scenario'!$D$1:$W$1,$D5-1,0),MATCH(W$4,'Adjustment scenario'!$D$10:$W$10,0))</f>
        <v>45.963470428247113</v>
      </c>
      <c r="X5" s="331">
        <f ca="1">INDEX(OFFSET('Adjustment scenario'!$D$1:$W$1,$D5-1,0),MATCH(X$4,'Adjustment scenario'!$D$10:$W$10,0))</f>
        <v>43.74639300194378</v>
      </c>
      <c r="Y5" s="270"/>
    </row>
    <row r="6" spans="1:25" x14ac:dyDescent="0.25">
      <c r="A6" s="270"/>
      <c r="B6" s="338">
        <v>2</v>
      </c>
      <c r="C6" s="342" t="s">
        <v>217</v>
      </c>
      <c r="D6" s="343">
        <v>77</v>
      </c>
      <c r="E6" s="344" t="s">
        <v>216</v>
      </c>
      <c r="F6" s="331">
        <f ca="1">INDEX(OFFSET('Adjustment scenario'!$D$1:$W$1,$D6-1,0),MATCH(F$4,'Adjustment scenario'!$D$10:$W$10,0))</f>
        <v>-2.6198642520789712</v>
      </c>
      <c r="G6" s="331">
        <f ca="1">INDEX(OFFSET('Adjustment scenario'!$D$1:$W$1,$D6-1,0),MATCH(G$4,'Adjustment scenario'!$D$10:$W$10,0))</f>
        <v>-3.6046387709519001</v>
      </c>
      <c r="H6" s="331">
        <f ca="1">INDEX(OFFSET('Adjustment scenario'!$D$1:$W$1,$D6-1,0),MATCH(H$4,'Adjustment scenario'!$D$10:$W$10,0))</f>
        <v>-3.0043645179910756</v>
      </c>
      <c r="I6" s="331">
        <f ca="1">INDEX(OFFSET('Adjustment scenario'!$D$1:$W$1,$D6-1,0),MATCH(I$4,'Adjustment scenario'!$D$10:$W$10,0))</f>
        <v>-1.9557163380106286</v>
      </c>
      <c r="J6" s="331">
        <f ca="1">INDEX(OFFSET('Adjustment scenario'!$D$1:$W$1,$D6-1,0),MATCH(J$4,'Adjustment scenario'!$D$10:$W$10,0))</f>
        <v>-1.1228680689361459</v>
      </c>
      <c r="K6" s="331">
        <f ca="1">INDEX(OFFSET('Adjustment scenario'!$D$1:$W$1,$D6-1,0),MATCH(K$4,'Adjustment scenario'!$D$10:$W$10,0))</f>
        <v>-0.24046993882586598</v>
      </c>
      <c r="L6" s="331">
        <f ca="1">INDEX(OFFSET('Adjustment scenario'!$D$1:$W$1,$D6-1,0),MATCH(L$4,'Adjustment scenario'!$D$10:$W$10,0))</f>
        <v>3.0716137670885324E-2</v>
      </c>
      <c r="M6" s="331">
        <f ca="1">INDEX(OFFSET('Adjustment scenario'!$D$1:$W$1,$D6-1,0),MATCH(M$4,'Adjustment scenario'!$D$10:$W$10,0))</f>
        <v>0.31041978038643636</v>
      </c>
      <c r="N6" s="331">
        <f ca="1">INDEX(OFFSET('Adjustment scenario'!$D$1:$W$1,$D6-1,0),MATCH(N$4,'Adjustment scenario'!$D$10:$W$10,0))</f>
        <v>0.60498470183076436</v>
      </c>
      <c r="O6" s="331">
        <f ca="1">INDEX(OFFSET('Adjustment scenario'!$D$1:$W$1,$D6-1,0),MATCH(O$4,'Adjustment scenario'!$D$10:$W$10,0))</f>
        <v>0.52003662002043338</v>
      </c>
      <c r="P6" s="331">
        <f ca="1">INDEX(OFFSET('Adjustment scenario'!$D$1:$W$1,$D6-1,0),MATCH(P$4,'Adjustment scenario'!$D$10:$W$10,0))</f>
        <v>0.47882996205018791</v>
      </c>
      <c r="Q6" s="331">
        <f ca="1">INDEX(OFFSET('Adjustment scenario'!$D$1:$W$1,$D6-1,0),MATCH(Q$4,'Adjustment scenario'!$D$10:$W$10,0))</f>
        <v>0.41047317810452055</v>
      </c>
      <c r="R6" s="331">
        <f ca="1">INDEX(OFFSET('Adjustment scenario'!$D$1:$W$1,$D6-1,0),MATCH(R$4,'Adjustment scenario'!$D$10:$W$10,0))</f>
        <v>0.38088306377484282</v>
      </c>
      <c r="S6" s="331">
        <f ca="1">INDEX(OFFSET('Adjustment scenario'!$D$1:$W$1,$D6-1,0),MATCH(S$4,'Adjustment scenario'!$D$10:$W$10,0))</f>
        <v>0.37092918824249566</v>
      </c>
      <c r="T6" s="331">
        <f ca="1">INDEX(OFFSET('Adjustment scenario'!$D$1:$W$1,$D6-1,0),MATCH(T$4,'Adjustment scenario'!$D$10:$W$10,0))</f>
        <v>0.37396737230411481</v>
      </c>
      <c r="U6" s="331">
        <f ca="1">INDEX(OFFSET('Adjustment scenario'!$D$1:$W$1,$D6-1,0),MATCH(U$4,'Adjustment scenario'!$D$10:$W$10,0))</f>
        <v>0.39504506431583963</v>
      </c>
      <c r="V6" s="331">
        <f ca="1">INDEX(OFFSET('Adjustment scenario'!$D$1:$W$1,$D6-1,0),MATCH(V$4,'Adjustment scenario'!$D$10:$W$10,0))</f>
        <v>0.42648056565734538</v>
      </c>
      <c r="W6" s="331">
        <f ca="1">INDEX(OFFSET('Adjustment scenario'!$D$1:$W$1,$D6-1,0),MATCH(W$4,'Adjustment scenario'!$D$10:$W$10,0))</f>
        <v>0.47330640063796969</v>
      </c>
      <c r="X6" s="331">
        <f ca="1">INDEX(OFFSET('Adjustment scenario'!$D$1:$W$1,$D6-1,0),MATCH(X$4,'Adjustment scenario'!$D$10:$W$10,0))</f>
        <v>0.51490312001671978</v>
      </c>
      <c r="Y6" s="270"/>
    </row>
    <row r="7" spans="1:25" x14ac:dyDescent="0.25">
      <c r="A7" s="270"/>
      <c r="B7" s="338">
        <v>3</v>
      </c>
      <c r="C7" s="342" t="s">
        <v>40</v>
      </c>
      <c r="D7" s="343">
        <v>12</v>
      </c>
      <c r="E7" s="344" t="s">
        <v>218</v>
      </c>
      <c r="F7" s="331">
        <f ca="1">INDEX(OFFSET('Adjustment scenario'!$D$1:$W$1,$D7-1,0),MATCH(F$4,'Adjustment scenario'!$D$10:$W$10,0))</f>
        <v>-1.399295</v>
      </c>
      <c r="G7" s="331">
        <f ca="1">INDEX(OFFSET('Adjustment scenario'!$D$1:$W$1,$D7-1,0),MATCH(G$4,'Adjustment scenario'!$D$10:$W$10,0))</f>
        <v>-1.3351299999999999</v>
      </c>
      <c r="H7" s="331">
        <f ca="1">INDEX(OFFSET('Adjustment scenario'!$D$1:$W$1,$D7-1,0),MATCH(H$4,'Adjustment scenario'!$D$10:$W$10,0))</f>
        <v>-0.35512999999999995</v>
      </c>
      <c r="I7" s="331">
        <f ca="1">INDEX(OFFSET('Adjustment scenario'!$D$1:$W$1,$D7-1,0),MATCH(I$4,'Adjustment scenario'!$D$10:$W$10,0))</f>
        <v>0.62487000000000004</v>
      </c>
      <c r="J7" s="331">
        <f ca="1">INDEX(OFFSET('Adjustment scenario'!$D$1:$W$1,$D7-1,0),MATCH(J$4,'Adjustment scenario'!$D$10:$W$10,0))</f>
        <v>1.60487</v>
      </c>
      <c r="K7" s="331">
        <f ca="1">INDEX(OFFSET('Adjustment scenario'!$D$1:$W$1,$D7-1,0),MATCH(K$4,'Adjustment scenario'!$D$10:$W$10,0))</f>
        <v>2.58487</v>
      </c>
      <c r="L7" s="331">
        <f ca="1">INDEX(OFFSET('Adjustment scenario'!$D$1:$W$1,$D7-1,0),MATCH(L$4,'Adjustment scenario'!$D$10:$W$10,0))</f>
        <v>2.58487</v>
      </c>
      <c r="M7" s="331">
        <f ca="1">INDEX(OFFSET('Adjustment scenario'!$D$1:$W$1,$D7-1,0),MATCH(M$4,'Adjustment scenario'!$D$10:$W$10,0))</f>
        <v>2.58487</v>
      </c>
      <c r="N7" s="331">
        <f ca="1">INDEX(OFFSET('Adjustment scenario'!$D$1:$W$1,$D7-1,0),MATCH(N$4,'Adjustment scenario'!$D$10:$W$10,0))</f>
        <v>2.58487</v>
      </c>
      <c r="O7" s="331">
        <f ca="1">INDEX(OFFSET('Adjustment scenario'!$D$1:$W$1,$D7-1,0),MATCH(O$4,'Adjustment scenario'!$D$10:$W$10,0))</f>
        <v>2.58487</v>
      </c>
      <c r="P7" s="331">
        <f ca="1">INDEX(OFFSET('Adjustment scenario'!$D$1:$W$1,$D7-1,0),MATCH(P$4,'Adjustment scenario'!$D$10:$W$10,0))</f>
        <v>2.58487</v>
      </c>
      <c r="Q7" s="331">
        <f ca="1">INDEX(OFFSET('Adjustment scenario'!$D$1:$W$1,$D7-1,0),MATCH(Q$4,'Adjustment scenario'!$D$10:$W$10,0))</f>
        <v>2.58487</v>
      </c>
      <c r="R7" s="331">
        <f ca="1">INDEX(OFFSET('Adjustment scenario'!$D$1:$W$1,$D7-1,0),MATCH(R$4,'Adjustment scenario'!$D$10:$W$10,0))</f>
        <v>2.58487</v>
      </c>
      <c r="S7" s="331">
        <f ca="1">INDEX(OFFSET('Adjustment scenario'!$D$1:$W$1,$D7-1,0),MATCH(S$4,'Adjustment scenario'!$D$10:$W$10,0))</f>
        <v>2.58487</v>
      </c>
      <c r="T7" s="331">
        <f ca="1">INDEX(OFFSET('Adjustment scenario'!$D$1:$W$1,$D7-1,0),MATCH(T$4,'Adjustment scenario'!$D$10:$W$10,0))</f>
        <v>2.58487</v>
      </c>
      <c r="U7" s="331">
        <f ca="1">INDEX(OFFSET('Adjustment scenario'!$D$1:$W$1,$D7-1,0),MATCH(U$4,'Adjustment scenario'!$D$10:$W$10,0))</f>
        <v>2.58487</v>
      </c>
      <c r="V7" s="331">
        <f ca="1">INDEX(OFFSET('Adjustment scenario'!$D$1:$W$1,$D7-1,0),MATCH(V$4,'Adjustment scenario'!$D$10:$W$10,0))</f>
        <v>2.58487</v>
      </c>
      <c r="W7" s="331">
        <f ca="1">INDEX(OFFSET('Adjustment scenario'!$D$1:$W$1,$D7-1,0),MATCH(W$4,'Adjustment scenario'!$D$10:$W$10,0))</f>
        <v>2.58487</v>
      </c>
      <c r="X7" s="331">
        <f ca="1">INDEX(OFFSET('Adjustment scenario'!$D$1:$W$1,$D7-1,0),MATCH(X$4,'Adjustment scenario'!$D$10:$W$10,0))</f>
        <v>2.58487</v>
      </c>
      <c r="Y7" s="270"/>
    </row>
    <row r="8" spans="1:25" x14ac:dyDescent="0.25">
      <c r="A8" s="270"/>
      <c r="B8" s="338">
        <v>4</v>
      </c>
      <c r="C8" s="342" t="s">
        <v>219</v>
      </c>
      <c r="D8" s="343">
        <v>62</v>
      </c>
      <c r="E8" s="344" t="s">
        <v>218</v>
      </c>
      <c r="F8" s="331">
        <f ca="1">INDEX(OFFSET('Adjustment scenario'!$D$1:$W$1,$D8-1,0),MATCH(F$4,'Adjustment scenario'!$D$10:$W$10,0))</f>
        <v>1.7456982547381872E-2</v>
      </c>
      <c r="G8" s="331">
        <f ca="1">INDEX(OFFSET('Adjustment scenario'!$D$1:$W$1,$D8-1,0),MATCH(G$4,'Adjustment scenario'!$D$10:$W$10,0))</f>
        <v>0.78862794541010239</v>
      </c>
      <c r="H8" s="331">
        <f ca="1">INDEX(OFFSET('Adjustment scenario'!$D$1:$W$1,$D8-1,0),MATCH(H$4,'Adjustment scenario'!$D$10:$W$10,0))</f>
        <v>1.14598668434165</v>
      </c>
      <c r="I8" s="331">
        <f ca="1">INDEX(OFFSET('Adjustment scenario'!$D$1:$W$1,$D8-1,0),MATCH(I$4,'Adjustment scenario'!$D$10:$W$10,0))</f>
        <v>1.1017965490839001</v>
      </c>
      <c r="J8" s="331">
        <f ca="1">INDEX(OFFSET('Adjustment scenario'!$D$1:$W$1,$D8-1,0),MATCH(J$4,'Adjustment scenario'!$D$10:$W$10,0))</f>
        <v>1.1417776421440535</v>
      </c>
      <c r="K8" s="331">
        <f ca="1">INDEX(OFFSET('Adjustment scenario'!$D$1:$W$1,$D8-1,0),MATCH(K$4,'Adjustment scenario'!$D$10:$W$10,0))</f>
        <v>1.1684383452282212</v>
      </c>
      <c r="L8" s="331">
        <f ca="1">INDEX(OFFSET('Adjustment scenario'!$D$1:$W$1,$D8-1,0),MATCH(L$4,'Adjustment scenario'!$D$10:$W$10,0))</f>
        <v>0.7789588968188057</v>
      </c>
      <c r="M8" s="331">
        <f ca="1">INDEX(OFFSET('Adjustment scenario'!$D$1:$W$1,$D8-1,0),MATCH(M$4,'Adjustment scenario'!$D$10:$W$10,0))</f>
        <v>0.38947944840940918</v>
      </c>
      <c r="N8" s="331">
        <f ca="1">INDEX(OFFSET('Adjustment scenario'!$D$1:$W$1,$D8-1,0),MATCH(N$4,'Adjustment scenario'!$D$10:$W$10,0))</f>
        <v>0</v>
      </c>
      <c r="O8" s="331">
        <f ca="1">INDEX(OFFSET('Adjustment scenario'!$D$1:$W$1,$D8-1,0),MATCH(O$4,'Adjustment scenario'!$D$10:$W$10,0))</f>
        <v>1.1293684554325443E-6</v>
      </c>
      <c r="P8" s="331">
        <f ca="1">INDEX(OFFSET('Adjustment scenario'!$D$1:$W$1,$D8-1,0),MATCH(P$4,'Adjustment scenario'!$D$10:$W$10,0))</f>
        <v>2.2587511554372772E-6</v>
      </c>
      <c r="Q8" s="331">
        <f ca="1">INDEX(OFFSET('Adjustment scenario'!$D$1:$W$1,$D8-1,0),MATCH(Q$4,'Adjustment scenario'!$D$10:$W$10,0))</f>
        <v>1.1298670851922486E-6</v>
      </c>
      <c r="R8" s="331">
        <f ca="1">INDEX(OFFSET('Adjustment scenario'!$D$1:$W$1,$D8-1,0),MATCH(R$4,'Adjustment scenario'!$D$10:$W$10,0))</f>
        <v>2.8218406345148491E-6</v>
      </c>
      <c r="S8" s="331">
        <f ca="1">INDEX(OFFSET('Adjustment scenario'!$D$1:$W$1,$D8-1,0),MATCH(S$4,'Adjustment scenario'!$D$10:$W$10,0))</f>
        <v>4.5124636754101385E-6</v>
      </c>
      <c r="T8" s="331">
        <f ca="1">INDEX(OFFSET('Adjustment scenario'!$D$1:$W$1,$D8-1,0),MATCH(T$4,'Adjustment scenario'!$D$10:$W$10,0))</f>
        <v>6.2017383505863491E-6</v>
      </c>
      <c r="U8" s="331">
        <f ca="1">INDEX(OFFSET('Adjustment scenario'!$D$1:$W$1,$D8-1,0),MATCH(U$4,'Adjustment scenario'!$D$10:$W$10,0))</f>
        <v>3.9507863361487592E-6</v>
      </c>
      <c r="V8" s="331">
        <f ca="1">INDEX(OFFSET('Adjustment scenario'!$D$1:$W$1,$D8-1,0),MATCH(V$4,'Adjustment scenario'!$D$10:$W$10,0))</f>
        <v>4.5131598654046808E-6</v>
      </c>
      <c r="W8" s="331">
        <f ca="1">INDEX(OFFSET('Adjustment scenario'!$D$1:$W$1,$D8-1,0),MATCH(W$4,'Adjustment scenario'!$D$10:$W$10,0))</f>
        <v>2.827114961545529E-6</v>
      </c>
      <c r="X8" s="331">
        <f ca="1">INDEX(OFFSET('Adjustment scenario'!$D$1:$W$1,$D8-1,0),MATCH(X$4,'Adjustment scenario'!$D$10:$W$10,0))</f>
        <v>1.1408088691600147E-6</v>
      </c>
      <c r="Y8" s="270"/>
    </row>
    <row r="9" spans="1:25" x14ac:dyDescent="0.25">
      <c r="A9" s="270"/>
      <c r="B9" s="338">
        <v>5</v>
      </c>
      <c r="C9" s="342" t="s">
        <v>220</v>
      </c>
      <c r="D9" s="343">
        <v>14</v>
      </c>
      <c r="E9" s="344" t="s">
        <v>216</v>
      </c>
      <c r="F9" s="331">
        <f ca="1">INDEX(OFFSET('Adjustment scenario'!$D$1:$W$1,$D9-1,0),MATCH(F$4,'Adjustment scenario'!$D$10:$W$10,0))</f>
        <v>0</v>
      </c>
      <c r="G9" s="331">
        <f ca="1">INDEX(OFFSET('Adjustment scenario'!$D$1:$W$1,$D9-1,0),MATCH(G$4,'Adjustment scenario'!$D$10:$W$10,0))</f>
        <v>0</v>
      </c>
      <c r="H9" s="331">
        <f ca="1">INDEX(OFFSET('Adjustment scenario'!$D$1:$W$1,$D9-1,0),MATCH(H$4,'Adjustment scenario'!$D$10:$W$10,0))</f>
        <v>0</v>
      </c>
      <c r="I9" s="331">
        <f ca="1">INDEX(OFFSET('Adjustment scenario'!$D$1:$W$1,$D9-1,0),MATCH(I$4,'Adjustment scenario'!$D$10:$W$10,0))</f>
        <v>0</v>
      </c>
      <c r="J9" s="331">
        <f ca="1">INDEX(OFFSET('Adjustment scenario'!$D$1:$W$1,$D9-1,0),MATCH(J$4,'Adjustment scenario'!$D$10:$W$10,0))</f>
        <v>0</v>
      </c>
      <c r="K9" s="331">
        <f ca="1">INDEX(OFFSET('Adjustment scenario'!$D$1:$W$1,$D9-1,0),MATCH(K$4,'Adjustment scenario'!$D$10:$W$10,0))</f>
        <v>0</v>
      </c>
      <c r="L9" s="331">
        <f ca="1">INDEX(OFFSET('Adjustment scenario'!$D$1:$W$1,$D9-1,0),MATCH(L$4,'Adjustment scenario'!$D$10:$W$10,0))</f>
        <v>0</v>
      </c>
      <c r="M9" s="331">
        <f ca="1">INDEX(OFFSET('Adjustment scenario'!$D$1:$W$1,$D9-1,0),MATCH(M$4,'Adjustment scenario'!$D$10:$W$10,0))</f>
        <v>0</v>
      </c>
      <c r="N9" s="331">
        <f ca="1">INDEX(OFFSET('Adjustment scenario'!$D$1:$W$1,$D9-1,0),MATCH(N$4,'Adjustment scenario'!$D$10:$W$10,0))</f>
        <v>0</v>
      </c>
      <c r="O9" s="331">
        <f ca="1">INDEX(OFFSET('Adjustment scenario'!$D$1:$W$1,$D9-1,0),MATCH(O$4,'Adjustment scenario'!$D$10:$W$10,0))</f>
        <v>0</v>
      </c>
      <c r="P9" s="331">
        <f ca="1">INDEX(OFFSET('Adjustment scenario'!$D$1:$W$1,$D9-1,0),MATCH(P$4,'Adjustment scenario'!$D$10:$W$10,0))</f>
        <v>0</v>
      </c>
      <c r="Q9" s="331">
        <f ca="1">INDEX(OFFSET('Adjustment scenario'!$D$1:$W$1,$D9-1,0),MATCH(Q$4,'Adjustment scenario'!$D$10:$W$10,0))</f>
        <v>0</v>
      </c>
      <c r="R9" s="331">
        <f ca="1">INDEX(OFFSET('Adjustment scenario'!$D$1:$W$1,$D9-1,0),MATCH(R$4,'Adjustment scenario'!$D$10:$W$10,0))</f>
        <v>0</v>
      </c>
      <c r="S9" s="331">
        <f ca="1">INDEX(OFFSET('Adjustment scenario'!$D$1:$W$1,$D9-1,0),MATCH(S$4,'Adjustment scenario'!$D$10:$W$10,0))</f>
        <v>0</v>
      </c>
      <c r="T9" s="331">
        <f ca="1">INDEX(OFFSET('Adjustment scenario'!$D$1:$W$1,$D9-1,0),MATCH(T$4,'Adjustment scenario'!$D$10:$W$10,0))</f>
        <v>0</v>
      </c>
      <c r="U9" s="331">
        <f ca="1">INDEX(OFFSET('Adjustment scenario'!$D$1:$W$1,$D9-1,0),MATCH(U$4,'Adjustment scenario'!$D$10:$W$10,0))</f>
        <v>0</v>
      </c>
      <c r="V9" s="331">
        <f ca="1">INDEX(OFFSET('Adjustment scenario'!$D$1:$W$1,$D9-1,0),MATCH(V$4,'Adjustment scenario'!$D$10:$W$10,0))</f>
        <v>0</v>
      </c>
      <c r="W9" s="331">
        <f ca="1">INDEX(OFFSET('Adjustment scenario'!$D$1:$W$1,$D9-1,0),MATCH(W$4,'Adjustment scenario'!$D$10:$W$10,0))</f>
        <v>0</v>
      </c>
      <c r="X9" s="331">
        <f ca="1">INDEX(OFFSET('Adjustment scenario'!$D$1:$W$1,$D9-1,0),MATCH(X$4,'Adjustment scenario'!$D$10:$W$10,0))</f>
        <v>0</v>
      </c>
      <c r="Y9" s="270"/>
    </row>
    <row r="10" spans="1:25" x14ac:dyDescent="0.25">
      <c r="A10" s="270"/>
      <c r="B10" s="338">
        <v>6</v>
      </c>
      <c r="C10" s="342" t="s">
        <v>221</v>
      </c>
      <c r="D10" s="343">
        <v>68</v>
      </c>
      <c r="E10" s="344" t="s">
        <v>216</v>
      </c>
      <c r="F10" s="331">
        <f ca="1">INDEX(OFFSET('Adjustment scenario'!$D$1:$W$1,$D10-1,0),MATCH(F$4,'Adjustment scenario'!$D$10:$W$10,0))</f>
        <v>1.2031122695315895</v>
      </c>
      <c r="G10" s="331">
        <f ca="1">INDEX(OFFSET('Adjustment scenario'!$D$1:$W$1,$D10-1,0),MATCH(G$4,'Adjustment scenario'!$D$10:$W$10,0))</f>
        <v>1.4808808255417976</v>
      </c>
      <c r="H10" s="331">
        <f ca="1">INDEX(OFFSET('Adjustment scenario'!$D$1:$W$1,$D10-1,0),MATCH(H$4,'Adjustment scenario'!$D$10:$W$10,0))</f>
        <v>1.5032478336494259</v>
      </c>
      <c r="I10" s="331">
        <f ca="1">INDEX(OFFSET('Adjustment scenario'!$D$1:$W$1,$D10-1,0),MATCH(I$4,'Adjustment scenario'!$D$10:$W$10,0))</f>
        <v>1.4787897889267285</v>
      </c>
      <c r="J10" s="331">
        <f ca="1">INDEX(OFFSET('Adjustment scenario'!$D$1:$W$1,$D10-1,0),MATCH(J$4,'Adjustment scenario'!$D$10:$W$10,0))</f>
        <v>1.5859604267920924</v>
      </c>
      <c r="K10" s="331">
        <f ca="1">INDEX(OFFSET('Adjustment scenario'!$D$1:$W$1,$D10-1,0),MATCH(K$4,'Adjustment scenario'!$D$10:$W$10,0))</f>
        <v>1.6569015935976448</v>
      </c>
      <c r="L10" s="331">
        <f ca="1">INDEX(OFFSET('Adjustment scenario'!$D$1:$W$1,$D10-1,0),MATCH(L$4,'Adjustment scenario'!$D$10:$W$10,0))</f>
        <v>1.6799533655103076</v>
      </c>
      <c r="M10" s="331">
        <f ca="1">INDEX(OFFSET('Adjustment scenario'!$D$1:$W$1,$D10-1,0),MATCH(M$4,'Adjustment scenario'!$D$10:$W$10,0))</f>
        <v>1.6857374712041526</v>
      </c>
      <c r="N10" s="331">
        <f ca="1">INDEX(OFFSET('Adjustment scenario'!$D$1:$W$1,$D10-1,0),MATCH(N$4,'Adjustment scenario'!$D$10:$W$10,0))</f>
        <v>1.6769202981692344</v>
      </c>
      <c r="O10" s="331">
        <f ca="1">INDEX(OFFSET('Adjustment scenario'!$D$1:$W$1,$D10-1,0),MATCH(O$4,'Adjustment scenario'!$D$10:$W$10,0))</f>
        <v>1.6652956506111125</v>
      </c>
      <c r="P10" s="331">
        <f ca="1">INDEX(OFFSET('Adjustment scenario'!$D$1:$W$1,$D10-1,0),MATCH(P$4,'Adjustment scenario'!$D$10:$W$10,0))</f>
        <v>1.6509095791986585</v>
      </c>
      <c r="Q10" s="331">
        <f ca="1">INDEX(OFFSET('Adjustment scenario'!$D$1:$W$1,$D10-1,0),MATCH(Q$4,'Adjustment scenario'!$D$10:$W$10,0))</f>
        <v>1.6323558920283925</v>
      </c>
      <c r="R10" s="331">
        <f ca="1">INDEX(OFFSET('Adjustment scenario'!$D$1:$W$1,$D10-1,0),MATCH(R$4,'Adjustment scenario'!$D$10:$W$10,0))</f>
        <v>1.6058026143845245</v>
      </c>
      <c r="S10" s="331">
        <f ca="1">INDEX(OFFSET('Adjustment scenario'!$D$1:$W$1,$D10-1,0),MATCH(S$4,'Adjustment scenario'!$D$10:$W$10,0))</f>
        <v>1.5757231992938281</v>
      </c>
      <c r="T10" s="331">
        <f ca="1">INDEX(OFFSET('Adjustment scenario'!$D$1:$W$1,$D10-1,0),MATCH(T$4,'Adjustment scenario'!$D$10:$W$10,0))</f>
        <v>1.5421917259575364</v>
      </c>
      <c r="U10" s="331">
        <f ca="1">INDEX(OFFSET('Adjustment scenario'!$D$1:$W$1,$D10-1,0),MATCH(U$4,'Adjustment scenario'!$D$10:$W$10,0))</f>
        <v>1.5056746848978233</v>
      </c>
      <c r="V10" s="331">
        <f ca="1">INDEX(OFFSET('Adjustment scenario'!$D$1:$W$1,$D10-1,0),MATCH(V$4,'Adjustment scenario'!$D$10:$W$10,0))</f>
        <v>1.4661169211827929</v>
      </c>
      <c r="W10" s="331">
        <f ca="1">INDEX(OFFSET('Adjustment scenario'!$D$1:$W$1,$D10-1,0),MATCH(W$4,'Adjustment scenario'!$D$10:$W$10,0))</f>
        <v>1.4236911722470684</v>
      </c>
      <c r="X10" s="331">
        <f ca="1">INDEX(OFFSET('Adjustment scenario'!$D$1:$W$1,$D10-1,0),MATCH(X$4,'Adjustment scenario'!$D$10:$W$10,0))</f>
        <v>1.3794345391744114</v>
      </c>
      <c r="Y10" s="270"/>
    </row>
    <row r="11" spans="1:25" x14ac:dyDescent="0.25">
      <c r="A11" s="270"/>
      <c r="B11" s="338">
        <v>7</v>
      </c>
      <c r="C11" s="345" t="s">
        <v>91</v>
      </c>
      <c r="D11" s="343">
        <v>37</v>
      </c>
      <c r="E11" s="344" t="s">
        <v>222</v>
      </c>
      <c r="F11" s="331">
        <f ca="1">INDEX(OFFSET('Adjustment scenario'!$D$1:$W$1,$D11-1,0),MATCH(F$4,'Adjustment scenario'!$D$10:$W$10,0))</f>
        <v>3.08</v>
      </c>
      <c r="G11" s="331">
        <f ca="1">INDEX(OFFSET('Adjustment scenario'!$D$1:$W$1,$D11-1,0),MATCH(G$4,'Adjustment scenario'!$D$10:$W$10,0))</f>
        <v>2.8521350000000001</v>
      </c>
      <c r="H11" s="331">
        <f ca="1">INDEX(OFFSET('Adjustment scenario'!$D$1:$W$1,$D11-1,0),MATCH(H$4,'Adjustment scenario'!$D$10:$W$10,0))</f>
        <v>2.809685</v>
      </c>
      <c r="I11" s="331">
        <f ca="1">INDEX(OFFSET('Adjustment scenario'!$D$1:$W$1,$D11-1,0),MATCH(I$4,'Adjustment scenario'!$D$10:$W$10,0))</f>
        <v>2.9436909999999998</v>
      </c>
      <c r="J11" s="331">
        <f ca="1">INDEX(OFFSET('Adjustment scenario'!$D$1:$W$1,$D11-1,0),MATCH(J$4,'Adjustment scenario'!$D$10:$W$10,0))</f>
        <v>3.0060458749999999</v>
      </c>
      <c r="K11" s="331">
        <f ca="1">INDEX(OFFSET('Adjustment scenario'!$D$1:$W$1,$D11-1,0),MATCH(K$4,'Adjustment scenario'!$D$10:$W$10,0))</f>
        <v>3.0684007499999999</v>
      </c>
      <c r="L11" s="331">
        <f ca="1">INDEX(OFFSET('Adjustment scenario'!$D$1:$W$1,$D11-1,0),MATCH(L$4,'Adjustment scenario'!$D$10:$W$10,0))</f>
        <v>3.1307556249999999</v>
      </c>
      <c r="M11" s="331">
        <f ca="1">INDEX(OFFSET('Adjustment scenario'!$D$1:$W$1,$D11-1,0),MATCH(M$4,'Adjustment scenario'!$D$10:$W$10,0))</f>
        <v>3.1931105</v>
      </c>
      <c r="N11" s="331">
        <f ca="1">INDEX(OFFSET('Adjustment scenario'!$D$1:$W$1,$D11-1,0),MATCH(N$4,'Adjustment scenario'!$D$10:$W$10,0))</f>
        <v>3.255465375</v>
      </c>
      <c r="O11" s="331">
        <f ca="1">INDEX(OFFSET('Adjustment scenario'!$D$1:$W$1,$D11-1,0),MATCH(O$4,'Adjustment scenario'!$D$10:$W$10,0))</f>
        <v>3.31782025</v>
      </c>
      <c r="P11" s="331">
        <f ca="1">INDEX(OFFSET('Adjustment scenario'!$D$1:$W$1,$D11-1,0),MATCH(P$4,'Adjustment scenario'!$D$10:$W$10,0))</f>
        <v>3.3801751250000001</v>
      </c>
      <c r="Q11" s="331">
        <f ca="1">INDEX(OFFSET('Adjustment scenario'!$D$1:$W$1,$D11-1,0),MATCH(Q$4,'Adjustment scenario'!$D$10:$W$10,0))</f>
        <v>3.4425300000000001</v>
      </c>
      <c r="R11" s="331">
        <f ca="1">INDEX(OFFSET('Adjustment scenario'!$D$1:$W$1,$D11-1,0),MATCH(R$4,'Adjustment scenario'!$D$10:$W$10,0))</f>
        <v>3.4704035000000002</v>
      </c>
      <c r="S11" s="331">
        <f ca="1">INDEX(OFFSET('Adjustment scenario'!$D$1:$W$1,$D11-1,0),MATCH(S$4,'Adjustment scenario'!$D$10:$W$10,0))</f>
        <v>3.4982769999999999</v>
      </c>
      <c r="T11" s="331">
        <f ca="1">INDEX(OFFSET('Adjustment scenario'!$D$1:$W$1,$D11-1,0),MATCH(T$4,'Adjustment scenario'!$D$10:$W$10,0))</f>
        <v>3.5261505</v>
      </c>
      <c r="U11" s="331">
        <f ca="1">INDEX(OFFSET('Adjustment scenario'!$D$1:$W$1,$D11-1,0),MATCH(U$4,'Adjustment scenario'!$D$10:$W$10,0))</f>
        <v>3.5540240000000001</v>
      </c>
      <c r="V11" s="331">
        <f ca="1">INDEX(OFFSET('Adjustment scenario'!$D$1:$W$1,$D11-1,0),MATCH(V$4,'Adjustment scenario'!$D$10:$W$10,0))</f>
        <v>3.5818975000000002</v>
      </c>
      <c r="W11" s="331">
        <f ca="1">INDEX(OFFSET('Adjustment scenario'!$D$1:$W$1,$D11-1,0),MATCH(W$4,'Adjustment scenario'!$D$10:$W$10,0))</f>
        <v>3.6097710000000003</v>
      </c>
      <c r="X11" s="331">
        <f ca="1">INDEX(OFFSET('Adjustment scenario'!$D$1:$W$1,$D11-1,0),MATCH(X$4,'Adjustment scenario'!$D$10:$W$10,0))</f>
        <v>3.6376444999999999</v>
      </c>
      <c r="Y11" s="270"/>
    </row>
    <row r="12" spans="1:25" x14ac:dyDescent="0.25">
      <c r="A12" s="270"/>
      <c r="B12" s="338">
        <v>8</v>
      </c>
      <c r="C12" s="345" t="s">
        <v>92</v>
      </c>
      <c r="D12" s="343">
        <v>38</v>
      </c>
      <c r="E12" s="344" t="s">
        <v>222</v>
      </c>
      <c r="F12" s="331">
        <f ca="1">INDEX(OFFSET('Adjustment scenario'!$D$1:$W$1,$D12-1,0),MATCH(F$4,'Adjustment scenario'!$D$10:$W$10,0))</f>
        <v>3.43</v>
      </c>
      <c r="G12" s="331">
        <f ca="1">INDEX(OFFSET('Adjustment scenario'!$D$1:$W$1,$D12-1,0),MATCH(G$4,'Adjustment scenario'!$D$10:$W$10,0))</f>
        <v>3.5292500000000002</v>
      </c>
      <c r="H12" s="331">
        <f ca="1">INDEX(OFFSET('Adjustment scenario'!$D$1:$W$1,$D12-1,0),MATCH(H$4,'Adjustment scenario'!$D$10:$W$10,0))</f>
        <v>2.0662500000000001</v>
      </c>
      <c r="I12" s="331">
        <f ca="1">INDEX(OFFSET('Adjustment scenario'!$D$1:$W$1,$D12-1,0),MATCH(I$4,'Adjustment scenario'!$D$10:$W$10,0))</f>
        <v>1.9957499999999999</v>
      </c>
      <c r="J12" s="331">
        <f ca="1">INDEX(OFFSET('Adjustment scenario'!$D$1:$W$1,$D12-1,0),MATCH(J$4,'Adjustment scenario'!$D$10:$W$10,0))</f>
        <v>2.079285</v>
      </c>
      <c r="K12" s="331">
        <f ca="1">INDEX(OFFSET('Adjustment scenario'!$D$1:$W$1,$D12-1,0),MATCH(K$4,'Adjustment scenario'!$D$10:$W$10,0))</f>
        <v>2.16282</v>
      </c>
      <c r="L12" s="331">
        <f ca="1">INDEX(OFFSET('Adjustment scenario'!$D$1:$W$1,$D12-1,0),MATCH(L$4,'Adjustment scenario'!$D$10:$W$10,0))</f>
        <v>2.2463549999999999</v>
      </c>
      <c r="M12" s="331">
        <f ca="1">INDEX(OFFSET('Adjustment scenario'!$D$1:$W$1,$D12-1,0),MATCH(M$4,'Adjustment scenario'!$D$10:$W$10,0))</f>
        <v>2.3298899999999998</v>
      </c>
      <c r="N12" s="331">
        <f ca="1">INDEX(OFFSET('Adjustment scenario'!$D$1:$W$1,$D12-1,0),MATCH(N$4,'Adjustment scenario'!$D$10:$W$10,0))</f>
        <v>2.4134249999999997</v>
      </c>
      <c r="O12" s="331">
        <f ca="1">INDEX(OFFSET('Adjustment scenario'!$D$1:$W$1,$D12-1,0),MATCH(O$4,'Adjustment scenario'!$D$10:$W$10,0))</f>
        <v>2.4969599999999996</v>
      </c>
      <c r="P12" s="331">
        <f ca="1">INDEX(OFFSET('Adjustment scenario'!$D$1:$W$1,$D12-1,0),MATCH(P$4,'Adjustment scenario'!$D$10:$W$10,0))</f>
        <v>2.5804949999999995</v>
      </c>
      <c r="Q12" s="331">
        <f ca="1">INDEX(OFFSET('Adjustment scenario'!$D$1:$W$1,$D12-1,0),MATCH(Q$4,'Adjustment scenario'!$D$10:$W$10,0))</f>
        <v>2.6640299999999999</v>
      </c>
      <c r="R12" s="331">
        <f ca="1">INDEX(OFFSET('Adjustment scenario'!$D$1:$W$1,$D12-1,0),MATCH(R$4,'Adjustment scenario'!$D$10:$W$10,0))</f>
        <v>2.6308284999999998</v>
      </c>
      <c r="S12" s="331">
        <f ca="1">INDEX(OFFSET('Adjustment scenario'!$D$1:$W$1,$D12-1,0),MATCH(S$4,'Adjustment scenario'!$D$10:$W$10,0))</f>
        <v>2.5976270000000001</v>
      </c>
      <c r="T12" s="331">
        <f ca="1">INDEX(OFFSET('Adjustment scenario'!$D$1:$W$1,$D12-1,0),MATCH(T$4,'Adjustment scenario'!$D$10:$W$10,0))</f>
        <v>2.5644255</v>
      </c>
      <c r="U12" s="331">
        <f ca="1">INDEX(OFFSET('Adjustment scenario'!$D$1:$W$1,$D12-1,0),MATCH(U$4,'Adjustment scenario'!$D$10:$W$10,0))</f>
        <v>2.5312239999999999</v>
      </c>
      <c r="V12" s="331">
        <f ca="1">INDEX(OFFSET('Adjustment scenario'!$D$1:$W$1,$D12-1,0),MATCH(V$4,'Adjustment scenario'!$D$10:$W$10,0))</f>
        <v>2.4980224999999998</v>
      </c>
      <c r="W12" s="331">
        <f ca="1">INDEX(OFFSET('Adjustment scenario'!$D$1:$W$1,$D12-1,0),MATCH(W$4,'Adjustment scenario'!$D$10:$W$10,0))</f>
        <v>2.4648209999999997</v>
      </c>
      <c r="X12" s="331">
        <f ca="1">INDEX(OFFSET('Adjustment scenario'!$D$1:$W$1,$D12-1,0),MATCH(X$4,'Adjustment scenario'!$D$10:$W$10,0))</f>
        <v>2.4316195</v>
      </c>
      <c r="Y12" s="270"/>
    </row>
    <row r="13" spans="1:25" x14ac:dyDescent="0.25">
      <c r="A13" s="270"/>
      <c r="B13" s="338">
        <v>9</v>
      </c>
      <c r="C13" s="342" t="s">
        <v>223</v>
      </c>
      <c r="D13" s="343">
        <v>36</v>
      </c>
      <c r="E13" s="344" t="s">
        <v>222</v>
      </c>
      <c r="F13" s="331">
        <f ca="1">INDEX(OFFSET('Adjustment scenario'!$D$1:$W$1,$D13-1,0),MATCH(F$4,'Adjustment scenario'!$D$10:$W$10,0))</f>
        <v>1.6214710000000001</v>
      </c>
      <c r="G13" s="331">
        <f ca="1">INDEX(OFFSET('Adjustment scenario'!$D$1:$W$1,$D13-1,0),MATCH(G$4,'Adjustment scenario'!$D$10:$W$10,0))</f>
        <v>1.9528080000000001</v>
      </c>
      <c r="H13" s="331">
        <f ca="1">INDEX(OFFSET('Adjustment scenario'!$D$1:$W$1,$D13-1,0),MATCH(H$4,'Adjustment scenario'!$D$10:$W$10,0))</f>
        <v>1.9344650000000001</v>
      </c>
      <c r="I13" s="331">
        <f ca="1">INDEX(OFFSET('Adjustment scenario'!$D$1:$W$1,$D13-1,0),MATCH(I$4,'Adjustment scenario'!$D$10:$W$10,0))</f>
        <v>1.8809861130955123</v>
      </c>
      <c r="J13" s="331">
        <f ca="1">INDEX(OFFSET('Adjustment scenario'!$D$1:$W$1,$D13-1,0),MATCH(J$4,'Adjustment scenario'!$D$10:$W$10,0))</f>
        <v>2.0239034219102687</v>
      </c>
      <c r="K13" s="331">
        <f ca="1">INDEX(OFFSET('Adjustment scenario'!$D$1:$W$1,$D13-1,0),MATCH(K$4,'Adjustment scenario'!$D$10:$W$10,0))</f>
        <v>2.1462506647711721</v>
      </c>
      <c r="L13" s="331">
        <f ca="1">INDEX(OFFSET('Adjustment scenario'!$D$1:$W$1,$D13-1,0),MATCH(L$4,'Adjustment scenario'!$D$10:$W$10,0))</f>
        <v>2.2522010843711691</v>
      </c>
      <c r="M13" s="331">
        <f ca="1">INDEX(OFFSET('Adjustment scenario'!$D$1:$W$1,$D13-1,0),MATCH(M$4,'Adjustment scenario'!$D$10:$W$10,0))</f>
        <v>2.3505639958723141</v>
      </c>
      <c r="N13" s="331">
        <f ca="1">INDEX(OFFSET('Adjustment scenario'!$D$1:$W$1,$D13-1,0),MATCH(N$4,'Adjustment scenario'!$D$10:$W$10,0))</f>
        <v>2.4431330671669667</v>
      </c>
      <c r="O13" s="331">
        <f ca="1">INDEX(OFFSET('Adjustment scenario'!$D$1:$W$1,$D13-1,0),MATCH(O$4,'Adjustment scenario'!$D$10:$W$10,0))</f>
        <v>2.5303991888294619</v>
      </c>
      <c r="P13" s="331">
        <f ca="1">INDEX(OFFSET('Adjustment scenario'!$D$1:$W$1,$D13-1,0),MATCH(P$4,'Adjustment scenario'!$D$10:$W$10,0))</f>
        <v>2.6153459556829768</v>
      </c>
      <c r="Q13" s="331">
        <f ca="1">INDEX(OFFSET('Adjustment scenario'!$D$1:$W$1,$D13-1,0),MATCH(Q$4,'Adjustment scenario'!$D$10:$W$10,0))</f>
        <v>2.6979396293414264</v>
      </c>
      <c r="R13" s="331">
        <f ca="1">INDEX(OFFSET('Adjustment scenario'!$D$1:$W$1,$D13-1,0),MATCH(R$4,'Adjustment scenario'!$D$10:$W$10,0))</f>
        <v>2.768492171816276</v>
      </c>
      <c r="S13" s="331">
        <f ca="1">INDEX(OFFSET('Adjustment scenario'!$D$1:$W$1,$D13-1,0),MATCH(S$4,'Adjustment scenario'!$D$10:$W$10,0))</f>
        <v>2.8349289419580836</v>
      </c>
      <c r="T13" s="331">
        <f ca="1">INDEX(OFFSET('Adjustment scenario'!$D$1:$W$1,$D13-1,0),MATCH(T$4,'Adjustment scenario'!$D$10:$W$10,0))</f>
        <v>2.8975480905735478</v>
      </c>
      <c r="U13" s="331">
        <f ca="1">INDEX(OFFSET('Adjustment scenario'!$D$1:$W$1,$D13-1,0),MATCH(U$4,'Adjustment scenario'!$D$10:$W$10,0))</f>
        <v>2.9566930009413497</v>
      </c>
      <c r="V13" s="331">
        <f ca="1">INDEX(OFFSET('Adjustment scenario'!$D$1:$W$1,$D13-1,0),MATCH(V$4,'Adjustment scenario'!$D$10:$W$10,0))</f>
        <v>3.012683331736179</v>
      </c>
      <c r="W13" s="331">
        <f ca="1">INDEX(OFFSET('Adjustment scenario'!$D$1:$W$1,$D13-1,0),MATCH(W$4,'Adjustment scenario'!$D$10:$W$10,0))</f>
        <v>3.0658699192091419</v>
      </c>
      <c r="X13" s="331">
        <f ca="1">INDEX(OFFSET('Adjustment scenario'!$D$1:$W$1,$D13-1,0),MATCH(X$4,'Adjustment scenario'!$D$10:$W$10,0))</f>
        <v>3.116570593354127</v>
      </c>
      <c r="Y13" s="270"/>
    </row>
    <row r="14" spans="1:25" x14ac:dyDescent="0.25">
      <c r="A14" s="270"/>
      <c r="B14" s="338">
        <v>10</v>
      </c>
      <c r="C14" s="342" t="s">
        <v>224</v>
      </c>
      <c r="D14" s="343">
        <v>72</v>
      </c>
      <c r="E14" s="344" t="s">
        <v>216</v>
      </c>
      <c r="F14" s="331">
        <f ca="1">INDEX(OFFSET('Adjustment scenario'!$D$1:$W$1,$D14-1,0),MATCH(F$4,'Adjustment scenario'!$D$10:$W$10,0))</f>
        <v>1.7333069999999999</v>
      </c>
      <c r="G14" s="331">
        <f ca="1">INDEX(OFFSET('Adjustment scenario'!$D$1:$W$1,$D14-1,0),MATCH(G$4,'Adjustment scenario'!$D$10:$W$10,0))</f>
        <v>0.1000248</v>
      </c>
      <c r="H14" s="331">
        <f ca="1">INDEX(OFFSET('Adjustment scenario'!$D$1:$W$1,$D14-1,0),MATCH(H$4,'Adjustment scenario'!$D$10:$W$10,0))</f>
        <v>0.1</v>
      </c>
      <c r="I14" s="331">
        <f ca="1">INDEX(OFFSET('Adjustment scenario'!$D$1:$W$1,$D14-1,0),MATCH(I$4,'Adjustment scenario'!$D$10:$W$10,0))</f>
        <v>0.1000076</v>
      </c>
      <c r="J14" s="331">
        <f ca="1">INDEX(OFFSET('Adjustment scenario'!$D$1:$W$1,$D14-1,0),MATCH(J$4,'Adjustment scenario'!$D$10:$W$10,0))</f>
        <v>0</v>
      </c>
      <c r="K14" s="331">
        <f ca="1">INDEX(OFFSET('Adjustment scenario'!$D$1:$W$1,$D14-1,0),MATCH(K$4,'Adjustment scenario'!$D$10:$W$10,0))</f>
        <v>0</v>
      </c>
      <c r="L14" s="331">
        <f ca="1">INDEX(OFFSET('Adjustment scenario'!$D$1:$W$1,$D14-1,0),MATCH(L$4,'Adjustment scenario'!$D$10:$W$10,0))</f>
        <v>0</v>
      </c>
      <c r="M14" s="331">
        <f ca="1">INDEX(OFFSET('Adjustment scenario'!$D$1:$W$1,$D14-1,0),MATCH(M$4,'Adjustment scenario'!$D$10:$W$10,0))</f>
        <v>0</v>
      </c>
      <c r="N14" s="331">
        <f ca="1">INDEX(OFFSET('Adjustment scenario'!$D$1:$W$1,$D14-1,0),MATCH(N$4,'Adjustment scenario'!$D$10:$W$10,0))</f>
        <v>0</v>
      </c>
      <c r="O14" s="331">
        <f ca="1">INDEX(OFFSET('Adjustment scenario'!$D$1:$W$1,$D14-1,0),MATCH(O$4,'Adjustment scenario'!$D$10:$W$10,0))</f>
        <v>0</v>
      </c>
      <c r="P14" s="331">
        <f ca="1">INDEX(OFFSET('Adjustment scenario'!$D$1:$W$1,$D14-1,0),MATCH(P$4,'Adjustment scenario'!$D$10:$W$10,0))</f>
        <v>0</v>
      </c>
      <c r="Q14" s="331">
        <f ca="1">INDEX(OFFSET('Adjustment scenario'!$D$1:$W$1,$D14-1,0),MATCH(Q$4,'Adjustment scenario'!$D$10:$W$10,0))</f>
        <v>0</v>
      </c>
      <c r="R14" s="331">
        <f ca="1">INDEX(OFFSET('Adjustment scenario'!$D$1:$W$1,$D14-1,0),MATCH(R$4,'Adjustment scenario'!$D$10:$W$10,0))</f>
        <v>0</v>
      </c>
      <c r="S14" s="331">
        <f ca="1">INDEX(OFFSET('Adjustment scenario'!$D$1:$W$1,$D14-1,0),MATCH(S$4,'Adjustment scenario'!$D$10:$W$10,0))</f>
        <v>0</v>
      </c>
      <c r="T14" s="331">
        <f ca="1">INDEX(OFFSET('Adjustment scenario'!$D$1:$W$1,$D14-1,0),MATCH(T$4,'Adjustment scenario'!$D$10:$W$10,0))</f>
        <v>0</v>
      </c>
      <c r="U14" s="331">
        <f ca="1">INDEX(OFFSET('Adjustment scenario'!$D$1:$W$1,$D14-1,0),MATCH(U$4,'Adjustment scenario'!$D$10:$W$10,0))</f>
        <v>0</v>
      </c>
      <c r="V14" s="331">
        <f ca="1">INDEX(OFFSET('Adjustment scenario'!$D$1:$W$1,$D14-1,0),MATCH(V$4,'Adjustment scenario'!$D$10:$W$10,0))</f>
        <v>0</v>
      </c>
      <c r="W14" s="331">
        <f ca="1">INDEX(OFFSET('Adjustment scenario'!$D$1:$W$1,$D14-1,0),MATCH(W$4,'Adjustment scenario'!$D$10:$W$10,0))</f>
        <v>0</v>
      </c>
      <c r="X14" s="331">
        <f ca="1">INDEX(OFFSET('Adjustment scenario'!$D$1:$W$1,$D14-1,0),MATCH(X$4,'Adjustment scenario'!$D$10:$W$10,0))</f>
        <v>0</v>
      </c>
      <c r="Y14" s="270"/>
    </row>
    <row r="15" spans="1:25" x14ac:dyDescent="0.25">
      <c r="A15" s="270"/>
      <c r="B15" s="338">
        <v>11</v>
      </c>
      <c r="C15" s="346" t="s">
        <v>62</v>
      </c>
      <c r="D15" s="343">
        <v>27</v>
      </c>
      <c r="E15" s="344" t="s">
        <v>225</v>
      </c>
      <c r="F15" s="331">
        <f ca="1">(INDEX(OFFSET('Adjustment scenario'!$D$1:$W$1,$D15-1,0),MATCH(F$4,'Adjustment scenario'!$D$10:$W$10,0))/INDEX(OFFSET('Adjustment scenario'!$D$1:$W$1,$D15-1,0),MATCH(E$4,'Adjustment scenario'!$D$10:$W$10,0))-1)*100</f>
        <v>1.0494510000000012</v>
      </c>
      <c r="G15" s="331">
        <f ca="1">(INDEX(OFFSET('Adjustment scenario'!$D$1:$W$1,$D15-1,0),MATCH(G$4,'Adjustment scenario'!$D$10:$W$10,0))/INDEX(OFFSET('Adjustment scenario'!$D$1:$W$1,$D15-1,0),MATCH(F$4,'Adjustment scenario'!$D$10:$W$10,0))-1)*100</f>
        <v>0.73931519999999029</v>
      </c>
      <c r="H15" s="331">
        <f ca="1">(INDEX(OFFSET('Adjustment scenario'!$D$1:$W$1,$D15-1,0),MATCH(H$4,'Adjustment scenario'!$D$10:$W$10,0))/INDEX(OFFSET('Adjustment scenario'!$D$1:$W$1,$D15-1,0),MATCH(G$4,'Adjustment scenario'!$D$10:$W$10,0))-1)*100</f>
        <v>0.70466270000000275</v>
      </c>
      <c r="I15" s="331">
        <f ca="1">(INDEX(OFFSET('Adjustment scenario'!$D$1:$W$1,$D15-1,0),MATCH(I$4,'Adjustment scenario'!$D$10:$W$10,0))/INDEX(OFFSET('Adjustment scenario'!$D$1:$W$1,$D15-1,0),MATCH(H$4,'Adjustment scenario'!$D$10:$W$10,0))-1)*100</f>
        <v>0.81713299999999212</v>
      </c>
      <c r="J15" s="331">
        <f ca="1">(INDEX(OFFSET('Adjustment scenario'!$D$1:$W$1,$D15-1,0),MATCH(J$4,'Adjustment scenario'!$D$10:$W$10,0))/INDEX(OFFSET('Adjustment scenario'!$D$1:$W$1,$D15-1,0),MATCH(I$4,'Adjustment scenario'!$D$10:$W$10,0))-1)*100</f>
        <v>1.0657389999999989</v>
      </c>
      <c r="K15" s="331">
        <f ca="1">(INDEX(OFFSET('Adjustment scenario'!$D$1:$W$1,$D15-1,0),MATCH(K$4,'Adjustment scenario'!$D$10:$W$10,0))/INDEX(OFFSET('Adjustment scenario'!$D$1:$W$1,$D15-1,0),MATCH(J$4,'Adjustment scenario'!$D$10:$W$10,0))-1)*100</f>
        <v>0.99193410000000259</v>
      </c>
      <c r="L15" s="331">
        <f ca="1">(INDEX(OFFSET('Adjustment scenario'!$D$1:$W$1,$D15-1,0),MATCH(L$4,'Adjustment scenario'!$D$10:$W$10,0))/INDEX(OFFSET('Adjustment scenario'!$D$1:$W$1,$D15-1,0),MATCH(K$4,'Adjustment scenario'!$D$10:$W$10,0))-1)*100</f>
        <v>1.0245370000000031</v>
      </c>
      <c r="M15" s="331">
        <f ca="1">(INDEX(OFFSET('Adjustment scenario'!$D$1:$W$1,$D15-1,0),MATCH(M$4,'Adjustment scenario'!$D$10:$W$10,0))/INDEX(OFFSET('Adjustment scenario'!$D$1:$W$1,$D15-1,0),MATCH(L$4,'Adjustment scenario'!$D$10:$W$10,0))-1)*100</f>
        <v>1.1145079999999918</v>
      </c>
      <c r="N15" s="331">
        <f ca="1">(INDEX(OFFSET('Adjustment scenario'!$D$1:$W$1,$D15-1,0),MATCH(N$4,'Adjustment scenario'!$D$10:$W$10,0))/INDEX(OFFSET('Adjustment scenario'!$D$1:$W$1,$D15-1,0),MATCH(M$4,'Adjustment scenario'!$D$10:$W$10,0))-1)*100</f>
        <v>1.1250710000000108</v>
      </c>
      <c r="O15" s="331">
        <f ca="1">(INDEX(OFFSET('Adjustment scenario'!$D$1:$W$1,$D15-1,0),MATCH(O$4,'Adjustment scenario'!$D$10:$W$10,0))/INDEX(OFFSET('Adjustment scenario'!$D$1:$W$1,$D15-1,0),MATCH(N$4,'Adjustment scenario'!$D$10:$W$10,0))-1)*100</f>
        <v>1.1184599999999989</v>
      </c>
      <c r="P15" s="331">
        <f ca="1">(INDEX(OFFSET('Adjustment scenario'!$D$1:$W$1,$D15-1,0),MATCH(P$4,'Adjustment scenario'!$D$10:$W$10,0))/INDEX(OFFSET('Adjustment scenario'!$D$1:$W$1,$D15-1,0),MATCH(O$4,'Adjustment scenario'!$D$10:$W$10,0))-1)*100</f>
        <v>1.1171840000000044</v>
      </c>
      <c r="Q15" s="331">
        <f ca="1">(INDEX(OFFSET('Adjustment scenario'!$D$1:$W$1,$D15-1,0),MATCH(Q$4,'Adjustment scenario'!$D$10:$W$10,0))/INDEX(OFFSET('Adjustment scenario'!$D$1:$W$1,$D15-1,0),MATCH(P$4,'Adjustment scenario'!$D$10:$W$10,0))-1)*100</f>
        <v>1.1618450000000058</v>
      </c>
      <c r="R15" s="331">
        <f ca="1">(INDEX(OFFSET('Adjustment scenario'!$D$1:$W$1,$D15-1,0),MATCH(R$4,'Adjustment scenario'!$D$10:$W$10,0))/INDEX(OFFSET('Adjustment scenario'!$D$1:$W$1,$D15-1,0),MATCH(Q$4,'Adjustment scenario'!$D$10:$W$10,0))-1)*100</f>
        <v>1.2427160000000104</v>
      </c>
      <c r="S15" s="331">
        <f ca="1">(INDEX(OFFSET('Adjustment scenario'!$D$1:$W$1,$D15-1,0),MATCH(S$4,'Adjustment scenario'!$D$10:$W$10,0))/INDEX(OFFSET('Adjustment scenario'!$D$1:$W$1,$D15-1,0),MATCH(R$4,'Adjustment scenario'!$D$10:$W$10,0))-1)*100</f>
        <v>1.3235869999999927</v>
      </c>
      <c r="T15" s="331">
        <f ca="1">(INDEX(OFFSET('Adjustment scenario'!$D$1:$W$1,$D15-1,0),MATCH(T$4,'Adjustment scenario'!$D$10:$W$10,0))/INDEX(OFFSET('Adjustment scenario'!$D$1:$W$1,$D15-1,0),MATCH(S$4,'Adjustment scenario'!$D$10:$W$10,0))-1)*100</f>
        <v>1.4044589999999912</v>
      </c>
      <c r="U15" s="331">
        <f ca="1">(INDEX(OFFSET('Adjustment scenario'!$D$1:$W$1,$D15-1,0),MATCH(U$4,'Adjustment scenario'!$D$10:$W$10,0))/INDEX(OFFSET('Adjustment scenario'!$D$1:$W$1,$D15-1,0),MATCH(T$4,'Adjustment scenario'!$D$10:$W$10,0))-1)*100</f>
        <v>1.4681670000000091</v>
      </c>
      <c r="V15" s="331">
        <f ca="1">(INDEX(OFFSET('Adjustment scenario'!$D$1:$W$1,$D15-1,0),MATCH(V$4,'Adjustment scenario'!$D$10:$W$10,0))/INDEX(OFFSET('Adjustment scenario'!$D$1:$W$1,$D15-1,0),MATCH(U$4,'Adjustment scenario'!$D$10:$W$10,0))-1)*100</f>
        <v>1.5339350000000085</v>
      </c>
      <c r="W15" s="331">
        <f ca="1">(INDEX(OFFSET('Adjustment scenario'!$D$1:$W$1,$D15-1,0),MATCH(W$4,'Adjustment scenario'!$D$10:$W$10,0))/INDEX(OFFSET('Adjustment scenario'!$D$1:$W$1,$D15-1,0),MATCH(V$4,'Adjustment scenario'!$D$10:$W$10,0))-1)*100</f>
        <v>1.5987090000000093</v>
      </c>
      <c r="X15" s="331">
        <f ca="1">(INDEX(OFFSET('Adjustment scenario'!$D$1:$W$1,$D15-1,0),MATCH(X$4,'Adjustment scenario'!$D$10:$W$10,0))/INDEX(OFFSET('Adjustment scenario'!$D$1:$W$1,$D15-1,0),MATCH(W$4,'Adjustment scenario'!$D$10:$W$10,0))-1)*100</f>
        <v>1.5829759999999915</v>
      </c>
      <c r="Y15" s="270"/>
    </row>
    <row r="16" spans="1:25" x14ac:dyDescent="0.25">
      <c r="A16" s="270"/>
      <c r="B16" s="338">
        <v>12</v>
      </c>
      <c r="C16" s="334" t="s">
        <v>226</v>
      </c>
      <c r="D16" s="343">
        <v>24</v>
      </c>
      <c r="E16" s="344" t="s">
        <v>225</v>
      </c>
      <c r="F16" s="331">
        <f ca="1">INDEX(OFFSET('Adjustment scenario'!$D$1:$W$1,$D16-1,0),MATCH(F$4,'Adjustment scenario'!$D$10:$W$10,0))</f>
        <v>-0.95496389999999998</v>
      </c>
      <c r="G16" s="331">
        <f ca="1">INDEX(OFFSET('Adjustment scenario'!$D$1:$W$1,$D16-1,0),MATCH(G$4,'Adjustment scenario'!$D$10:$W$10,0))</f>
        <v>-0.62164790000000003</v>
      </c>
      <c r="H16" s="331">
        <f ca="1">INDEX(OFFSET('Adjustment scenario'!$D$1:$W$1,$D16-1,0),MATCH(H$4,'Adjustment scenario'!$D$10:$W$10,0))</f>
        <v>6.5578799999999049E-2</v>
      </c>
      <c r="I16" s="331">
        <f ca="1">INDEX(OFFSET('Adjustment scenario'!$D$1:$W$1,$D16-1,0),MATCH(I$4,'Adjustment scenario'!$D$10:$W$10,0))</f>
        <v>0.89675414743108917</v>
      </c>
      <c r="J16" s="331">
        <f ca="1">INDEX(OFFSET('Adjustment scenario'!$D$1:$W$1,$D16-1,0),MATCH(J$4,'Adjustment scenario'!$D$10:$W$10,0))</f>
        <v>0.99358099372228725</v>
      </c>
      <c r="K16" s="331">
        <f ca="1">INDEX(OFFSET('Adjustment scenario'!$D$1:$W$1,$D16-1,0),MATCH(K$4,'Adjustment scenario'!$D$10:$W$10,0))</f>
        <v>0.94381756134878092</v>
      </c>
      <c r="L16" s="331">
        <f ca="1">INDEX(OFFSET('Adjustment scenario'!$D$1:$W$1,$D16-1,0),MATCH(L$4,'Adjustment scenario'!$D$10:$W$10,0))</f>
        <v>1.7280213974040892</v>
      </c>
      <c r="M16" s="331">
        <f ca="1">INDEX(OFFSET('Adjustment scenario'!$D$1:$W$1,$D16-1,0),MATCH(M$4,'Adjustment scenario'!$D$10:$W$10,0))</f>
        <v>1.8137497403982072</v>
      </c>
      <c r="N16" s="331">
        <f ca="1">INDEX(OFFSET('Adjustment scenario'!$D$1:$W$1,$D16-1,0),MATCH(N$4,'Adjustment scenario'!$D$10:$W$10,0))</f>
        <v>1.8195829968985722</v>
      </c>
      <c r="O16" s="331">
        <f ca="1">INDEX(OFFSET('Adjustment scenario'!$D$1:$W$1,$D16-1,0),MATCH(O$4,'Adjustment scenario'!$D$10:$W$10,0))</f>
        <v>1.1184580000000111</v>
      </c>
      <c r="P16" s="331">
        <f ca="1">INDEX(OFFSET('Adjustment scenario'!$D$1:$W$1,$D16-1,0),MATCH(P$4,'Adjustment scenario'!$D$10:$W$10,0))</f>
        <v>1.1171819999999943</v>
      </c>
      <c r="Q16" s="331">
        <f ca="1">INDEX(OFFSET('Adjustment scenario'!$D$1:$W$1,$D16-1,0),MATCH(Q$4,'Adjustment scenario'!$D$10:$W$10,0))</f>
        <v>1.1618469999999936</v>
      </c>
      <c r="R16" s="331">
        <f ca="1">INDEX(OFFSET('Adjustment scenario'!$D$1:$W$1,$D16-1,0),MATCH(R$4,'Adjustment scenario'!$D$10:$W$10,0))</f>
        <v>1.2427130000000064</v>
      </c>
      <c r="S16" s="331">
        <f ca="1">INDEX(OFFSET('Adjustment scenario'!$D$1:$W$1,$D16-1,0),MATCH(S$4,'Adjustment scenario'!$D$10:$W$10,0))</f>
        <v>1.323584000000011</v>
      </c>
      <c r="T16" s="331">
        <f ca="1">INDEX(OFFSET('Adjustment scenario'!$D$1:$W$1,$D16-1,0),MATCH(T$4,'Adjustment scenario'!$D$10:$W$10,0))</f>
        <v>1.4044560000000095</v>
      </c>
      <c r="U16" s="331">
        <f ca="1">INDEX(OFFSET('Adjustment scenario'!$D$1:$W$1,$D16-1,0),MATCH(U$4,'Adjustment scenario'!$D$10:$W$10,0))</f>
        <v>1.468171000000007</v>
      </c>
      <c r="V16" s="331">
        <f ca="1">INDEX(OFFSET('Adjustment scenario'!$D$1:$W$1,$D16-1,0),MATCH(V$4,'Adjustment scenario'!$D$10:$W$10,0))</f>
        <v>1.5339339999999924</v>
      </c>
      <c r="W16" s="331">
        <f ca="1">INDEX(OFFSET('Adjustment scenario'!$D$1:$W$1,$D16-1,0),MATCH(W$4,'Adjustment scenario'!$D$10:$W$10,0))</f>
        <v>1.598711999999991</v>
      </c>
      <c r="X16" s="331">
        <f ca="1">INDEX(OFFSET('Adjustment scenario'!$D$1:$W$1,$D16-1,0),MATCH(X$4,'Adjustment scenario'!$D$10:$W$10,0))</f>
        <v>1.5829789999999955</v>
      </c>
      <c r="Y16" s="270"/>
    </row>
    <row r="17" spans="1:25" x14ac:dyDescent="0.25">
      <c r="A17" s="270"/>
      <c r="B17" s="338">
        <v>13</v>
      </c>
      <c r="C17" s="347" t="s">
        <v>227</v>
      </c>
      <c r="D17" s="343">
        <v>42</v>
      </c>
      <c r="E17" s="344" t="s">
        <v>225</v>
      </c>
      <c r="F17" s="331">
        <f ca="1">INDEX(OFFSET('Adjustment scenario'!$D$1:$W$1,$D17-1,0),MATCH(F$4,'Adjustment scenario'!$D$10:$W$10,0))</f>
        <v>6.6476540000000002</v>
      </c>
      <c r="G17" s="331">
        <f ca="1">INDEX(OFFSET('Adjustment scenario'!$D$1:$W$1,$D17-1,0),MATCH(G$4,'Adjustment scenario'!$D$10:$W$10,0))</f>
        <v>4.2327859999999999</v>
      </c>
      <c r="H17" s="331">
        <f ca="1">INDEX(OFFSET('Adjustment scenario'!$D$1:$W$1,$D17-1,0),MATCH(H$4,'Adjustment scenario'!$D$10:$W$10,0))</f>
        <v>2.2870180000000002</v>
      </c>
      <c r="I17" s="331">
        <f ca="1">INDEX(OFFSET('Adjustment scenario'!$D$1:$W$1,$D17-1,0),MATCH(I$4,'Adjustment scenario'!$D$10:$W$10,0))</f>
        <v>1.878755</v>
      </c>
      <c r="J17" s="331">
        <f ca="1">INDEX(OFFSET('Adjustment scenario'!$D$1:$W$1,$D17-1,0),MATCH(J$4,'Adjustment scenario'!$D$10:$W$10,0))</f>
        <v>1.9376606249999999</v>
      </c>
      <c r="K17" s="331">
        <f ca="1">INDEX(OFFSET('Adjustment scenario'!$D$1:$W$1,$D17-1,0),MATCH(K$4,'Adjustment scenario'!$D$10:$W$10,0))</f>
        <v>1.9965662499999999</v>
      </c>
      <c r="L17" s="331">
        <f ca="1">INDEX(OFFSET('Adjustment scenario'!$D$1:$W$1,$D17-1,0),MATCH(L$4,'Adjustment scenario'!$D$10:$W$10,0))</f>
        <v>2.0554718749999998</v>
      </c>
      <c r="M17" s="331">
        <f ca="1">INDEX(OFFSET('Adjustment scenario'!$D$1:$W$1,$D17-1,0),MATCH(M$4,'Adjustment scenario'!$D$10:$W$10,0))</f>
        <v>2.1143774999999998</v>
      </c>
      <c r="N17" s="331">
        <f ca="1">INDEX(OFFSET('Adjustment scenario'!$D$1:$W$1,$D17-1,0),MATCH(N$4,'Adjustment scenario'!$D$10:$W$10,0))</f>
        <v>2.1732831250000002</v>
      </c>
      <c r="O17" s="331">
        <f ca="1">INDEX(OFFSET('Adjustment scenario'!$D$1:$W$1,$D17-1,0),MATCH(O$4,'Adjustment scenario'!$D$10:$W$10,0))</f>
        <v>2.2321887500000002</v>
      </c>
      <c r="P17" s="331">
        <f ca="1">INDEX(OFFSET('Adjustment scenario'!$D$1:$W$1,$D17-1,0),MATCH(P$4,'Adjustment scenario'!$D$10:$W$10,0))</f>
        <v>2.2910943750000001</v>
      </c>
      <c r="Q17" s="331">
        <f ca="1">INDEX(OFFSET('Adjustment scenario'!$D$1:$W$1,$D17-1,0),MATCH(Q$4,'Adjustment scenario'!$D$10:$W$10,0))</f>
        <v>2.35</v>
      </c>
      <c r="R17" s="331">
        <f ca="1">INDEX(OFFSET('Adjustment scenario'!$D$1:$W$1,$D17-1,0),MATCH(R$4,'Adjustment scenario'!$D$10:$W$10,0))</f>
        <v>2.3325</v>
      </c>
      <c r="S17" s="331">
        <f ca="1">INDEX(OFFSET('Adjustment scenario'!$D$1:$W$1,$D17-1,0),MATCH(S$4,'Adjustment scenario'!$D$10:$W$10,0))</f>
        <v>2.3149999999999999</v>
      </c>
      <c r="T17" s="331">
        <f ca="1">INDEX(OFFSET('Adjustment scenario'!$D$1:$W$1,$D17-1,0),MATCH(T$4,'Adjustment scenario'!$D$10:$W$10,0))</f>
        <v>2.2974999999999999</v>
      </c>
      <c r="U17" s="331">
        <f ca="1">INDEX(OFFSET('Adjustment scenario'!$D$1:$W$1,$D17-1,0),MATCH(U$4,'Adjustment scenario'!$D$10:$W$10,0))</f>
        <v>2.2800000000000002</v>
      </c>
      <c r="V17" s="331">
        <f ca="1">INDEX(OFFSET('Adjustment scenario'!$D$1:$W$1,$D17-1,0),MATCH(V$4,'Adjustment scenario'!$D$10:$W$10,0))</f>
        <v>2.2625000000000002</v>
      </c>
      <c r="W17" s="331">
        <f ca="1">INDEX(OFFSET('Adjustment scenario'!$D$1:$W$1,$D17-1,0),MATCH(W$4,'Adjustment scenario'!$D$10:$W$10,0))</f>
        <v>2.2450000000000001</v>
      </c>
      <c r="X17" s="331">
        <f ca="1">INDEX(OFFSET('Adjustment scenario'!$D$1:$W$1,$D17-1,0),MATCH(X$4,'Adjustment scenario'!$D$10:$W$10,0))</f>
        <v>2.2275</v>
      </c>
      <c r="Y17" s="270"/>
    </row>
    <row r="18" spans="1:25" x14ac:dyDescent="0.25">
      <c r="A18" s="270"/>
      <c r="B18" s="338">
        <v>14</v>
      </c>
      <c r="C18" s="334" t="s">
        <v>228</v>
      </c>
      <c r="D18" s="343">
        <v>33</v>
      </c>
      <c r="E18" s="344" t="s">
        <v>225</v>
      </c>
      <c r="F18" s="331">
        <f ca="1">INDEX(OFFSET('Adjustment scenario'!$D$1:$W$1,$D18-1,0),MATCH(F$4,'Adjustment scenario'!$D$10:$W$10,0))</f>
        <v>5.6292074041030871</v>
      </c>
      <c r="G18" s="331">
        <f ca="1">INDEX(OFFSET('Adjustment scenario'!$D$1:$W$1,$D18-1,0),MATCH(G$4,'Adjustment scenario'!$D$10:$W$10,0))</f>
        <v>3.584825074719511</v>
      </c>
      <c r="H18" s="331">
        <f ca="1">INDEX(OFFSET('Adjustment scenario'!$D$1:$W$1,$D18-1,0),MATCH(H$4,'Adjustment scenario'!$D$10:$W$10,0))</f>
        <v>2.3540965989601759</v>
      </c>
      <c r="I18" s="331">
        <f ca="1">INDEX(OFFSET('Adjustment scenario'!$D$1:$W$1,$D18-1,0),MATCH(I$4,'Adjustment scenario'!$D$10:$W$10,0))</f>
        <v>2.7923569608136578</v>
      </c>
      <c r="J18" s="331">
        <f ca="1">INDEX(OFFSET('Adjustment scenario'!$D$1:$W$1,$D18-1,0),MATCH(J$4,'Adjustment scenario'!$D$10:$W$10,0))</f>
        <v>2.9504938464151254</v>
      </c>
      <c r="K18" s="331">
        <f ca="1">INDEX(OFFSET('Adjustment scenario'!$D$1:$W$1,$D18-1,0),MATCH(K$4,'Adjustment scenario'!$D$10:$W$10,0))</f>
        <v>2.9592277542402456</v>
      </c>
      <c r="L18" s="331">
        <f ca="1">INDEX(OFFSET('Adjustment scenario'!$D$1:$W$1,$D18-1,0),MATCH(L$4,'Adjustment scenario'!$D$10:$W$10,0))</f>
        <v>3.8190122662216996</v>
      </c>
      <c r="M18" s="331">
        <f ca="1">INDEX(OFFSET('Adjustment scenario'!$D$1:$W$1,$D18-1,0),MATCH(M$4,'Adjustment scenario'!$D$10:$W$10,0))</f>
        <v>3.9664767568154957</v>
      </c>
      <c r="N18" s="331">
        <f ca="1">INDEX(OFFSET('Adjustment scenario'!$D$1:$W$1,$D18-1,0),MATCH(N$4,'Adjustment scenario'!$D$10:$W$10,0))</f>
        <v>4.0324108121155389</v>
      </c>
      <c r="O18" s="331">
        <f ca="1">INDEX(OFFSET('Adjustment scenario'!$D$1:$W$1,$D18-1,0),MATCH(O$4,'Adjustment scenario'!$D$10:$W$10,0))</f>
        <v>3.3756128436494892</v>
      </c>
      <c r="P18" s="331">
        <f ca="1">INDEX(OFFSET('Adjustment scenario'!$D$1:$W$1,$D18-1,0),MATCH(P$4,'Adjustment scenario'!$D$10:$W$10,0))</f>
        <v>3.4338720689605085</v>
      </c>
      <c r="Q18" s="331">
        <f ca="1">INDEX(OFFSET('Adjustment scenario'!$D$1:$W$1,$D18-1,0),MATCH(Q$4,'Adjustment scenario'!$D$10:$W$10,0))</f>
        <v>3.5391504044999911</v>
      </c>
      <c r="R18" s="331">
        <f ca="1">INDEX(OFFSET('Adjustment scenario'!$D$1:$W$1,$D18-1,0),MATCH(R$4,'Adjustment scenario'!$D$10:$W$10,0))</f>
        <v>3.6041992807250178</v>
      </c>
      <c r="S18" s="331">
        <f ca="1">INDEX(OFFSET('Adjustment scenario'!$D$1:$W$1,$D18-1,0),MATCH(S$4,'Adjustment scenario'!$D$10:$W$10,0))</f>
        <v>3.6692249696000045</v>
      </c>
      <c r="T18" s="331">
        <f ca="1">INDEX(OFFSET('Adjustment scenario'!$D$1:$W$1,$D18-1,0),MATCH(T$4,'Adjustment scenario'!$D$10:$W$10,0))</f>
        <v>3.7342233766000099</v>
      </c>
      <c r="U18" s="331">
        <f ca="1">INDEX(OFFSET('Adjustment scenario'!$D$1:$W$1,$D18-1,0),MATCH(U$4,'Adjustment scenario'!$D$10:$W$10,0))</f>
        <v>3.7816452988000071</v>
      </c>
      <c r="V18" s="331">
        <f ca="1">INDEX(OFFSET('Adjustment scenario'!$D$1:$W$1,$D18-1,0),MATCH(V$4,'Adjustment scenario'!$D$10:$W$10,0))</f>
        <v>3.8311392567499825</v>
      </c>
      <c r="W18" s="331">
        <f ca="1">INDEX(OFFSET('Adjustment scenario'!$D$1:$W$1,$D18-1,0),MATCH(W$4,'Adjustment scenario'!$D$10:$W$10,0))</f>
        <v>3.8796030844000073</v>
      </c>
      <c r="X18" s="331">
        <f ca="1">INDEX(OFFSET('Adjustment scenario'!$D$1:$W$1,$D18-1,0),MATCH(X$4,'Adjustment scenario'!$D$10:$W$10,0))</f>
        <v>3.8457398572250057</v>
      </c>
      <c r="Y18" s="270"/>
    </row>
    <row r="19" spans="1:25" x14ac:dyDescent="0.25">
      <c r="A19" s="270"/>
      <c r="B19" s="332"/>
      <c r="C19" s="353"/>
      <c r="D19" s="353"/>
      <c r="E19" s="353"/>
      <c r="F19" s="353"/>
      <c r="G19" s="353"/>
      <c r="H19" s="353"/>
      <c r="I19" s="353"/>
      <c r="J19" s="353"/>
      <c r="K19" s="270"/>
      <c r="L19" s="270"/>
      <c r="M19" s="270"/>
      <c r="N19" s="270"/>
      <c r="O19" s="270"/>
      <c r="P19" s="270"/>
      <c r="Q19" s="270"/>
      <c r="R19" s="270"/>
      <c r="S19" s="270"/>
      <c r="T19" s="270"/>
      <c r="U19" s="270"/>
      <c r="V19" s="270"/>
      <c r="W19" s="270"/>
      <c r="X19" s="270"/>
      <c r="Y19" s="270"/>
    </row>
    <row r="20" spans="1:25" x14ac:dyDescent="0.25">
      <c r="A20" s="270"/>
      <c r="B20" s="354"/>
      <c r="C20" s="336" t="s">
        <v>229</v>
      </c>
      <c r="D20" s="337"/>
      <c r="E20" s="337"/>
      <c r="F20" s="337"/>
      <c r="G20" s="353"/>
      <c r="H20" s="353"/>
      <c r="I20" s="353"/>
      <c r="J20" s="353"/>
      <c r="K20" s="270"/>
      <c r="L20" s="270"/>
      <c r="M20" s="270"/>
      <c r="N20" s="270"/>
      <c r="O20" s="270"/>
      <c r="P20" s="270"/>
      <c r="Q20" s="270"/>
      <c r="R20" s="270"/>
      <c r="S20" s="270"/>
      <c r="T20" s="270"/>
      <c r="U20" s="270"/>
      <c r="V20" s="270"/>
      <c r="W20" s="270"/>
      <c r="X20" s="270"/>
      <c r="Y20" s="270"/>
    </row>
    <row r="21" spans="1:25" x14ac:dyDescent="0.25">
      <c r="A21" s="270"/>
      <c r="B21" s="332"/>
      <c r="C21" s="353"/>
      <c r="D21" s="353"/>
      <c r="E21" s="353"/>
      <c r="F21" s="353"/>
      <c r="G21" s="353"/>
      <c r="H21" s="353"/>
      <c r="I21" s="353"/>
      <c r="J21" s="353"/>
      <c r="K21" s="270"/>
      <c r="L21" s="270"/>
      <c r="M21" s="270"/>
      <c r="N21" s="270"/>
      <c r="O21" s="270"/>
      <c r="P21" s="270"/>
      <c r="Q21" s="270"/>
      <c r="R21" s="270"/>
      <c r="S21" s="270"/>
      <c r="T21" s="270"/>
      <c r="U21" s="270"/>
      <c r="V21" s="270"/>
      <c r="W21" s="270"/>
      <c r="X21" s="270"/>
      <c r="Y21" s="270"/>
    </row>
    <row r="22" spans="1:25" x14ac:dyDescent="0.25">
      <c r="A22" s="270"/>
      <c r="B22" s="338"/>
      <c r="C22" s="336" t="s">
        <v>26</v>
      </c>
      <c r="D22" s="336"/>
      <c r="E22" s="340">
        <f>F22-1</f>
        <v>2022</v>
      </c>
      <c r="F22" s="341">
        <f>'Input data'!$C$5-1</f>
        <v>2023</v>
      </c>
      <c r="G22" s="341">
        <f>F22+1</f>
        <v>2024</v>
      </c>
      <c r="H22" s="341">
        <f t="shared" ref="H22:X22" si="1">G22+1</f>
        <v>2025</v>
      </c>
      <c r="I22" s="341">
        <f t="shared" si="1"/>
        <v>2026</v>
      </c>
      <c r="J22" s="341">
        <f t="shared" si="1"/>
        <v>2027</v>
      </c>
      <c r="K22" s="341">
        <f t="shared" si="1"/>
        <v>2028</v>
      </c>
      <c r="L22" s="341">
        <f t="shared" si="1"/>
        <v>2029</v>
      </c>
      <c r="M22" s="341">
        <f t="shared" si="1"/>
        <v>2030</v>
      </c>
      <c r="N22" s="341">
        <f t="shared" si="1"/>
        <v>2031</v>
      </c>
      <c r="O22" s="341">
        <f t="shared" si="1"/>
        <v>2032</v>
      </c>
      <c r="P22" s="341">
        <f t="shared" si="1"/>
        <v>2033</v>
      </c>
      <c r="Q22" s="341">
        <f t="shared" si="1"/>
        <v>2034</v>
      </c>
      <c r="R22" s="341">
        <f t="shared" si="1"/>
        <v>2035</v>
      </c>
      <c r="S22" s="341">
        <f t="shared" si="1"/>
        <v>2036</v>
      </c>
      <c r="T22" s="341">
        <f t="shared" si="1"/>
        <v>2037</v>
      </c>
      <c r="U22" s="341">
        <f t="shared" si="1"/>
        <v>2038</v>
      </c>
      <c r="V22" s="341">
        <f t="shared" si="1"/>
        <v>2039</v>
      </c>
      <c r="W22" s="341">
        <f t="shared" si="1"/>
        <v>2040</v>
      </c>
      <c r="X22" s="341">
        <f t="shared" si="1"/>
        <v>2041</v>
      </c>
      <c r="Y22" s="270"/>
    </row>
    <row r="23" spans="1:25" x14ac:dyDescent="0.25">
      <c r="A23" s="270"/>
      <c r="B23" s="338">
        <v>1</v>
      </c>
      <c r="C23" s="342" t="s">
        <v>215</v>
      </c>
      <c r="D23" s="343">
        <v>56</v>
      </c>
      <c r="E23" s="344" t="s">
        <v>216</v>
      </c>
      <c r="F23" s="331">
        <f ca="1">INDEX(OFFSET('Financial stress'!$D$1:$W$1,$D23-1,0),MATCH(F$4,'Financial stress'!$D$10:$W$10,0))</f>
        <v>78.551901298157986</v>
      </c>
      <c r="G23" s="331">
        <f ca="1">INDEX(OFFSET('Financial stress'!$D$1:$W$1,$D23-1,0),MATCH(G$4,'Financial stress'!$D$10:$W$10,0))</f>
        <v>79.538050043568091</v>
      </c>
      <c r="H23" s="331">
        <f ca="1">INDEX(OFFSET('Financial stress'!$D$1:$W$1,$D23-1,0),MATCH(H$4,'Financial stress'!$D$10:$W$10,0))</f>
        <v>80.81308351777497</v>
      </c>
      <c r="I23" s="331">
        <f ca="1">INDEX(OFFSET('Financial stress'!$D$1:$W$1,$D23-1,0),MATCH(I$4,'Financial stress'!$D$10:$W$10,0))</f>
        <v>80.673518010562546</v>
      </c>
      <c r="J23" s="331">
        <f ca="1">INDEX(OFFSET('Financial stress'!$D$1:$W$1,$D23-1,0),MATCH(J$4,'Financial stress'!$D$10:$W$10,0))</f>
        <v>79.484335796243897</v>
      </c>
      <c r="K23" s="331">
        <f ca="1">INDEX(OFFSET('Financial stress'!$D$1:$W$1,$D23-1,0),MATCH(K$4,'Financial stress'!$D$10:$W$10,0))</f>
        <v>77.440287313107248</v>
      </c>
      <c r="L23" s="331">
        <f ca="1">INDEX(OFFSET('Financial stress'!$D$1:$W$1,$D23-1,0),MATCH(L$4,'Financial stress'!$D$10:$W$10,0))</f>
        <v>74.689700151341128</v>
      </c>
      <c r="M23" s="331">
        <f ca="1">INDEX(OFFSET('Financial stress'!$D$1:$W$1,$D23-1,0),MATCH(M$4,'Financial stress'!$D$10:$W$10,0))</f>
        <v>71.598613516780418</v>
      </c>
      <c r="N23" s="331">
        <f ca="1">INDEX(OFFSET('Financial stress'!$D$1:$W$1,$D23-1,0),MATCH(N$4,'Financial stress'!$D$10:$W$10,0))</f>
        <v>68.279914228421305</v>
      </c>
      <c r="O23" s="331">
        <f ca="1">INDEX(OFFSET('Financial stress'!$D$1:$W$1,$D23-1,0),MATCH(O$4,'Financial stress'!$D$10:$W$10,0))</f>
        <v>65.585931453721727</v>
      </c>
      <c r="P23" s="331">
        <f ca="1">INDEX(OFFSET('Financial stress'!$D$1:$W$1,$D23-1,0),MATCH(P$4,'Financial stress'!$D$10:$W$10,0))</f>
        <v>62.980371044126336</v>
      </c>
      <c r="Q23" s="331">
        <f ca="1">INDEX(OFFSET('Financial stress'!$D$1:$W$1,$D23-1,0),MATCH(Q$4,'Financial stress'!$D$10:$W$10,0))</f>
        <v>60.463451037553412</v>
      </c>
      <c r="R23" s="331">
        <f ca="1">INDEX(OFFSET('Financial stress'!$D$1:$W$1,$D23-1,0),MATCH(R$4,'Financial stress'!$D$10:$W$10,0))</f>
        <v>58.021665626564065</v>
      </c>
      <c r="S23" s="331">
        <f ca="1">INDEX(OFFSET('Financial stress'!$D$1:$W$1,$D23-1,0),MATCH(S$4,'Financial stress'!$D$10:$W$10,0))</f>
        <v>55.636318907667665</v>
      </c>
      <c r="T23" s="331">
        <f ca="1">INDEX(OFFSET('Financial stress'!$D$1:$W$1,$D23-1,0),MATCH(T$4,'Financial stress'!$D$10:$W$10,0))</f>
        <v>53.295828882791341</v>
      </c>
      <c r="U23" s="331">
        <f ca="1">INDEX(OFFSET('Financial stress'!$D$1:$W$1,$D23-1,0),MATCH(U$4,'Financial stress'!$D$10:$W$10,0))</f>
        <v>50.992514790521994</v>
      </c>
      <c r="V23" s="331">
        <f ca="1">INDEX(OFFSET('Financial stress'!$D$1:$W$1,$D23-1,0),MATCH(V$4,'Financial stress'!$D$10:$W$10,0))</f>
        <v>48.716083905991034</v>
      </c>
      <c r="W23" s="331">
        <f ca="1">INDEX(OFFSET('Financial stress'!$D$1:$W$1,$D23-1,0),MATCH(W$4,'Financial stress'!$D$10:$W$10,0))</f>
        <v>46.453037866332643</v>
      </c>
      <c r="X23" s="331">
        <f ca="1">INDEX(OFFSET('Financial stress'!$D$1:$W$1,$D23-1,0),MATCH(X$4,'Financial stress'!$D$10:$W$10,0))</f>
        <v>44.245883432598973</v>
      </c>
      <c r="Y23" s="270"/>
    </row>
    <row r="24" spans="1:25" x14ac:dyDescent="0.25">
      <c r="A24" s="270"/>
      <c r="B24" s="338">
        <v>2</v>
      </c>
      <c r="C24" s="342" t="s">
        <v>91</v>
      </c>
      <c r="D24" s="343">
        <v>36</v>
      </c>
      <c r="E24" s="344" t="s">
        <v>222</v>
      </c>
      <c r="F24" s="331">
        <f ca="1">INDEX(OFFSET('Financial stress'!$D$1:$W$1,$D24-1,0),MATCH(F$4,'Financial stress'!$D$10:$W$10,0))</f>
        <v>3.08</v>
      </c>
      <c r="G24" s="331">
        <f ca="1">INDEX(OFFSET('Financial stress'!$D$1:$W$1,$D24-1,0),MATCH(G$4,'Financial stress'!$D$10:$W$10,0))</f>
        <v>2.8521350000000001</v>
      </c>
      <c r="H24" s="331">
        <f ca="1">INDEX(OFFSET('Financial stress'!$D$1:$W$1,$D24-1,0),MATCH(H$4,'Financial stress'!$D$10:$W$10,0))</f>
        <v>2.809685</v>
      </c>
      <c r="I24" s="331">
        <f ca="1">INDEX(OFFSET('Financial stress'!$D$1:$W$1,$D24-1,0),MATCH(I$4,'Financial stress'!$D$10:$W$10,0))</f>
        <v>2.9436909999999998</v>
      </c>
      <c r="J24" s="331">
        <f ca="1">INDEX(OFFSET('Financial stress'!$D$1:$W$1,$D24-1,0),MATCH(J$4,'Financial stress'!$D$10:$W$10,0))</f>
        <v>3.0060458749999999</v>
      </c>
      <c r="K24" s="331">
        <f ca="1">INDEX(OFFSET('Financial stress'!$D$1:$W$1,$D24-1,0),MATCH(K$4,'Financial stress'!$D$10:$W$10,0))</f>
        <v>3.0684007499999999</v>
      </c>
      <c r="L24" s="331">
        <f ca="1">INDEX(OFFSET('Financial stress'!$D$1:$W$1,$D24-1,0),MATCH(L$4,'Financial stress'!$D$10:$W$10,0))</f>
        <v>4.1307556249999999</v>
      </c>
      <c r="M24" s="331">
        <f ca="1">INDEX(OFFSET('Financial stress'!$D$1:$W$1,$D24-1,0),MATCH(M$4,'Financial stress'!$D$10:$W$10,0))</f>
        <v>3.1931105</v>
      </c>
      <c r="N24" s="331">
        <f ca="1">INDEX(OFFSET('Financial stress'!$D$1:$W$1,$D24-1,0),MATCH(N$4,'Financial stress'!$D$10:$W$10,0))</f>
        <v>3.255465375</v>
      </c>
      <c r="O24" s="331">
        <f ca="1">INDEX(OFFSET('Financial stress'!$D$1:$W$1,$D24-1,0),MATCH(O$4,'Financial stress'!$D$10:$W$10,0))</f>
        <v>3.31782025</v>
      </c>
      <c r="P24" s="331">
        <f ca="1">INDEX(OFFSET('Financial stress'!$D$1:$W$1,$D24-1,0),MATCH(P$4,'Financial stress'!$D$10:$W$10,0))</f>
        <v>3.3801751250000001</v>
      </c>
      <c r="Q24" s="331">
        <f ca="1">INDEX(OFFSET('Financial stress'!$D$1:$W$1,$D24-1,0),MATCH(Q$4,'Financial stress'!$D$10:$W$10,0))</f>
        <v>3.4425300000000001</v>
      </c>
      <c r="R24" s="331">
        <f ca="1">INDEX(OFFSET('Financial stress'!$D$1:$W$1,$D24-1,0),MATCH(R$4,'Financial stress'!$D$10:$W$10,0))</f>
        <v>3.4704035000000002</v>
      </c>
      <c r="S24" s="331">
        <f ca="1">INDEX(OFFSET('Financial stress'!$D$1:$W$1,$D24-1,0),MATCH(S$4,'Financial stress'!$D$10:$W$10,0))</f>
        <v>3.4982769999999999</v>
      </c>
      <c r="T24" s="331">
        <f ca="1">INDEX(OFFSET('Financial stress'!$D$1:$W$1,$D24-1,0),MATCH(T$4,'Financial stress'!$D$10:$W$10,0))</f>
        <v>3.5261505</v>
      </c>
      <c r="U24" s="331">
        <f ca="1">INDEX(OFFSET('Financial stress'!$D$1:$W$1,$D24-1,0),MATCH(U$4,'Financial stress'!$D$10:$W$10,0))</f>
        <v>3.5540240000000001</v>
      </c>
      <c r="V24" s="331">
        <f ca="1">INDEX(OFFSET('Financial stress'!$D$1:$W$1,$D24-1,0),MATCH(V$4,'Financial stress'!$D$10:$W$10,0))</f>
        <v>3.5818975000000002</v>
      </c>
      <c r="W24" s="331">
        <f ca="1">INDEX(OFFSET('Financial stress'!$D$1:$W$1,$D24-1,0),MATCH(W$4,'Financial stress'!$D$10:$W$10,0))</f>
        <v>3.6097710000000003</v>
      </c>
      <c r="X24" s="331">
        <f ca="1">INDEX(OFFSET('Financial stress'!$D$1:$W$1,$D24-1,0),MATCH(X$4,'Financial stress'!$D$10:$W$10,0))</f>
        <v>3.6376444999999999</v>
      </c>
      <c r="Y24" s="270"/>
    </row>
    <row r="25" spans="1:25" x14ac:dyDescent="0.25">
      <c r="A25" s="270"/>
      <c r="B25" s="338">
        <v>3</v>
      </c>
      <c r="C25" s="342" t="s">
        <v>92</v>
      </c>
      <c r="D25" s="343">
        <v>37</v>
      </c>
      <c r="E25" s="344" t="s">
        <v>222</v>
      </c>
      <c r="F25" s="331">
        <f ca="1">INDEX(OFFSET('Financial stress'!$D$1:$W$1,$D25-1,0),MATCH(F$4,'Financial stress'!$D$10:$W$10,0))</f>
        <v>3.43</v>
      </c>
      <c r="G25" s="331">
        <f ca="1">INDEX(OFFSET('Financial stress'!$D$1:$W$1,$D25-1,0),MATCH(G$4,'Financial stress'!$D$10:$W$10,0))</f>
        <v>3.5292500000000002</v>
      </c>
      <c r="H25" s="331">
        <f ca="1">INDEX(OFFSET('Financial stress'!$D$1:$W$1,$D25-1,0),MATCH(H$4,'Financial stress'!$D$10:$W$10,0))</f>
        <v>2.0662500000000001</v>
      </c>
      <c r="I25" s="331">
        <f ca="1">INDEX(OFFSET('Financial stress'!$D$1:$W$1,$D25-1,0),MATCH(I$4,'Financial stress'!$D$10:$W$10,0))</f>
        <v>1.9957499999999999</v>
      </c>
      <c r="J25" s="331">
        <f ca="1">INDEX(OFFSET('Financial stress'!$D$1:$W$1,$D25-1,0),MATCH(J$4,'Financial stress'!$D$10:$W$10,0))</f>
        <v>2.079285</v>
      </c>
      <c r="K25" s="331">
        <f ca="1">INDEX(OFFSET('Financial stress'!$D$1:$W$1,$D25-1,0),MATCH(K$4,'Financial stress'!$D$10:$W$10,0))</f>
        <v>2.16282</v>
      </c>
      <c r="L25" s="331">
        <f ca="1">INDEX(OFFSET('Financial stress'!$D$1:$W$1,$D25-1,0),MATCH(L$4,'Financial stress'!$D$10:$W$10,0))</f>
        <v>3.2463549999999999</v>
      </c>
      <c r="M25" s="331">
        <f ca="1">INDEX(OFFSET('Financial stress'!$D$1:$W$1,$D25-1,0),MATCH(M$4,'Financial stress'!$D$10:$W$10,0))</f>
        <v>2.3298899999999998</v>
      </c>
      <c r="N25" s="331">
        <f ca="1">INDEX(OFFSET('Financial stress'!$D$1:$W$1,$D25-1,0),MATCH(N$4,'Financial stress'!$D$10:$W$10,0))</f>
        <v>2.4134250000000002</v>
      </c>
      <c r="O25" s="331">
        <f ca="1">INDEX(OFFSET('Financial stress'!$D$1:$W$1,$D25-1,0),MATCH(O$4,'Financial stress'!$D$10:$W$10,0))</f>
        <v>2.4969599999999996</v>
      </c>
      <c r="P25" s="331">
        <f ca="1">INDEX(OFFSET('Financial stress'!$D$1:$W$1,$D25-1,0),MATCH(P$4,'Financial stress'!$D$10:$W$10,0))</f>
        <v>2.580495</v>
      </c>
      <c r="Q25" s="331">
        <f ca="1">INDEX(OFFSET('Financial stress'!$D$1:$W$1,$D25-1,0),MATCH(Q$4,'Financial stress'!$D$10:$W$10,0))</f>
        <v>2.6640299999999999</v>
      </c>
      <c r="R25" s="331">
        <f ca="1">INDEX(OFFSET('Financial stress'!$D$1:$W$1,$D25-1,0),MATCH(R$4,'Financial stress'!$D$10:$W$10,0))</f>
        <v>2.6308284999999998</v>
      </c>
      <c r="S25" s="331">
        <f ca="1">INDEX(OFFSET('Financial stress'!$D$1:$W$1,$D25-1,0),MATCH(S$4,'Financial stress'!$D$10:$W$10,0))</f>
        <v>2.5976270000000001</v>
      </c>
      <c r="T25" s="331">
        <f ca="1">INDEX(OFFSET('Financial stress'!$D$1:$W$1,$D25-1,0),MATCH(T$4,'Financial stress'!$D$10:$W$10,0))</f>
        <v>2.5644255</v>
      </c>
      <c r="U25" s="331">
        <f ca="1">INDEX(OFFSET('Financial stress'!$D$1:$W$1,$D25-1,0),MATCH(U$4,'Financial stress'!$D$10:$W$10,0))</f>
        <v>2.5312239999999999</v>
      </c>
      <c r="V25" s="331">
        <f ca="1">INDEX(OFFSET('Financial stress'!$D$1:$W$1,$D25-1,0),MATCH(V$4,'Financial stress'!$D$10:$W$10,0))</f>
        <v>2.4980224999999998</v>
      </c>
      <c r="W25" s="331">
        <f ca="1">INDEX(OFFSET('Financial stress'!$D$1:$W$1,$D25-1,0),MATCH(W$4,'Financial stress'!$D$10:$W$10,0))</f>
        <v>2.4648209999999997</v>
      </c>
      <c r="X25" s="331">
        <f ca="1">INDEX(OFFSET('Financial stress'!$D$1:$W$1,$D25-1,0),MATCH(X$4,'Financial stress'!$D$10:$W$10,0))</f>
        <v>2.4316195</v>
      </c>
      <c r="Y25" s="270"/>
    </row>
    <row r="26" spans="1:25" x14ac:dyDescent="0.25">
      <c r="A26" s="270"/>
      <c r="B26" s="338"/>
      <c r="C26" s="336" t="s">
        <v>27</v>
      </c>
      <c r="D26" s="336"/>
      <c r="E26" s="340">
        <f>F26-1</f>
        <v>2022</v>
      </c>
      <c r="F26" s="341">
        <f>'Input data'!$C$5-1</f>
        <v>2023</v>
      </c>
      <c r="G26" s="341">
        <f>F26+1</f>
        <v>2024</v>
      </c>
      <c r="H26" s="341">
        <f t="shared" ref="H26:X26" si="2">G26+1</f>
        <v>2025</v>
      </c>
      <c r="I26" s="341">
        <f t="shared" si="2"/>
        <v>2026</v>
      </c>
      <c r="J26" s="341">
        <f t="shared" si="2"/>
        <v>2027</v>
      </c>
      <c r="K26" s="341">
        <f t="shared" si="2"/>
        <v>2028</v>
      </c>
      <c r="L26" s="341">
        <f t="shared" si="2"/>
        <v>2029</v>
      </c>
      <c r="M26" s="341">
        <f t="shared" si="2"/>
        <v>2030</v>
      </c>
      <c r="N26" s="341">
        <f t="shared" si="2"/>
        <v>2031</v>
      </c>
      <c r="O26" s="341">
        <f t="shared" si="2"/>
        <v>2032</v>
      </c>
      <c r="P26" s="341">
        <f t="shared" si="2"/>
        <v>2033</v>
      </c>
      <c r="Q26" s="341">
        <f t="shared" si="2"/>
        <v>2034</v>
      </c>
      <c r="R26" s="341">
        <f t="shared" si="2"/>
        <v>2035</v>
      </c>
      <c r="S26" s="341">
        <f t="shared" si="2"/>
        <v>2036</v>
      </c>
      <c r="T26" s="341">
        <f t="shared" si="2"/>
        <v>2037</v>
      </c>
      <c r="U26" s="341">
        <f t="shared" si="2"/>
        <v>2038</v>
      </c>
      <c r="V26" s="341">
        <f t="shared" si="2"/>
        <v>2039</v>
      </c>
      <c r="W26" s="341">
        <f t="shared" si="2"/>
        <v>2040</v>
      </c>
      <c r="X26" s="341">
        <f t="shared" si="2"/>
        <v>2041</v>
      </c>
      <c r="Y26" s="270"/>
    </row>
    <row r="27" spans="1:25" x14ac:dyDescent="0.25">
      <c r="A27" s="270"/>
      <c r="B27" s="338">
        <v>4</v>
      </c>
      <c r="C27" s="342" t="s">
        <v>215</v>
      </c>
      <c r="D27" s="343">
        <v>56</v>
      </c>
      <c r="E27" s="344" t="s">
        <v>216</v>
      </c>
      <c r="F27" s="331">
        <f ca="1">INDEX(OFFSET('Lower SPB'!$D$1:$W$1,$D27-1,0),MATCH(F$4,'Lower SPB'!$D$10:$W$10,0))</f>
        <v>78.551901298157986</v>
      </c>
      <c r="G27" s="331">
        <f ca="1">INDEX(OFFSET('Lower SPB'!$D$1:$W$1,$D27-1,0),MATCH(G$4,'Lower SPB'!$D$10:$W$10,0))</f>
        <v>79.538050043568091</v>
      </c>
      <c r="H27" s="331">
        <f ca="1">INDEX(OFFSET('Lower SPB'!$D$1:$W$1,$D27-1,0),MATCH(H$4,'Lower SPB'!$D$10:$W$10,0))</f>
        <v>80.81308351777497</v>
      </c>
      <c r="I27" s="331">
        <f ca="1">INDEX(OFFSET('Lower SPB'!$D$1:$W$1,$D27-1,0),MATCH(I$4,'Lower SPB'!$D$10:$W$10,0))</f>
        <v>80.673518010562546</v>
      </c>
      <c r="J27" s="331">
        <f ca="1">INDEX(OFFSET('Lower SPB'!$D$1:$W$1,$D27-1,0),MATCH(J$4,'Lower SPB'!$D$10:$W$10,0))</f>
        <v>79.484335796243897</v>
      </c>
      <c r="K27" s="331">
        <f ca="1">INDEX(OFFSET('Lower SPB'!$D$1:$W$1,$D27-1,0),MATCH(K$4,'Lower SPB'!$D$10:$W$10,0))</f>
        <v>77.440287313107248</v>
      </c>
      <c r="L27" s="331">
        <f ca="1">INDEX(OFFSET('Lower SPB'!$D$1:$W$1,$D27-1,0),MATCH(L$4,'Lower SPB'!$D$10:$W$10,0))</f>
        <v>74.566778455596193</v>
      </c>
      <c r="M27" s="331">
        <f ca="1">INDEX(OFFSET('Lower SPB'!$D$1:$W$1,$D27-1,0),MATCH(M$4,'Lower SPB'!$D$10:$W$10,0))</f>
        <v>71.946909901702824</v>
      </c>
      <c r="N27" s="331">
        <f ca="1">INDEX(OFFSET('Lower SPB'!$D$1:$W$1,$D27-1,0),MATCH(N$4,'Lower SPB'!$D$10:$W$10,0))</f>
        <v>69.641638352759955</v>
      </c>
      <c r="O27" s="331">
        <f ca="1">INDEX(OFFSET('Lower SPB'!$D$1:$W$1,$D27-1,0),MATCH(O$4,'Lower SPB'!$D$10:$W$10,0))</f>
        <v>67.369016940439678</v>
      </c>
      <c r="P27" s="331">
        <f ca="1">INDEX(OFFSET('Lower SPB'!$D$1:$W$1,$D27-1,0),MATCH(P$4,'Lower SPB'!$D$10:$W$10,0))</f>
        <v>65.080180317170004</v>
      </c>
      <c r="Q27" s="331">
        <f ca="1">INDEX(OFFSET('Lower SPB'!$D$1:$W$1,$D27-1,0),MATCH(Q$4,'Lower SPB'!$D$10:$W$10,0))</f>
        <v>63.018812708837054</v>
      </c>
      <c r="R27" s="331">
        <f ca="1">INDEX(OFFSET('Lower SPB'!$D$1:$W$1,$D27-1,0),MATCH(R$4,'Lower SPB'!$D$10:$W$10,0))</f>
        <v>61.03448902686506</v>
      </c>
      <c r="S27" s="331">
        <f ca="1">INDEX(OFFSET('Lower SPB'!$D$1:$W$1,$D27-1,0),MATCH(S$4,'Lower SPB'!$D$10:$W$10,0))</f>
        <v>59.107467776309292</v>
      </c>
      <c r="T27" s="331">
        <f ca="1">INDEX(OFFSET('Lower SPB'!$D$1:$W$1,$D27-1,0),MATCH(T$4,'Lower SPB'!$D$10:$W$10,0))</f>
        <v>57.225172250591115</v>
      </c>
      <c r="U27" s="331">
        <f ca="1">INDEX(OFFSET('Lower SPB'!$D$1:$W$1,$D27-1,0),MATCH(U$4,'Lower SPB'!$D$10:$W$10,0))</f>
        <v>55.379639314282869</v>
      </c>
      <c r="V27" s="331">
        <f ca="1">INDEX(OFFSET('Lower SPB'!$D$1:$W$1,$D27-1,0),MATCH(V$4,'Lower SPB'!$D$10:$W$10,0))</f>
        <v>53.559724509079118</v>
      </c>
      <c r="W27" s="331">
        <f ca="1">INDEX(OFFSET('Lower SPB'!$D$1:$W$1,$D27-1,0),MATCH(W$4,'Lower SPB'!$D$10:$W$10,0))</f>
        <v>51.751237615965174</v>
      </c>
      <c r="X27" s="331">
        <f ca="1">INDEX(OFFSET('Lower SPB'!$D$1:$W$1,$D27-1,0),MATCH(X$4,'Lower SPB'!$D$10:$W$10,0))</f>
        <v>50.000139966367726</v>
      </c>
      <c r="Y27" s="270"/>
    </row>
    <row r="28" spans="1:25" x14ac:dyDescent="0.25">
      <c r="A28" s="270"/>
      <c r="B28" s="338">
        <v>5</v>
      </c>
      <c r="C28" s="342" t="s">
        <v>40</v>
      </c>
      <c r="D28" s="343">
        <v>12</v>
      </c>
      <c r="E28" s="344" t="s">
        <v>218</v>
      </c>
      <c r="F28" s="331">
        <f ca="1">INDEX(OFFSET('Lower SPB'!$D$1:$W$1,$D28-1,0),MATCH(F$4,'Lower SPB'!$D$10:$W$10,0))</f>
        <v>-1.399295</v>
      </c>
      <c r="G28" s="331">
        <f ca="1">INDEX(OFFSET('Lower SPB'!$D$1:$W$1,$D28-1,0),MATCH(G$4,'Lower SPB'!$D$10:$W$10,0))</f>
        <v>-1.3351299999999999</v>
      </c>
      <c r="H28" s="331">
        <f ca="1">INDEX(OFFSET('Lower SPB'!$D$1:$W$1,$D28-1,0),MATCH(H$4,'Lower SPB'!$D$10:$W$10,0))</f>
        <v>-0.35512999999999995</v>
      </c>
      <c r="I28" s="331">
        <f ca="1">INDEX(OFFSET('Lower SPB'!$D$1:$W$1,$D28-1,0),MATCH(I$4,'Lower SPB'!$D$10:$W$10,0))</f>
        <v>0.62487000000000004</v>
      </c>
      <c r="J28" s="331">
        <f ca="1">INDEX(OFFSET('Lower SPB'!$D$1:$W$1,$D28-1,0),MATCH(J$4,'Lower SPB'!$D$10:$W$10,0))</f>
        <v>1.60487</v>
      </c>
      <c r="K28" s="331">
        <f ca="1">INDEX(OFFSET('Lower SPB'!$D$1:$W$1,$D28-1,0),MATCH(K$4,'Lower SPB'!$D$10:$W$10,0))</f>
        <v>2.58487</v>
      </c>
      <c r="L28" s="331">
        <f ca="1">INDEX(OFFSET('Lower SPB'!$D$1:$W$1,$D28-1,0),MATCH(L$4,'Lower SPB'!$D$10:$W$10,0))</f>
        <v>2.33487</v>
      </c>
      <c r="M28" s="331">
        <f ca="1">INDEX(OFFSET('Lower SPB'!$D$1:$W$1,$D28-1,0),MATCH(M$4,'Lower SPB'!$D$10:$W$10,0))</f>
        <v>2.08487</v>
      </c>
      <c r="N28" s="331">
        <f ca="1">INDEX(OFFSET('Lower SPB'!$D$1:$W$1,$D28-1,0),MATCH(N$4,'Lower SPB'!$D$10:$W$10,0))</f>
        <v>2.08487</v>
      </c>
      <c r="O28" s="331">
        <f ca="1">INDEX(OFFSET('Lower SPB'!$D$1:$W$1,$D28-1,0),MATCH(O$4,'Lower SPB'!$D$10:$W$10,0))</f>
        <v>2.08487</v>
      </c>
      <c r="P28" s="331">
        <f ca="1">INDEX(OFFSET('Lower SPB'!$D$1:$W$1,$D28-1,0),MATCH(P$4,'Lower SPB'!$D$10:$W$10,0))</f>
        <v>2.08487</v>
      </c>
      <c r="Q28" s="331">
        <f ca="1">INDEX(OFFSET('Lower SPB'!$D$1:$W$1,$D28-1,0),MATCH(Q$4,'Lower SPB'!$D$10:$W$10,0))</f>
        <v>2.08487</v>
      </c>
      <c r="R28" s="331">
        <f ca="1">INDEX(OFFSET('Lower SPB'!$D$1:$W$1,$D28-1,0),MATCH(R$4,'Lower SPB'!$D$10:$W$10,0))</f>
        <v>2.08487</v>
      </c>
      <c r="S28" s="331">
        <f ca="1">INDEX(OFFSET('Lower SPB'!$D$1:$W$1,$D28-1,0),MATCH(S$4,'Lower SPB'!$D$10:$W$10,0))</f>
        <v>2.08487</v>
      </c>
      <c r="T28" s="331">
        <f ca="1">INDEX(OFFSET('Lower SPB'!$D$1:$W$1,$D28-1,0),MATCH(T$4,'Lower SPB'!$D$10:$W$10,0))</f>
        <v>2.08487</v>
      </c>
      <c r="U28" s="331">
        <f ca="1">INDEX(OFFSET('Lower SPB'!$D$1:$W$1,$D28-1,0),MATCH(U$4,'Lower SPB'!$D$10:$W$10,0))</f>
        <v>2.08487</v>
      </c>
      <c r="V28" s="331">
        <f ca="1">INDEX(OFFSET('Lower SPB'!$D$1:$W$1,$D28-1,0),MATCH(V$4,'Lower SPB'!$D$10:$W$10,0))</f>
        <v>2.08487</v>
      </c>
      <c r="W28" s="331">
        <f ca="1">INDEX(OFFSET('Lower SPB'!$D$1:$W$1,$D28-1,0),MATCH(W$4,'Lower SPB'!$D$10:$W$10,0))</f>
        <v>2.08487</v>
      </c>
      <c r="X28" s="331">
        <f ca="1">INDEX(OFFSET('Lower SPB'!$D$1:$W$1,$D28-1,0),MATCH(X$4,'Lower SPB'!$D$10:$W$10,0))</f>
        <v>2.08487</v>
      </c>
      <c r="Y28" s="270"/>
    </row>
    <row r="29" spans="1:25" x14ac:dyDescent="0.25">
      <c r="A29" s="270"/>
      <c r="B29" s="338"/>
      <c r="C29" s="336" t="s">
        <v>230</v>
      </c>
      <c r="D29" s="336"/>
      <c r="E29" s="340">
        <f>F29-1</f>
        <v>2022</v>
      </c>
      <c r="F29" s="341">
        <f>'Input data'!$C$5-1</f>
        <v>2023</v>
      </c>
      <c r="G29" s="341">
        <f>F29+1</f>
        <v>2024</v>
      </c>
      <c r="H29" s="341">
        <f t="shared" ref="H29:X29" si="3">G29+1</f>
        <v>2025</v>
      </c>
      <c r="I29" s="341">
        <f t="shared" si="3"/>
        <v>2026</v>
      </c>
      <c r="J29" s="341">
        <f t="shared" si="3"/>
        <v>2027</v>
      </c>
      <c r="K29" s="341">
        <f t="shared" si="3"/>
        <v>2028</v>
      </c>
      <c r="L29" s="341">
        <f t="shared" si="3"/>
        <v>2029</v>
      </c>
      <c r="M29" s="341">
        <f t="shared" si="3"/>
        <v>2030</v>
      </c>
      <c r="N29" s="341">
        <f t="shared" si="3"/>
        <v>2031</v>
      </c>
      <c r="O29" s="341">
        <f t="shared" si="3"/>
        <v>2032</v>
      </c>
      <c r="P29" s="341">
        <f t="shared" si="3"/>
        <v>2033</v>
      </c>
      <c r="Q29" s="341">
        <f t="shared" si="3"/>
        <v>2034</v>
      </c>
      <c r="R29" s="341">
        <f t="shared" si="3"/>
        <v>2035</v>
      </c>
      <c r="S29" s="341">
        <f t="shared" si="3"/>
        <v>2036</v>
      </c>
      <c r="T29" s="341">
        <f t="shared" si="3"/>
        <v>2037</v>
      </c>
      <c r="U29" s="341">
        <f t="shared" si="3"/>
        <v>2038</v>
      </c>
      <c r="V29" s="341">
        <f t="shared" si="3"/>
        <v>2039</v>
      </c>
      <c r="W29" s="341">
        <f t="shared" si="3"/>
        <v>2040</v>
      </c>
      <c r="X29" s="341">
        <f t="shared" si="3"/>
        <v>2041</v>
      </c>
      <c r="Y29" s="270"/>
    </row>
    <row r="30" spans="1:25" x14ac:dyDescent="0.25">
      <c r="A30" s="270"/>
      <c r="B30" s="338">
        <v>6</v>
      </c>
      <c r="C30" s="342" t="s">
        <v>215</v>
      </c>
      <c r="D30" s="343">
        <v>57</v>
      </c>
      <c r="E30" s="344" t="s">
        <v>216</v>
      </c>
      <c r="F30" s="331">
        <f ca="1">INDEX(OFFSET('Adverse (r-g)'!$D$1:$W$1,$D30-1,0),MATCH(F$4,'Adverse (r-g)'!$D$10:$W$10,0))</f>
        <v>78.551901298157986</v>
      </c>
      <c r="G30" s="331">
        <f ca="1">INDEX(OFFSET('Adverse (r-g)'!$D$1:$W$1,$D30-1,0),MATCH(G$4,'Adverse (r-g)'!$D$10:$W$10,0))</f>
        <v>79.538050043568091</v>
      </c>
      <c r="H30" s="331">
        <f ca="1">INDEX(OFFSET('Adverse (r-g)'!$D$1:$W$1,$D30-1,0),MATCH(H$4,'Adverse (r-g)'!$D$10:$W$10,0))</f>
        <v>80.81308351777497</v>
      </c>
      <c r="I30" s="331">
        <f ca="1">INDEX(OFFSET('Adverse (r-g)'!$D$1:$W$1,$D30-1,0),MATCH(I$4,'Adverse (r-g)'!$D$10:$W$10,0))</f>
        <v>80.673518010562546</v>
      </c>
      <c r="J30" s="331">
        <f ca="1">INDEX(OFFSET('Adverse (r-g)'!$D$1:$W$1,$D30-1,0),MATCH(J$4,'Adverse (r-g)'!$D$10:$W$10,0))</f>
        <v>79.484335796243897</v>
      </c>
      <c r="K30" s="331">
        <f ca="1">INDEX(OFFSET('Adverse (r-g)'!$D$1:$W$1,$D30-1,0),MATCH(K$4,'Adverse (r-g)'!$D$10:$W$10,0))</f>
        <v>77.440287313107248</v>
      </c>
      <c r="L30" s="331">
        <f ca="1">INDEX(OFFSET('Adverse (r-g)'!$D$1:$W$1,$D30-1,0),MATCH(L$4,'Adverse (r-g)'!$D$10:$W$10,0))</f>
        <v>75.004992289764871</v>
      </c>
      <c r="M30" s="331">
        <f ca="1">INDEX(OFFSET('Adverse (r-g)'!$D$1:$W$1,$D30-1,0),MATCH(M$4,'Adverse (r-g)'!$D$10:$W$10,0))</f>
        <v>72.305007229714292</v>
      </c>
      <c r="N30" s="331">
        <f ca="1">INDEX(OFFSET('Adverse (r-g)'!$D$1:$W$1,$D30-1,0),MATCH(N$4,'Adverse (r-g)'!$D$10:$W$10,0))</f>
        <v>69.390940360032289</v>
      </c>
      <c r="O30" s="331">
        <f ca="1">INDEX(OFFSET('Adverse (r-g)'!$D$1:$W$1,$D30-1,0),MATCH(O$4,'Adverse (r-g)'!$D$10:$W$10,0))</f>
        <v>67.117645266000508</v>
      </c>
      <c r="P30" s="331">
        <f ca="1">INDEX(OFFSET('Adverse (r-g)'!$D$1:$W$1,$D30-1,0),MATCH(P$4,'Adverse (r-g)'!$D$10:$W$10,0))</f>
        <v>64.940665998724739</v>
      </c>
      <c r="Q30" s="331">
        <f ca="1">INDEX(OFFSET('Adverse (r-g)'!$D$1:$W$1,$D30-1,0),MATCH(Q$4,'Adverse (r-g)'!$D$10:$W$10,0))</f>
        <v>62.855850013326645</v>
      </c>
      <c r="R30" s="331">
        <f ca="1">INDEX(OFFSET('Adverse (r-g)'!$D$1:$W$1,$D30-1,0),MATCH(R$4,'Adverse (r-g)'!$D$10:$W$10,0))</f>
        <v>60.847203639247176</v>
      </c>
      <c r="S30" s="331">
        <f ca="1">INDEX(OFFSET('Adverse (r-g)'!$D$1:$W$1,$D30-1,0),MATCH(S$4,'Adverse (r-g)'!$D$10:$W$10,0))</f>
        <v>58.893394977319566</v>
      </c>
      <c r="T30" s="331">
        <f ca="1">INDEX(OFFSET('Adverse (r-g)'!$D$1:$W$1,$D30-1,0),MATCH(T$4,'Adverse (r-g)'!$D$10:$W$10,0))</f>
        <v>56.98035216332871</v>
      </c>
      <c r="U30" s="331">
        <f ca="1">INDEX(OFFSET('Adverse (r-g)'!$D$1:$W$1,$D30-1,0),MATCH(U$4,'Adverse (r-g)'!$D$10:$W$10,0))</f>
        <v>55.098833611471441</v>
      </c>
      <c r="V30" s="331">
        <f ca="1">INDEX(OFFSET('Adverse (r-g)'!$D$1:$W$1,$D30-1,0),MATCH(V$4,'Adverse (r-g)'!$D$10:$W$10,0))</f>
        <v>53.236472015569213</v>
      </c>
      <c r="W30" s="331">
        <f ca="1">INDEX(OFFSET('Adverse (r-g)'!$D$1:$W$1,$D30-1,0),MATCH(W$4,'Adverse (r-g)'!$D$10:$W$10,0))</f>
        <v>51.377986346357162</v>
      </c>
      <c r="X30" s="331">
        <f ca="1">INDEX(OFFSET('Adverse (r-g)'!$D$1:$W$1,$D30-1,0),MATCH(X$4,'Adverse (r-g)'!$D$10:$W$10,0))</f>
        <v>49.568587482255381</v>
      </c>
      <c r="Y30" s="270"/>
    </row>
    <row r="31" spans="1:25" x14ac:dyDescent="0.25">
      <c r="A31" s="270"/>
      <c r="B31" s="338">
        <v>7</v>
      </c>
      <c r="C31" s="342" t="s">
        <v>91</v>
      </c>
      <c r="D31" s="343">
        <v>37</v>
      </c>
      <c r="E31" s="344" t="s">
        <v>222</v>
      </c>
      <c r="F31" s="331">
        <f ca="1">INDEX(OFFSET('Adverse (r-g)'!$D$1:$W$1,$D31-1,0),MATCH(F$4,'Adverse (r-g)'!$D$10:$W$10,0))</f>
        <v>3.08</v>
      </c>
      <c r="G31" s="331">
        <f ca="1">INDEX(OFFSET('Adverse (r-g)'!$D$1:$W$1,$D31-1,0),MATCH(G$4,'Adverse (r-g)'!$D$10:$W$10,0))</f>
        <v>2.8521350000000001</v>
      </c>
      <c r="H31" s="331">
        <f ca="1">INDEX(OFFSET('Adverse (r-g)'!$D$1:$W$1,$D31-1,0),MATCH(H$4,'Adverse (r-g)'!$D$10:$W$10,0))</f>
        <v>2.809685</v>
      </c>
      <c r="I31" s="331">
        <f ca="1">INDEX(OFFSET('Adverse (r-g)'!$D$1:$W$1,$D31-1,0),MATCH(I$4,'Adverse (r-g)'!$D$10:$W$10,0))</f>
        <v>2.9436909999999998</v>
      </c>
      <c r="J31" s="331">
        <f ca="1">INDEX(OFFSET('Adverse (r-g)'!$D$1:$W$1,$D31-1,0),MATCH(J$4,'Adverse (r-g)'!$D$10:$W$10,0))</f>
        <v>3.0060458749999999</v>
      </c>
      <c r="K31" s="331">
        <f ca="1">INDEX(OFFSET('Adverse (r-g)'!$D$1:$W$1,$D31-1,0),MATCH(K$4,'Adverse (r-g)'!$D$10:$W$10,0))</f>
        <v>3.0684007499999999</v>
      </c>
      <c r="L31" s="331">
        <f ca="1">INDEX(OFFSET('Adverse (r-g)'!$D$1:$W$1,$D31-1,0),MATCH(L$4,'Adverse (r-g)'!$D$10:$W$10,0))</f>
        <v>3.6307556249999999</v>
      </c>
      <c r="M31" s="331">
        <f ca="1">INDEX(OFFSET('Adverse (r-g)'!$D$1:$W$1,$D31-1,0),MATCH(M$4,'Adverse (r-g)'!$D$10:$W$10,0))</f>
        <v>3.6931105</v>
      </c>
      <c r="N31" s="331">
        <f ca="1">INDEX(OFFSET('Adverse (r-g)'!$D$1:$W$1,$D31-1,0),MATCH(N$4,'Adverse (r-g)'!$D$10:$W$10,0))</f>
        <v>3.755465375</v>
      </c>
      <c r="O31" s="331">
        <f ca="1">INDEX(OFFSET('Adverse (r-g)'!$D$1:$W$1,$D31-1,0),MATCH(O$4,'Adverse (r-g)'!$D$10:$W$10,0))</f>
        <v>3.81782025</v>
      </c>
      <c r="P31" s="331">
        <f ca="1">INDEX(OFFSET('Adverse (r-g)'!$D$1:$W$1,$D31-1,0),MATCH(P$4,'Adverse (r-g)'!$D$10:$W$10,0))</f>
        <v>3.8801751250000001</v>
      </c>
      <c r="Q31" s="331">
        <f ca="1">INDEX(OFFSET('Adverse (r-g)'!$D$1:$W$1,$D31-1,0),MATCH(Q$4,'Adverse (r-g)'!$D$10:$W$10,0))</f>
        <v>3.9425300000000001</v>
      </c>
      <c r="R31" s="331">
        <f ca="1">INDEX(OFFSET('Adverse (r-g)'!$D$1:$W$1,$D31-1,0),MATCH(R$4,'Adverse (r-g)'!$D$10:$W$10,0))</f>
        <v>3.9704035000000002</v>
      </c>
      <c r="S31" s="331">
        <f ca="1">INDEX(OFFSET('Adverse (r-g)'!$D$1:$W$1,$D31-1,0),MATCH(S$4,'Adverse (r-g)'!$D$10:$W$10,0))</f>
        <v>3.9982769999999999</v>
      </c>
      <c r="T31" s="331">
        <f ca="1">INDEX(OFFSET('Adverse (r-g)'!$D$1:$W$1,$D31-1,0),MATCH(T$4,'Adverse (r-g)'!$D$10:$W$10,0))</f>
        <v>4.0261505</v>
      </c>
      <c r="U31" s="331">
        <f ca="1">INDEX(OFFSET('Adverse (r-g)'!$D$1:$W$1,$D31-1,0),MATCH(U$4,'Adverse (r-g)'!$D$10:$W$10,0))</f>
        <v>4.0540240000000001</v>
      </c>
      <c r="V31" s="331">
        <f ca="1">INDEX(OFFSET('Adverse (r-g)'!$D$1:$W$1,$D31-1,0),MATCH(V$4,'Adverse (r-g)'!$D$10:$W$10,0))</f>
        <v>4.0818975000000002</v>
      </c>
      <c r="W31" s="331">
        <f ca="1">INDEX(OFFSET('Adverse (r-g)'!$D$1:$W$1,$D31-1,0),MATCH(W$4,'Adverse (r-g)'!$D$10:$W$10,0))</f>
        <v>4.1097710000000003</v>
      </c>
      <c r="X31" s="331">
        <f ca="1">INDEX(OFFSET('Adverse (r-g)'!$D$1:$W$1,$D31-1,0),MATCH(X$4,'Adverse (r-g)'!$D$10:$W$10,0))</f>
        <v>4.1376445000000004</v>
      </c>
      <c r="Y31" s="270"/>
    </row>
    <row r="32" spans="1:25" x14ac:dyDescent="0.25">
      <c r="A32" s="270"/>
      <c r="B32" s="338">
        <v>8</v>
      </c>
      <c r="C32" s="342" t="s">
        <v>92</v>
      </c>
      <c r="D32" s="343">
        <v>38</v>
      </c>
      <c r="E32" s="344" t="s">
        <v>222</v>
      </c>
      <c r="F32" s="331">
        <f ca="1">INDEX(OFFSET('Adverse (r-g)'!$D$1:$W$1,$D32-1,0),MATCH(F$4,'Adverse (r-g)'!$D$10:$W$10,0))</f>
        <v>3.43</v>
      </c>
      <c r="G32" s="331">
        <f ca="1">INDEX(OFFSET('Adverse (r-g)'!$D$1:$W$1,$D32-1,0),MATCH(G$4,'Adverse (r-g)'!$D$10:$W$10,0))</f>
        <v>3.5292500000000002</v>
      </c>
      <c r="H32" s="331">
        <f ca="1">INDEX(OFFSET('Adverse (r-g)'!$D$1:$W$1,$D32-1,0),MATCH(H$4,'Adverse (r-g)'!$D$10:$W$10,0))</f>
        <v>2.0662500000000001</v>
      </c>
      <c r="I32" s="331">
        <f ca="1">INDEX(OFFSET('Adverse (r-g)'!$D$1:$W$1,$D32-1,0),MATCH(I$4,'Adverse (r-g)'!$D$10:$W$10,0))</f>
        <v>1.9957499999999999</v>
      </c>
      <c r="J32" s="331">
        <f ca="1">INDEX(OFFSET('Adverse (r-g)'!$D$1:$W$1,$D32-1,0),MATCH(J$4,'Adverse (r-g)'!$D$10:$W$10,0))</f>
        <v>2.079285</v>
      </c>
      <c r="K32" s="331">
        <f ca="1">INDEX(OFFSET('Adverse (r-g)'!$D$1:$W$1,$D32-1,0),MATCH(K$4,'Adverse (r-g)'!$D$10:$W$10,0))</f>
        <v>2.16282</v>
      </c>
      <c r="L32" s="331">
        <f ca="1">INDEX(OFFSET('Adverse (r-g)'!$D$1:$W$1,$D32-1,0),MATCH(L$4,'Adverse (r-g)'!$D$10:$W$10,0))</f>
        <v>2.7463549999999999</v>
      </c>
      <c r="M32" s="331">
        <f ca="1">INDEX(OFFSET('Adverse (r-g)'!$D$1:$W$1,$D32-1,0),MATCH(M$4,'Adverse (r-g)'!$D$10:$W$10,0))</f>
        <v>2.8298899999999998</v>
      </c>
      <c r="N32" s="331">
        <f ca="1">INDEX(OFFSET('Adverse (r-g)'!$D$1:$W$1,$D32-1,0),MATCH(N$4,'Adverse (r-g)'!$D$10:$W$10,0))</f>
        <v>2.9134250000000002</v>
      </c>
      <c r="O32" s="331">
        <f ca="1">INDEX(OFFSET('Adverse (r-g)'!$D$1:$W$1,$D32-1,0),MATCH(O$4,'Adverse (r-g)'!$D$10:$W$10,0))</f>
        <v>2.9969599999999996</v>
      </c>
      <c r="P32" s="331">
        <f ca="1">INDEX(OFFSET('Adverse (r-g)'!$D$1:$W$1,$D32-1,0),MATCH(P$4,'Adverse (r-g)'!$D$10:$W$10,0))</f>
        <v>3.080495</v>
      </c>
      <c r="Q32" s="331">
        <f ca="1">INDEX(OFFSET('Adverse (r-g)'!$D$1:$W$1,$D32-1,0),MATCH(Q$4,'Adverse (r-g)'!$D$10:$W$10,0))</f>
        <v>3.1640299999999999</v>
      </c>
      <c r="R32" s="331">
        <f ca="1">INDEX(OFFSET('Adverse (r-g)'!$D$1:$W$1,$D32-1,0),MATCH(R$4,'Adverse (r-g)'!$D$10:$W$10,0))</f>
        <v>3.1308284999999998</v>
      </c>
      <c r="S32" s="331">
        <f ca="1">INDEX(OFFSET('Adverse (r-g)'!$D$1:$W$1,$D32-1,0),MATCH(S$4,'Adverse (r-g)'!$D$10:$W$10,0))</f>
        <v>3.0976270000000001</v>
      </c>
      <c r="T32" s="331">
        <f ca="1">INDEX(OFFSET('Adverse (r-g)'!$D$1:$W$1,$D32-1,0),MATCH(T$4,'Adverse (r-g)'!$D$10:$W$10,0))</f>
        <v>3.0644255</v>
      </c>
      <c r="U32" s="331">
        <f ca="1">INDEX(OFFSET('Adverse (r-g)'!$D$1:$W$1,$D32-1,0),MATCH(U$4,'Adverse (r-g)'!$D$10:$W$10,0))</f>
        <v>3.0312239999999999</v>
      </c>
      <c r="V32" s="331">
        <f ca="1">INDEX(OFFSET('Adverse (r-g)'!$D$1:$W$1,$D32-1,0),MATCH(V$4,'Adverse (r-g)'!$D$10:$W$10,0))</f>
        <v>2.9980224999999998</v>
      </c>
      <c r="W32" s="331">
        <f ca="1">INDEX(OFFSET('Adverse (r-g)'!$D$1:$W$1,$D32-1,0),MATCH(W$4,'Adverse (r-g)'!$D$10:$W$10,0))</f>
        <v>2.9648209999999997</v>
      </c>
      <c r="X32" s="331">
        <f ca="1">INDEX(OFFSET('Adverse (r-g)'!$D$1:$W$1,$D32-1,0),MATCH(X$4,'Adverse (r-g)'!$D$10:$W$10,0))</f>
        <v>2.9316195</v>
      </c>
      <c r="Y32" s="270"/>
    </row>
    <row r="33" spans="1:25" x14ac:dyDescent="0.25">
      <c r="A33" s="270"/>
      <c r="B33" s="338">
        <v>9</v>
      </c>
      <c r="C33" s="334" t="s">
        <v>226</v>
      </c>
      <c r="D33" s="343">
        <v>23</v>
      </c>
      <c r="E33" s="344" t="s">
        <v>225</v>
      </c>
      <c r="F33" s="331">
        <f ca="1">INDEX(OFFSET('Adverse (r-g)'!$D$1:$W$1,$D33-1,0),MATCH(F$4,'Adverse (r-g)'!$D$10:$W$10,0))</f>
        <v>-0.95496390000001652</v>
      </c>
      <c r="G33" s="331">
        <f ca="1">INDEX(OFFSET('Adverse (r-g)'!$D$1:$W$1,$D33-1,0),MATCH(G$4,'Adverse (r-g)'!$D$10:$W$10,0))</f>
        <v>-0.6216478999999997</v>
      </c>
      <c r="H33" s="331">
        <f ca="1">INDEX(OFFSET('Adverse (r-g)'!$D$1:$W$1,$D33-1,0),MATCH(H$4,'Adverse (r-g)'!$D$10:$W$10,0))</f>
        <v>6.5578799999999049E-2</v>
      </c>
      <c r="I33" s="331">
        <f ca="1">INDEX(OFFSET('Adverse (r-g)'!$D$1:$W$1,$D33-1,0),MATCH(I$4,'Adverse (r-g)'!$D$10:$W$10,0))</f>
        <v>0.89675414743108917</v>
      </c>
      <c r="J33" s="331">
        <f ca="1">INDEX(OFFSET('Adverse (r-g)'!$D$1:$W$1,$D33-1,0),MATCH(J$4,'Adverse (r-g)'!$D$10:$W$10,0))</f>
        <v>0.99358099372228725</v>
      </c>
      <c r="K33" s="331">
        <f ca="1">INDEX(OFFSET('Adverse (r-g)'!$D$1:$W$1,$D33-1,0),MATCH(K$4,'Adverse (r-g)'!$D$10:$W$10,0))</f>
        <v>0.94381756134878092</v>
      </c>
      <c r="L33" s="331">
        <f ca="1">INDEX(OFFSET('Adverse (r-g)'!$D$1:$W$1,$D33-1,0),MATCH(L$4,'Adverse (r-g)'!$D$10:$W$10,0))</f>
        <v>1.2245396472357672</v>
      </c>
      <c r="M33" s="331">
        <f ca="1">INDEX(OFFSET('Adverse (r-g)'!$D$1:$W$1,$D33-1,0),MATCH(M$4,'Adverse (r-g)'!$D$10:$W$10,0))</f>
        <v>1.3102920677346752</v>
      </c>
      <c r="N33" s="331">
        <f ca="1">INDEX(OFFSET('Adverse (r-g)'!$D$1:$W$1,$D33-1,0),MATCH(N$4,'Adverse (r-g)'!$D$10:$W$10,0))</f>
        <v>1.3161490710183354</v>
      </c>
      <c r="O33" s="331">
        <f ca="1">INDEX(OFFSET('Adverse (r-g)'!$D$1:$W$1,$D33-1,0),MATCH(O$4,'Adverse (r-g)'!$D$10:$W$10,0))</f>
        <v>0.61845799999999951</v>
      </c>
      <c r="P33" s="331">
        <f ca="1">INDEX(OFFSET('Adverse (r-g)'!$D$1:$W$1,$D33-1,0),MATCH(P$4,'Adverse (r-g)'!$D$10:$W$10,0))</f>
        <v>0.617182000000005</v>
      </c>
      <c r="Q33" s="331">
        <f ca="1">INDEX(OFFSET('Adverse (r-g)'!$D$1:$W$1,$D33-1,0),MATCH(Q$4,'Adverse (r-g)'!$D$10:$W$10,0))</f>
        <v>0.66184700000000429</v>
      </c>
      <c r="R33" s="331">
        <f ca="1">INDEX(OFFSET('Adverse (r-g)'!$D$1:$W$1,$D33-1,0),MATCH(R$4,'Adverse (r-g)'!$D$10:$W$10,0))</f>
        <v>0.74271299999999485</v>
      </c>
      <c r="S33" s="331">
        <f ca="1">INDEX(OFFSET('Adverse (r-g)'!$D$1:$W$1,$D33-1,0),MATCH(S$4,'Adverse (r-g)'!$D$10:$W$10,0))</f>
        <v>0.82358399999999943</v>
      </c>
      <c r="T33" s="331">
        <f ca="1">INDEX(OFFSET('Adverse (r-g)'!$D$1:$W$1,$D33-1,0),MATCH(T$4,'Adverse (r-g)'!$D$10:$W$10,0))</f>
        <v>0.90445599999999793</v>
      </c>
      <c r="U33" s="331">
        <f ca="1">INDEX(OFFSET('Adverse (r-g)'!$D$1:$W$1,$D33-1,0),MATCH(U$4,'Adverse (r-g)'!$D$10:$W$10,0))</f>
        <v>0.96817099999999545</v>
      </c>
      <c r="V33" s="331">
        <f ca="1">INDEX(OFFSET('Adverse (r-g)'!$D$1:$W$1,$D33-1,0),MATCH(V$4,'Adverse (r-g)'!$D$10:$W$10,0))</f>
        <v>1.033934000000003</v>
      </c>
      <c r="W33" s="331">
        <f ca="1">INDEX(OFFSET('Adverse (r-g)'!$D$1:$W$1,$D33-1,0),MATCH(W$4,'Adverse (r-g)'!$D$10:$W$10,0))</f>
        <v>1.0987120000000017</v>
      </c>
      <c r="X33" s="331">
        <f ca="1">INDEX(OFFSET('Adverse (r-g)'!$D$1:$W$1,$D33-1,0),MATCH(X$4,'Adverse (r-g)'!$D$10:$W$10,0))</f>
        <v>1.0829790000000061</v>
      </c>
      <c r="Y33" s="270"/>
    </row>
    <row r="34" spans="1:25" x14ac:dyDescent="0.25">
      <c r="A34" s="270"/>
      <c r="B34" s="338">
        <v>10</v>
      </c>
      <c r="C34" s="346" t="s">
        <v>62</v>
      </c>
      <c r="D34" s="343">
        <v>27</v>
      </c>
      <c r="E34" s="344" t="s">
        <v>225</v>
      </c>
      <c r="F34" s="331">
        <f ca="1">(INDEX(OFFSET('Adverse (r-g)'!$D$1:$W$1,$D34-1,0),MATCH(F$4,'Adverse (r-g)'!$D$10:$W$10,0))/INDEX(OFFSET('Adverse (r-g)'!$D$1:$W$1,$D34-1,0),MATCH(E$4,'Adverse (r-g)'!$D$10:$W$10,0))-1)*100</f>
        <v>1.0494510000000012</v>
      </c>
      <c r="G34" s="331">
        <f ca="1">(INDEX(OFFSET('Adverse (r-g)'!$D$1:$W$1,$D34-1,0),MATCH(G$4,'Adverse (r-g)'!$D$10:$W$10,0))/INDEX(OFFSET('Adverse (r-g)'!$D$1:$W$1,$D34-1,0),MATCH(F$4,'Adverse (r-g)'!$D$10:$W$10,0))-1)*100</f>
        <v>0.73931519999999029</v>
      </c>
      <c r="H34" s="331">
        <f ca="1">(INDEX(OFFSET('Adverse (r-g)'!$D$1:$W$1,$D34-1,0),MATCH(H$4,'Adverse (r-g)'!$D$10:$W$10,0))/INDEX(OFFSET('Adverse (r-g)'!$D$1:$W$1,$D34-1,0),MATCH(G$4,'Adverse (r-g)'!$D$10:$W$10,0))-1)*100</f>
        <v>0.70466270000000275</v>
      </c>
      <c r="I34" s="331">
        <f ca="1">(INDEX(OFFSET('Adverse (r-g)'!$D$1:$W$1,$D34-1,0),MATCH(I$4,'Adverse (r-g)'!$D$10:$W$10,0))/INDEX(OFFSET('Adverse (r-g)'!$D$1:$W$1,$D34-1,0),MATCH(H$4,'Adverse (r-g)'!$D$10:$W$10,0))-1)*100</f>
        <v>0.81713299999999212</v>
      </c>
      <c r="J34" s="331">
        <f ca="1">(INDEX(OFFSET('Adverse (r-g)'!$D$1:$W$1,$D34-1,0),MATCH(J$4,'Adverse (r-g)'!$D$10:$W$10,0))/INDEX(OFFSET('Adverse (r-g)'!$D$1:$W$1,$D34-1,0),MATCH(I$4,'Adverse (r-g)'!$D$10:$W$10,0))-1)*100</f>
        <v>1.0657389999999989</v>
      </c>
      <c r="K34" s="331">
        <f ca="1">(INDEX(OFFSET('Adverse (r-g)'!$D$1:$W$1,$D34-1,0),MATCH(K$4,'Adverse (r-g)'!$D$10:$W$10,0))/INDEX(OFFSET('Adverse (r-g)'!$D$1:$W$1,$D34-1,0),MATCH(J$4,'Adverse (r-g)'!$D$10:$W$10,0))-1)*100</f>
        <v>0.99193410000000259</v>
      </c>
      <c r="L34" s="331">
        <f ca="1">(INDEX(OFFSET('Adverse (r-g)'!$D$1:$W$1,$D34-1,0),MATCH(L$4,'Adverse (r-g)'!$D$10:$W$10,0))/INDEX(OFFSET('Adverse (r-g)'!$D$1:$W$1,$D34-1,0),MATCH(K$4,'Adverse (r-g)'!$D$10:$W$10,0))-1)*100</f>
        <v>0.5245370000000138</v>
      </c>
      <c r="M34" s="331">
        <f ca="1">(INDEX(OFFSET('Adverse (r-g)'!$D$1:$W$1,$D34-1,0),MATCH(M$4,'Adverse (r-g)'!$D$10:$W$10,0))/INDEX(OFFSET('Adverse (r-g)'!$D$1:$W$1,$D34-1,0),MATCH(L$4,'Adverse (r-g)'!$D$10:$W$10,0))-1)*100</f>
        <v>0.6145080000000025</v>
      </c>
      <c r="N34" s="331">
        <f ca="1">(INDEX(OFFSET('Adverse (r-g)'!$D$1:$W$1,$D34-1,0),MATCH(N$4,'Adverse (r-g)'!$D$10:$W$10,0))/INDEX(OFFSET('Adverse (r-g)'!$D$1:$W$1,$D34-1,0),MATCH(M$4,'Adverse (r-g)'!$D$10:$W$10,0))-1)*100</f>
        <v>0.62507100000002147</v>
      </c>
      <c r="O34" s="331">
        <f ca="1">(INDEX(OFFSET('Adverse (r-g)'!$D$1:$W$1,$D34-1,0),MATCH(O$4,'Adverse (r-g)'!$D$10:$W$10,0))/INDEX(OFFSET('Adverse (r-g)'!$D$1:$W$1,$D34-1,0),MATCH(N$4,'Adverse (r-g)'!$D$10:$W$10,0))-1)*100</f>
        <v>0.61846000000000956</v>
      </c>
      <c r="P34" s="331">
        <f ca="1">(INDEX(OFFSET('Adverse (r-g)'!$D$1:$W$1,$D34-1,0),MATCH(P$4,'Adverse (r-g)'!$D$10:$W$10,0))/INDEX(OFFSET('Adverse (r-g)'!$D$1:$W$1,$D34-1,0),MATCH(O$4,'Adverse (r-g)'!$D$10:$W$10,0))-1)*100</f>
        <v>0.61718400000001505</v>
      </c>
      <c r="Q34" s="331">
        <f ca="1">(INDEX(OFFSET('Adverse (r-g)'!$D$1:$W$1,$D34-1,0),MATCH(Q$4,'Adverse (r-g)'!$D$10:$W$10,0))/INDEX(OFFSET('Adverse (r-g)'!$D$1:$W$1,$D34-1,0),MATCH(P$4,'Adverse (r-g)'!$D$10:$W$10,0))-1)*100</f>
        <v>0.66184500000001645</v>
      </c>
      <c r="R34" s="331">
        <f ca="1">(INDEX(OFFSET('Adverse (r-g)'!$D$1:$W$1,$D34-1,0),MATCH(R$4,'Adverse (r-g)'!$D$10:$W$10,0))/INDEX(OFFSET('Adverse (r-g)'!$D$1:$W$1,$D34-1,0),MATCH(Q$4,'Adverse (r-g)'!$D$10:$W$10,0))-1)*100</f>
        <v>0.74271600000002103</v>
      </c>
      <c r="S34" s="331">
        <f ca="1">(INDEX(OFFSET('Adverse (r-g)'!$D$1:$W$1,$D34-1,0),MATCH(S$4,'Adverse (r-g)'!$D$10:$W$10,0))/INDEX(OFFSET('Adverse (r-g)'!$D$1:$W$1,$D34-1,0),MATCH(R$4,'Adverse (r-g)'!$D$10:$W$10,0))-1)*100</f>
        <v>0.8235870000000034</v>
      </c>
      <c r="T34" s="331">
        <f ca="1">(INDEX(OFFSET('Adverse (r-g)'!$D$1:$W$1,$D34-1,0),MATCH(T$4,'Adverse (r-g)'!$D$10:$W$10,0))/INDEX(OFFSET('Adverse (r-g)'!$D$1:$W$1,$D34-1,0),MATCH(S$4,'Adverse (r-g)'!$D$10:$W$10,0))-1)*100</f>
        <v>0.9044590000000019</v>
      </c>
      <c r="U34" s="331">
        <f ca="1">(INDEX(OFFSET('Adverse (r-g)'!$D$1:$W$1,$D34-1,0),MATCH(U$4,'Adverse (r-g)'!$D$10:$W$10,0))/INDEX(OFFSET('Adverse (r-g)'!$D$1:$W$1,$D34-1,0),MATCH(T$4,'Adverse (r-g)'!$D$10:$W$10,0))-1)*100</f>
        <v>0.96816700000001976</v>
      </c>
      <c r="V34" s="331">
        <f ca="1">(INDEX(OFFSET('Adverse (r-g)'!$D$1:$W$1,$D34-1,0),MATCH(V$4,'Adverse (r-g)'!$D$10:$W$10,0))/INDEX(OFFSET('Adverse (r-g)'!$D$1:$W$1,$D34-1,0),MATCH(U$4,'Adverse (r-g)'!$D$10:$W$10,0))-1)*100</f>
        <v>1.0339350000000191</v>
      </c>
      <c r="W34" s="331">
        <f ca="1">(INDEX(OFFSET('Adverse (r-g)'!$D$1:$W$1,$D34-1,0),MATCH(W$4,'Adverse (r-g)'!$D$10:$W$10,0))/INDEX(OFFSET('Adverse (r-g)'!$D$1:$W$1,$D34-1,0),MATCH(V$4,'Adverse (r-g)'!$D$10:$W$10,0))-1)*100</f>
        <v>1.0987090000000199</v>
      </c>
      <c r="X34" s="331">
        <f ca="1">(INDEX(OFFSET('Adverse (r-g)'!$D$1:$W$1,$D34-1,0),MATCH(X$4,'Adverse (r-g)'!$D$10:$W$10,0))/INDEX(OFFSET('Adverse (r-g)'!$D$1:$W$1,$D34-1,0),MATCH(W$4,'Adverse (r-g)'!$D$10:$W$10,0))-1)*100</f>
        <v>1.0829760000000022</v>
      </c>
      <c r="Y34" s="270"/>
    </row>
    <row r="35" spans="1:25" x14ac:dyDescent="0.25">
      <c r="A35" s="270"/>
      <c r="B35" s="338"/>
      <c r="C35" s="336" t="s">
        <v>231</v>
      </c>
      <c r="D35" s="336"/>
      <c r="E35" s="340">
        <f>F35-1</f>
        <v>2032</v>
      </c>
      <c r="F35" s="349">
        <f>'Input data'!$C$6+5</f>
        <v>2033</v>
      </c>
      <c r="G35" s="270"/>
      <c r="H35" s="270"/>
      <c r="I35" s="270"/>
      <c r="J35" s="270"/>
      <c r="K35" s="270"/>
      <c r="L35" s="270"/>
      <c r="M35" s="270"/>
      <c r="N35" s="270"/>
      <c r="O35" s="270"/>
      <c r="P35" s="270"/>
      <c r="Q35" s="270"/>
      <c r="R35" s="270"/>
      <c r="S35" s="270"/>
      <c r="T35" s="270"/>
      <c r="U35" s="270"/>
      <c r="V35" s="270"/>
      <c r="W35" s="270"/>
      <c r="X35" s="270"/>
      <c r="Y35" s="270"/>
    </row>
    <row r="36" spans="1:25" x14ac:dyDescent="0.25">
      <c r="A36" s="270"/>
      <c r="B36" s="338">
        <v>11</v>
      </c>
      <c r="C36" s="342" t="s">
        <v>232</v>
      </c>
      <c r="D36" s="355" t="s">
        <v>236</v>
      </c>
      <c r="E36" s="344" t="s">
        <v>222</v>
      </c>
      <c r="F36" s="331" t="str">
        <f ca="1">IF(ISERROR(I36),"&lt;10",IF(I36=5,"90&lt;",V36+(H36-W36)*$T$36))</f>
        <v>90&lt;</v>
      </c>
      <c r="G36" s="361"/>
      <c r="H36" s="351">
        <f>INDEX(Stochastic!$C$11:$W$11,MATCH('Input data'!$C$6,Stochastic!$C$10:$W$10,0))</f>
        <v>77.440287313107248</v>
      </c>
      <c r="I36" s="352">
        <f ca="1">MATCH($H$36,OFFSET(Stochastic!$F$14:$F$18,0,'Input data'!$C$6-'Input data'!$C$5+5),1)</f>
        <v>5</v>
      </c>
      <c r="J36" s="352" t="str" cm="1">
        <f t="array" aca="1" ref="J36" ca="1">MID(INDEX(Stochastic!$B$14:$B$18,$I$36),2,2)</f>
        <v>90</v>
      </c>
      <c r="K36" s="351" cm="1">
        <f t="array" aca="1" ref="K36" ca="1">INDEX(OFFSET(Stochastic!$F$14:$F$18,0,'Input data'!$C$6-'Input data'!$C$5+5),$I$36)</f>
        <v>77.117513286959223</v>
      </c>
      <c r="L36" s="352" t="e" cm="1">
        <f t="array" aca="1" ref="L36" ca="1">MID(INDEX(Stochastic!$B$14:$B$18,$I$36+1),2,2)</f>
        <v>#REF!</v>
      </c>
      <c r="M36" s="351" t="e" cm="1">
        <f t="array" aca="1" ref="M36" ca="1">INDEX(OFFSET(Stochastic!$F$14:$F$18,0,'Input data'!$C$6-'Input data'!$C$5+5),$I$36+1)</f>
        <v>#REF!</v>
      </c>
      <c r="N36" s="351"/>
      <c r="O36" s="352">
        <f ca="1">IF(ISERROR($I$36),1,4)</f>
        <v>4</v>
      </c>
      <c r="P36" s="352">
        <f ca="1">IF(ISERROR($I$36),10,70)</f>
        <v>70</v>
      </c>
      <c r="Q36" s="351" cm="1">
        <f t="array" aca="1" ref="Q36" ca="1">INDEX(OFFSET(Stochastic!$F$14:$F$18,0,'Input data'!$C$6-'Input data'!$C$5+5),$O$36)</f>
        <v>68.747090923677973</v>
      </c>
      <c r="R36" s="352">
        <f ca="1">P36+20</f>
        <v>90</v>
      </c>
      <c r="S36" s="351" cm="1">
        <f t="array" aca="1" ref="S36" ca="1">INDEX(OFFSET(Stochastic!$F$14:$F$18,0,'Input data'!$C$6-'Input data'!$C$5+5),$O$36+1)</f>
        <v>77.117513286959223</v>
      </c>
      <c r="T36" s="356">
        <f ca="1">IF($I$36=5,20/(S36-Q36),IF(ISERROR($I$36),20/(S36-Q36),20/(M36-K36)))</f>
        <v>2.3893656893270432</v>
      </c>
      <c r="U36" s="108"/>
      <c r="V36" s="362" t="str">
        <f ca="1">IFERROR($J$36,10)</f>
        <v>90</v>
      </c>
      <c r="W36" s="363">
        <f ca="1">IF($V$36=10,$Q$36,$K$36)</f>
        <v>77.117513286959223</v>
      </c>
      <c r="X36" s="362"/>
      <c r="Y36" s="108"/>
    </row>
    <row r="37" spans="1:25" x14ac:dyDescent="0.25">
      <c r="A37" s="270"/>
      <c r="B37" s="332"/>
      <c r="C37" s="353"/>
      <c r="D37" s="353"/>
      <c r="E37" s="353"/>
      <c r="F37" s="353"/>
      <c r="G37" s="353"/>
      <c r="H37" s="353"/>
      <c r="I37" s="353"/>
      <c r="J37" s="353"/>
      <c r="K37" s="270"/>
      <c r="L37" s="270"/>
      <c r="M37" s="270"/>
      <c r="N37" s="270"/>
      <c r="O37" s="270"/>
      <c r="P37" s="270"/>
      <c r="Q37" s="361"/>
      <c r="R37" s="361"/>
      <c r="S37" s="361"/>
      <c r="T37" s="361"/>
      <c r="U37" s="361"/>
      <c r="V37" s="361"/>
      <c r="W37" s="270"/>
      <c r="X37" s="270"/>
      <c r="Y37" s="270"/>
    </row>
    <row r="38" spans="1:25" x14ac:dyDescent="0.25">
      <c r="A38" s="270"/>
      <c r="B38" s="354"/>
      <c r="C38" s="336" t="s">
        <v>233</v>
      </c>
      <c r="D38" s="337"/>
      <c r="E38" s="337"/>
      <c r="F38" s="348"/>
      <c r="G38" s="270"/>
      <c r="H38" s="270"/>
      <c r="I38" s="270"/>
      <c r="J38" s="270"/>
      <c r="K38" s="270"/>
      <c r="L38" s="270"/>
      <c r="M38" s="270"/>
      <c r="N38" s="270"/>
      <c r="O38" s="270"/>
      <c r="P38" s="270"/>
      <c r="Q38" s="270"/>
      <c r="R38" s="270"/>
      <c r="S38" s="270"/>
      <c r="T38" s="270"/>
      <c r="U38" s="270"/>
      <c r="V38" s="270"/>
      <c r="W38" s="270"/>
      <c r="X38" s="270"/>
      <c r="Y38" s="270"/>
    </row>
    <row r="39" spans="1:25" x14ac:dyDescent="0.25">
      <c r="A39" s="270"/>
      <c r="B39" s="332"/>
      <c r="C39" s="353"/>
      <c r="D39" s="353"/>
      <c r="E39" s="353"/>
      <c r="F39" s="353"/>
      <c r="G39" s="353"/>
      <c r="H39" s="353"/>
      <c r="I39" s="353"/>
      <c r="J39" s="353"/>
      <c r="K39" s="270"/>
      <c r="L39" s="270"/>
      <c r="M39" s="270"/>
      <c r="N39" s="270"/>
      <c r="O39" s="270"/>
      <c r="P39" s="270"/>
      <c r="Q39" s="270"/>
      <c r="R39" s="270"/>
      <c r="S39" s="270"/>
      <c r="T39" s="270"/>
      <c r="U39" s="270"/>
      <c r="V39" s="270"/>
      <c r="W39" s="270"/>
      <c r="X39" s="270"/>
      <c r="Y39" s="270"/>
    </row>
    <row r="40" spans="1:25" x14ac:dyDescent="0.25">
      <c r="A40" s="270"/>
      <c r="B40" s="338"/>
      <c r="C40" s="336"/>
      <c r="D40" s="336"/>
      <c r="E40" s="341"/>
      <c r="F40" s="341">
        <f>'Input data'!$C$5-1</f>
        <v>2023</v>
      </c>
      <c r="G40" s="341">
        <f>F40+1</f>
        <v>2024</v>
      </c>
      <c r="H40" s="341">
        <f t="shared" ref="H40:X40" si="4">G40+1</f>
        <v>2025</v>
      </c>
      <c r="I40" s="341">
        <f t="shared" si="4"/>
        <v>2026</v>
      </c>
      <c r="J40" s="341">
        <f t="shared" si="4"/>
        <v>2027</v>
      </c>
      <c r="K40" s="341">
        <f t="shared" si="4"/>
        <v>2028</v>
      </c>
      <c r="L40" s="341">
        <f t="shared" si="4"/>
        <v>2029</v>
      </c>
      <c r="M40" s="341">
        <f t="shared" si="4"/>
        <v>2030</v>
      </c>
      <c r="N40" s="341">
        <f t="shared" si="4"/>
        <v>2031</v>
      </c>
      <c r="O40" s="341">
        <f t="shared" si="4"/>
        <v>2032</v>
      </c>
      <c r="P40" s="341">
        <f t="shared" si="4"/>
        <v>2033</v>
      </c>
      <c r="Q40" s="341">
        <f t="shared" si="4"/>
        <v>2034</v>
      </c>
      <c r="R40" s="341">
        <f t="shared" si="4"/>
        <v>2035</v>
      </c>
      <c r="S40" s="341">
        <f t="shared" si="4"/>
        <v>2036</v>
      </c>
      <c r="T40" s="341">
        <f t="shared" si="4"/>
        <v>2037</v>
      </c>
      <c r="U40" s="341">
        <f t="shared" si="4"/>
        <v>2038</v>
      </c>
      <c r="V40" s="341">
        <f t="shared" si="4"/>
        <v>2039</v>
      </c>
      <c r="W40" s="341">
        <f t="shared" si="4"/>
        <v>2040</v>
      </c>
      <c r="X40" s="341">
        <f t="shared" si="4"/>
        <v>2041</v>
      </c>
      <c r="Y40" s="270"/>
    </row>
    <row r="41" spans="1:25" x14ac:dyDescent="0.25">
      <c r="A41" s="270"/>
      <c r="B41" s="338">
        <v>1</v>
      </c>
      <c r="C41" s="342" t="s">
        <v>215</v>
      </c>
      <c r="D41" s="343">
        <v>56</v>
      </c>
      <c r="E41" s="344" t="s">
        <v>216</v>
      </c>
      <c r="F41" s="331">
        <f ca="1">INDEX(OFFSET('Baseline NFPC'!$D$1:$W$1,$D41-1,0),MATCH(F$4,'Baseline NFPC'!$D$10:$W$10,0))</f>
        <v>78.551901298157986</v>
      </c>
      <c r="G41" s="331">
        <f ca="1">INDEX(OFFSET('Baseline NFPC'!$D$1:$W$1,$D41-1,0),MATCH(G$4,'Baseline NFPC'!$D$10:$W$10,0))</f>
        <v>79.538050043568091</v>
      </c>
      <c r="H41" s="331">
        <f ca="1">INDEX(OFFSET('Baseline NFPC'!$D$1:$W$1,$D41-1,0),MATCH(H$4,'Baseline NFPC'!$D$10:$W$10,0))</f>
        <v>81.103648753972152</v>
      </c>
      <c r="I41" s="331">
        <f ca="1">INDEX(OFFSET('Baseline NFPC'!$D$1:$W$1,$D41-1,0),MATCH(I$4,'Baseline NFPC'!$D$10:$W$10,0))</f>
        <v>82.346816854482967</v>
      </c>
      <c r="J41" s="331">
        <f ca="1">INDEX(OFFSET('Baseline NFPC'!$D$1:$W$1,$D41-1,0),MATCH(J$4,'Baseline NFPC'!$D$10:$W$10,0))</f>
        <v>83.685624788627408</v>
      </c>
      <c r="K41" s="331">
        <f ca="1">INDEX(OFFSET('Baseline NFPC'!$D$1:$W$1,$D41-1,0),MATCH(K$4,'Baseline NFPC'!$D$10:$W$10,0))</f>
        <v>85.13008691493205</v>
      </c>
      <c r="L41" s="331">
        <f ca="1">INDEX(OFFSET('Baseline NFPC'!$D$1:$W$1,$D41-1,0),MATCH(L$4,'Baseline NFPC'!$D$10:$W$10,0))</f>
        <v>86.551547339642326</v>
      </c>
      <c r="M41" s="331">
        <f ca="1">INDEX(OFFSET('Baseline NFPC'!$D$1:$W$1,$D41-1,0),MATCH(M$4,'Baseline NFPC'!$D$10:$W$10,0))</f>
        <v>88.252350680787899</v>
      </c>
      <c r="N41" s="331">
        <f ca="1">INDEX(OFFSET('Baseline NFPC'!$D$1:$W$1,$D41-1,0),MATCH(N$4,'Baseline NFPC'!$D$10:$W$10,0))</f>
        <v>90.083900230628458</v>
      </c>
      <c r="O41" s="331">
        <f ca="1">INDEX(OFFSET('Baseline NFPC'!$D$1:$W$1,$D41-1,0),MATCH(O$4,'Baseline NFPC'!$D$10:$W$10,0))</f>
        <v>92.048535743907422</v>
      </c>
      <c r="P41" s="331">
        <f ca="1">INDEX(OFFSET('Baseline NFPC'!$D$1:$W$1,$D41-1,0),MATCH(P$4,'Baseline NFPC'!$D$10:$W$10,0))</f>
        <v>94.095948946978879</v>
      </c>
      <c r="Q41" s="331">
        <f ca="1">INDEX(OFFSET('Baseline NFPC'!$D$1:$W$1,$D41-1,0),MATCH(Q$4,'Baseline NFPC'!$D$10:$W$10,0))</f>
        <v>96.21094737665689</v>
      </c>
      <c r="R41" s="331">
        <f ca="1">INDEX(OFFSET('Baseline NFPC'!$D$1:$W$1,$D41-1,0),MATCH(R$4,'Baseline NFPC'!$D$10:$W$10,0))</f>
        <v>98.382509443827914</v>
      </c>
      <c r="S41" s="331">
        <f ca="1">INDEX(OFFSET('Baseline NFPC'!$D$1:$W$1,$D41-1,0),MATCH(S$4,'Baseline NFPC'!$D$10:$W$10,0))</f>
        <v>100.58691520000578</v>
      </c>
      <c r="T41" s="331">
        <f ca="1">INDEX(OFFSET('Baseline NFPC'!$D$1:$W$1,$D41-1,0),MATCH(T$4,'Baseline NFPC'!$D$10:$W$10,0))</f>
        <v>102.80776089381729</v>
      </c>
      <c r="U41" s="331">
        <f ca="1">INDEX(OFFSET('Baseline NFPC'!$D$1:$W$1,$D41-1,0),MATCH(U$4,'Baseline NFPC'!$D$10:$W$10,0))</f>
        <v>105.04107640019653</v>
      </c>
      <c r="V41" s="331">
        <f ca="1">INDEX(OFFSET('Baseline NFPC'!$D$1:$W$1,$D41-1,0),MATCH(V$4,'Baseline NFPC'!$D$10:$W$10,0))</f>
        <v>107.2724966129213</v>
      </c>
      <c r="W41" s="331">
        <f ca="1">INDEX(OFFSET('Baseline NFPC'!$D$1:$W$1,$D41-1,0),MATCH(W$4,'Baseline NFPC'!$D$10:$W$10,0))</f>
        <v>109.48606998407627</v>
      </c>
      <c r="X41" s="331">
        <f ca="1">INDEX(OFFSET('Baseline NFPC'!$D$1:$W$1,$D41-1,0),MATCH(X$4,'Baseline NFPC'!$D$10:$W$10,0))</f>
        <v>111.7711962976054</v>
      </c>
      <c r="Y41" s="270"/>
    </row>
    <row r="42" spans="1:25" x14ac:dyDescent="0.25">
      <c r="A42" s="270"/>
      <c r="B42" s="338">
        <v>2</v>
      </c>
      <c r="C42" s="342" t="s">
        <v>217</v>
      </c>
      <c r="D42" s="343">
        <v>76</v>
      </c>
      <c r="E42" s="344" t="s">
        <v>216</v>
      </c>
      <c r="F42" s="331">
        <f ca="1">INDEX(OFFSET('Baseline NFPC'!$D$1:$W$1,$D42-1,0),MATCH(F$4,'Baseline NFPC'!$D$10:$W$10,0))</f>
        <v>-2.6198642520789712</v>
      </c>
      <c r="G42" s="331">
        <f ca="1">INDEX(OFFSET('Baseline NFPC'!$D$1:$W$1,$D42-1,0),MATCH(G$4,'Baseline NFPC'!$D$10:$W$10,0))</f>
        <v>-3.6046387709519001</v>
      </c>
      <c r="H42" s="331">
        <f ca="1">INDEX(OFFSET('Baseline NFPC'!$D$1:$W$1,$D42-1,0),MATCH(H$4,'Baseline NFPC'!$D$10:$W$10,0))</f>
        <v>-3.861552524872562</v>
      </c>
      <c r="I42" s="331">
        <f ca="1">INDEX(OFFSET('Baseline NFPC'!$D$1:$W$1,$D42-1,0),MATCH(I$4,'Baseline NFPC'!$D$10:$W$10,0))</f>
        <v>-3.7230358032473529</v>
      </c>
      <c r="J42" s="331">
        <f ca="1">INDEX(OFFSET('Baseline NFPC'!$D$1:$W$1,$D42-1,0),MATCH(J$4,'Baseline NFPC'!$D$10:$W$10,0))</f>
        <v>-3.9527995887318093</v>
      </c>
      <c r="K42" s="331">
        <f ca="1">INDEX(OFFSET('Baseline NFPC'!$D$1:$W$1,$D42-1,0),MATCH(K$4,'Baseline NFPC'!$D$10:$W$10,0))</f>
        <v>-4.0880900148466983</v>
      </c>
      <c r="L42" s="331">
        <f ca="1">INDEX(OFFSET('Baseline NFPC'!$D$1:$W$1,$D42-1,0),MATCH(L$4,'Baseline NFPC'!$D$10:$W$10,0))</f>
        <v>-4.1843896072191349</v>
      </c>
      <c r="M42" s="331">
        <f ca="1">INDEX(OFFSET('Baseline NFPC'!$D$1:$W$1,$D42-1,0),MATCH(M$4,'Baseline NFPC'!$D$10:$W$10,0))</f>
        <v>-4.4271780761082651</v>
      </c>
      <c r="N42" s="331">
        <f ca="1">INDEX(OFFSET('Baseline NFPC'!$D$1:$W$1,$D42-1,0),MATCH(N$4,'Baseline NFPC'!$D$10:$W$10,0))</f>
        <v>-4.6697004304665972</v>
      </c>
      <c r="O42" s="331">
        <f ca="1">INDEX(OFFSET('Baseline NFPC'!$D$1:$W$1,$D42-1,0),MATCH(O$4,'Baseline NFPC'!$D$10:$W$10,0))</f>
        <v>-4.9062226271030607</v>
      </c>
      <c r="P42" s="331">
        <f ca="1">INDEX(OFFSET('Baseline NFPC'!$D$1:$W$1,$D42-1,0),MATCH(P$4,'Baseline NFPC'!$D$10:$W$10,0))</f>
        <v>-5.1033066889982006</v>
      </c>
      <c r="Q42" s="331">
        <f ca="1">INDEX(OFFSET('Baseline NFPC'!$D$1:$W$1,$D42-1,0),MATCH(Q$4,'Baseline NFPC'!$D$10:$W$10,0))</f>
        <v>-5.3313635869783358</v>
      </c>
      <c r="R42" s="331">
        <f ca="1">INDEX(OFFSET('Baseline NFPC'!$D$1:$W$1,$D42-1,0),MATCH(R$4,'Baseline NFPC'!$D$10:$W$10,0))</f>
        <v>-5.5185637306193467</v>
      </c>
      <c r="S42" s="331">
        <f ca="1">INDEX(OFFSET('Baseline NFPC'!$D$1:$W$1,$D42-1,0),MATCH(S$4,'Baseline NFPC'!$D$10:$W$10,0))</f>
        <v>-5.6865149388119356</v>
      </c>
      <c r="T42" s="331">
        <f ca="1">INDEX(OFFSET('Baseline NFPC'!$D$1:$W$1,$D42-1,0),MATCH(T$4,'Baseline NFPC'!$D$10:$W$10,0))</f>
        <v>-5.841772306972743</v>
      </c>
      <c r="U42" s="331">
        <f ca="1">INDEX(OFFSET('Baseline NFPC'!$D$1:$W$1,$D42-1,0),MATCH(U$4,'Baseline NFPC'!$D$10:$W$10,0))</f>
        <v>-5.979473938777442</v>
      </c>
      <c r="V42" s="331">
        <f ca="1">INDEX(OFFSET('Baseline NFPC'!$D$1:$W$1,$D42-1,0),MATCH(V$4,'Baseline NFPC'!$D$10:$W$10,0))</f>
        <v>-6.1072034724361188</v>
      </c>
      <c r="W42" s="331">
        <f ca="1">INDEX(OFFSET('Baseline NFPC'!$D$1:$W$1,$D42-1,0),MATCH(W$4,'Baseline NFPC'!$D$10:$W$10,0))</f>
        <v>-6.2198912273432025</v>
      </c>
      <c r="X42" s="331">
        <f ca="1">INDEX(OFFSET('Baseline NFPC'!$D$1:$W$1,$D42-1,0),MATCH(X$4,'Baseline NFPC'!$D$10:$W$10,0))</f>
        <v>-6.3397456337591738</v>
      </c>
      <c r="Y42" s="270"/>
    </row>
    <row r="43" spans="1:25" x14ac:dyDescent="0.25">
      <c r="A43" s="270"/>
      <c r="B43" s="338">
        <v>3</v>
      </c>
      <c r="C43" s="342" t="s">
        <v>40</v>
      </c>
      <c r="D43" s="343">
        <v>12</v>
      </c>
      <c r="E43" s="344" t="s">
        <v>218</v>
      </c>
      <c r="F43" s="331">
        <f ca="1">INDEX(OFFSET('Baseline NFPC'!$D$1:$W$1,$D43-1,0),MATCH(F$4,'Baseline NFPC'!$D$10:$W$10,0))</f>
        <v>-1.399295</v>
      </c>
      <c r="G43" s="331">
        <f ca="1">INDEX(OFFSET('Baseline NFPC'!$D$1:$W$1,$D43-1,0),MATCH(G$4,'Baseline NFPC'!$D$10:$W$10,0))</f>
        <v>-1.3351299999999999</v>
      </c>
      <c r="H43" s="331">
        <f ca="1">INDEX(OFFSET('Baseline NFPC'!$D$1:$W$1,$D43-1,0),MATCH(H$4,'Baseline NFPC'!$D$10:$W$10,0))</f>
        <v>-1.3351299999999999</v>
      </c>
      <c r="I43" s="331">
        <f ca="1">INDEX(OFFSET('Baseline NFPC'!$D$1:$W$1,$D43-1,0),MATCH(I$4,'Baseline NFPC'!$D$10:$W$10,0))</f>
        <v>-1.3351299999999999</v>
      </c>
      <c r="J43" s="331">
        <f ca="1">INDEX(OFFSET('Baseline NFPC'!$D$1:$W$1,$D43-1,0),MATCH(J$4,'Baseline NFPC'!$D$10:$W$10,0))</f>
        <v>-1.3351299999999999</v>
      </c>
      <c r="K43" s="331">
        <f ca="1">INDEX(OFFSET('Baseline NFPC'!$D$1:$W$1,$D43-1,0),MATCH(K$4,'Baseline NFPC'!$D$10:$W$10,0))</f>
        <v>-1.3351299999999999</v>
      </c>
      <c r="L43" s="331">
        <f ca="1">INDEX(OFFSET('Baseline NFPC'!$D$1:$W$1,$D43-1,0),MATCH(L$4,'Baseline NFPC'!$D$10:$W$10,0))</f>
        <v>-1.3351299999999999</v>
      </c>
      <c r="M43" s="331">
        <f ca="1">INDEX(OFFSET('Baseline NFPC'!$D$1:$W$1,$D43-1,0),MATCH(M$4,'Baseline NFPC'!$D$10:$W$10,0))</f>
        <v>-1.3351299999999999</v>
      </c>
      <c r="N43" s="331">
        <f ca="1">INDEX(OFFSET('Baseline NFPC'!$D$1:$W$1,$D43-1,0),MATCH(N$4,'Baseline NFPC'!$D$10:$W$10,0))</f>
        <v>-1.3351299999999999</v>
      </c>
      <c r="O43" s="331">
        <f ca="1">INDEX(OFFSET('Baseline NFPC'!$D$1:$W$1,$D43-1,0),MATCH(O$4,'Baseline NFPC'!$D$10:$W$10,0))</f>
        <v>-1.3351299999999999</v>
      </c>
      <c r="P43" s="331">
        <f ca="1">INDEX(OFFSET('Baseline NFPC'!$D$1:$W$1,$D43-1,0),MATCH(P$4,'Baseline NFPC'!$D$10:$W$10,0))</f>
        <v>-1.3351299999999999</v>
      </c>
      <c r="Q43" s="331">
        <f ca="1">INDEX(OFFSET('Baseline NFPC'!$D$1:$W$1,$D43-1,0),MATCH(Q$4,'Baseline NFPC'!$D$10:$W$10,0))</f>
        <v>-1.3351299999999999</v>
      </c>
      <c r="R43" s="331">
        <f ca="1">INDEX(OFFSET('Baseline NFPC'!$D$1:$W$1,$D43-1,0),MATCH(R$4,'Baseline NFPC'!$D$10:$W$10,0))</f>
        <v>-1.3351299999999999</v>
      </c>
      <c r="S43" s="331">
        <f ca="1">INDEX(OFFSET('Baseline NFPC'!$D$1:$W$1,$D43-1,0),MATCH(S$4,'Baseline NFPC'!$D$10:$W$10,0))</f>
        <v>-1.3351299999999999</v>
      </c>
      <c r="T43" s="331">
        <f ca="1">INDEX(OFFSET('Baseline NFPC'!$D$1:$W$1,$D43-1,0),MATCH(T$4,'Baseline NFPC'!$D$10:$W$10,0))</f>
        <v>-1.3351299999999999</v>
      </c>
      <c r="U43" s="331">
        <f ca="1">INDEX(OFFSET('Baseline NFPC'!$D$1:$W$1,$D43-1,0),MATCH(U$4,'Baseline NFPC'!$D$10:$W$10,0))</f>
        <v>-1.3351299999999999</v>
      </c>
      <c r="V43" s="331">
        <f ca="1">INDEX(OFFSET('Baseline NFPC'!$D$1:$W$1,$D43-1,0),MATCH(V$4,'Baseline NFPC'!$D$10:$W$10,0))</f>
        <v>-1.3351299999999999</v>
      </c>
      <c r="W43" s="331">
        <f ca="1">INDEX(OFFSET('Baseline NFPC'!$D$1:$W$1,$D43-1,0),MATCH(W$4,'Baseline NFPC'!$D$10:$W$10,0))</f>
        <v>-1.3351299999999999</v>
      </c>
      <c r="X43" s="331">
        <f ca="1">INDEX(OFFSET('Baseline NFPC'!$D$1:$W$1,$D43-1,0),MATCH(X$4,'Baseline NFPC'!$D$10:$W$10,0))</f>
        <v>-1.3351299999999999</v>
      </c>
      <c r="Y43" s="270"/>
    </row>
    <row r="44" spans="1:25" x14ac:dyDescent="0.25">
      <c r="A44" s="270"/>
      <c r="B44" s="338">
        <v>4</v>
      </c>
      <c r="C44" s="342" t="s">
        <v>219</v>
      </c>
      <c r="D44" s="343">
        <v>61</v>
      </c>
      <c r="E44" s="344" t="s">
        <v>218</v>
      </c>
      <c r="F44" s="331">
        <f ca="1">INDEX(OFFSET('Baseline NFPC'!$D$1:$W$1,$D44-1,0),MATCH(F$4,'Baseline NFPC'!$D$10:$W$10,0))</f>
        <v>1.7456982547381872E-2</v>
      </c>
      <c r="G44" s="331">
        <f ca="1">INDEX(OFFSET('Baseline NFPC'!$D$1:$W$1,$D44-1,0),MATCH(G$4,'Baseline NFPC'!$D$10:$W$10,0))</f>
        <v>0.78862794541010239</v>
      </c>
      <c r="H44" s="331">
        <f ca="1">INDEX(OFFSET('Baseline NFPC'!$D$1:$W$1,$D44-1,0),MATCH(H$4,'Baseline NFPC'!$D$10:$W$10,0))</f>
        <v>0.73499421040405555</v>
      </c>
      <c r="I44" s="331">
        <f ca="1">INDEX(OFFSET('Baseline NFPC'!$D$1:$W$1,$D44-1,0),MATCH(I$4,'Baseline NFPC'!$D$10:$W$10,0))</f>
        <v>0.41987288843336618</v>
      </c>
      <c r="J44" s="331">
        <f ca="1">INDEX(OFFSET('Baseline NFPC'!$D$1:$W$1,$D44-1,0),MATCH(J$4,'Baseline NFPC'!$D$10:$W$10,0))</f>
        <v>0.27991749008544031</v>
      </c>
      <c r="K44" s="331">
        <f ca="1">INDEX(OFFSET('Baseline NFPC'!$D$1:$W$1,$D44-1,0),MATCH(K$4,'Baseline NFPC'!$D$10:$W$10,0))</f>
        <v>0.13995175450106381</v>
      </c>
      <c r="L44" s="331">
        <f ca="1">INDEX(OFFSET('Baseline NFPC'!$D$1:$W$1,$D44-1,0),MATCH(L$4,'Baseline NFPC'!$D$10:$W$10,0))</f>
        <v>-9.6346441199157685E-6</v>
      </c>
      <c r="M44" s="331">
        <f ca="1">INDEX(OFFSET('Baseline NFPC'!$D$1:$W$1,$D44-1,0),MATCH(M$4,'Baseline NFPC'!$D$10:$W$10,0))</f>
        <v>-1.1328763312601352E-5</v>
      </c>
      <c r="N44" s="331">
        <f ca="1">INDEX(OFFSET('Baseline NFPC'!$D$1:$W$1,$D44-1,0),MATCH(N$4,'Baseline NFPC'!$D$10:$W$10,0))</f>
        <v>-1.35873530358932E-5</v>
      </c>
      <c r="O44" s="331">
        <f ca="1">INDEX(OFFSET('Baseline NFPC'!$D$1:$W$1,$D44-1,0),MATCH(O$4,'Baseline NFPC'!$D$10:$W$10,0))</f>
        <v>-1.2457984307867597E-5</v>
      </c>
      <c r="P44" s="331">
        <f ca="1">INDEX(OFFSET('Baseline NFPC'!$D$1:$W$1,$D44-1,0),MATCH(P$4,'Baseline NFPC'!$D$10:$W$10,0))</f>
        <v>-1.1328601341609178E-5</v>
      </c>
      <c r="Q44" s="331">
        <f ca="1">INDEX(OFFSET('Baseline NFPC'!$D$1:$W$1,$D44-1,0),MATCH(Q$4,'Baseline NFPC'!$D$10:$W$10,0))</f>
        <v>-1.2457485665429146E-5</v>
      </c>
      <c r="R44" s="331">
        <f ca="1">INDEX(OFFSET('Baseline NFPC'!$D$1:$W$1,$D44-1,0),MATCH(R$4,'Baseline NFPC'!$D$10:$W$10,0))</f>
        <v>-1.0765511729404763E-5</v>
      </c>
      <c r="S44" s="331">
        <f ca="1">INDEX(OFFSET('Baseline NFPC'!$D$1:$W$1,$D44-1,0),MATCH(S$4,'Baseline NFPC'!$D$10:$W$10,0))</f>
        <v>-9.0748882827895717E-6</v>
      </c>
      <c r="T44" s="331">
        <f ca="1">INDEX(OFFSET('Baseline NFPC'!$D$1:$W$1,$D44-1,0),MATCH(T$4,'Baseline NFPC'!$D$10:$W$10,0))</f>
        <v>-7.3856131955540855E-6</v>
      </c>
      <c r="U44" s="331">
        <f ca="1">INDEX(OFFSET('Baseline NFPC'!$D$1:$W$1,$D44-1,0),MATCH(U$4,'Baseline NFPC'!$D$10:$W$10,0))</f>
        <v>-9.6365657488384212E-6</v>
      </c>
      <c r="V44" s="331">
        <f ca="1">INDEX(OFFSET('Baseline NFPC'!$D$1:$W$1,$D44-1,0),MATCH(V$4,'Baseline NFPC'!$D$10:$W$10,0))</f>
        <v>-9.0741920927950293E-6</v>
      </c>
      <c r="W44" s="331">
        <f ca="1">INDEX(OFFSET('Baseline NFPC'!$D$1:$W$1,$D44-1,0),MATCH(W$4,'Baseline NFPC'!$D$10:$W$10,0))</f>
        <v>-1.076023739603471E-5</v>
      </c>
      <c r="X44" s="331">
        <f ca="1">INDEX(OFFSET('Baseline NFPC'!$D$1:$W$1,$D44-1,0),MATCH(X$4,'Baseline NFPC'!$D$10:$W$10,0))</f>
        <v>-1.244654388146138E-5</v>
      </c>
      <c r="Y44" s="270"/>
    </row>
    <row r="45" spans="1:25" x14ac:dyDescent="0.25">
      <c r="A45" s="270"/>
      <c r="B45" s="338">
        <v>5</v>
      </c>
      <c r="C45" s="342" t="s">
        <v>221</v>
      </c>
      <c r="D45" s="343">
        <v>67</v>
      </c>
      <c r="E45" s="344" t="s">
        <v>216</v>
      </c>
      <c r="F45" s="331">
        <f ca="1">INDEX(OFFSET('Baseline NFPC'!$D$1:$W$1,$D45-1,0),MATCH(F$4,'Baseline NFPC'!$D$10:$W$10,0))</f>
        <v>1.2031122695315895</v>
      </c>
      <c r="G45" s="331">
        <f ca="1">INDEX(OFFSET('Baseline NFPC'!$D$1:$W$1,$D45-1,0),MATCH(G$4,'Baseline NFPC'!$D$10:$W$10,0))</f>
        <v>1.4808808255417976</v>
      </c>
      <c r="H45" s="331">
        <f ca="1">INDEX(OFFSET('Baseline NFPC'!$D$1:$W$1,$D45-1,0),MATCH(H$4,'Baseline NFPC'!$D$10:$W$10,0))</f>
        <v>1.4922867144685079</v>
      </c>
      <c r="I45" s="331">
        <f ca="1">INDEX(OFFSET('Baseline NFPC'!$D$1:$W$1,$D45-1,0),MATCH(I$4,'Baseline NFPC'!$D$10:$W$10,0))</f>
        <v>1.4770196148139894</v>
      </c>
      <c r="J45" s="331">
        <f ca="1">INDEX(OFFSET('Baseline NFPC'!$D$1:$W$1,$D45-1,0),MATCH(J$4,'Baseline NFPC'!$D$10:$W$10,0))</f>
        <v>1.6294371986463729</v>
      </c>
      <c r="K45" s="331">
        <f ca="1">INDEX(OFFSET('Baseline NFPC'!$D$1:$W$1,$D45-1,0),MATCH(K$4,'Baseline NFPC'!$D$10:$W$10,0))</f>
        <v>1.7763417603456368</v>
      </c>
      <c r="L45" s="331">
        <f ca="1">INDEX(OFFSET('Baseline NFPC'!$D$1:$W$1,$D45-1,0),MATCH(L$4,'Baseline NFPC'!$D$10:$W$10,0))</f>
        <v>1.9173611418632552</v>
      </c>
      <c r="M45" s="331">
        <f ca="1">INDEX(OFFSET('Baseline NFPC'!$D$1:$W$1,$D45-1,0),MATCH(M$4,'Baseline NFPC'!$D$10:$W$10,0))</f>
        <v>2.0561596048715782</v>
      </c>
      <c r="N45" s="331">
        <f ca="1">INDEX(OFFSET('Baseline NFPC'!$D$1:$W$1,$D45-1,0),MATCH(N$4,'Baseline NFPC'!$D$10:$W$10,0))</f>
        <v>2.1949525178196341</v>
      </c>
      <c r="O45" s="331">
        <f ca="1">INDEX(OFFSET('Baseline NFPC'!$D$1:$W$1,$D45-1,0),MATCH(O$4,'Baseline NFPC'!$D$10:$W$10,0))</f>
        <v>2.3349019850873716</v>
      </c>
      <c r="P45" s="331">
        <f ca="1">INDEX(OFFSET('Baseline NFPC'!$D$1:$W$1,$D45-1,0),MATCH(P$4,'Baseline NFPC'!$D$10:$W$10,0))</f>
        <v>2.4763933175995465</v>
      </c>
      <c r="Q45" s="331">
        <f ca="1">INDEX(OFFSET('Baseline NFPC'!$D$1:$W$1,$D45-1,0),MATCH(Q$4,'Baseline NFPC'!$D$10:$W$10,0))</f>
        <v>2.6175397444640014</v>
      </c>
      <c r="R45" s="331">
        <f ca="1">INDEX(OFFSET('Baseline NFPC'!$D$1:$W$1,$D45-1,0),MATCH(R$4,'Baseline NFPC'!$D$10:$W$10,0))</f>
        <v>2.7485964961310807</v>
      </c>
      <c r="S45" s="331">
        <f ca="1">INDEX(OFFSET('Baseline NFPC'!$D$1:$W$1,$D45-1,0),MATCH(S$4,'Baseline NFPC'!$D$10:$W$10,0))</f>
        <v>2.8765144137002201</v>
      </c>
      <c r="T45" s="331">
        <f ca="1">INDEX(OFFSET('Baseline NFPC'!$D$1:$W$1,$D45-1,0),MATCH(T$4,'Baseline NFPC'!$D$10:$W$10,0))</f>
        <v>3.0012784925859419</v>
      </c>
      <c r="U45" s="331">
        <f ca="1">INDEX(OFFSET('Baseline NFPC'!$D$1:$W$1,$D45-1,0),MATCH(U$4,'Baseline NFPC'!$D$10:$W$10,0))</f>
        <v>3.1235407753431925</v>
      </c>
      <c r="V45" s="331">
        <f ca="1">INDEX(OFFSET('Baseline NFPC'!$D$1:$W$1,$D45-1,0),MATCH(V$4,'Baseline NFPC'!$D$10:$W$10,0))</f>
        <v>3.2431480466282174</v>
      </c>
      <c r="W45" s="331">
        <f ca="1">INDEX(OFFSET('Baseline NFPC'!$D$1:$W$1,$D45-1,0),MATCH(W$4,'Baseline NFPC'!$D$10:$W$10,0))</f>
        <v>3.3602358875806004</v>
      </c>
      <c r="X45" s="331">
        <f ca="1">INDEX(OFFSET('Baseline NFPC'!$D$1:$W$1,$D45-1,0),MATCH(X$4,'Baseline NFPC'!$D$10:$W$10,0))</f>
        <v>3.4774303803030571</v>
      </c>
      <c r="Y45" s="270"/>
    </row>
    <row r="46" spans="1:25" x14ac:dyDescent="0.25">
      <c r="A46" s="270"/>
      <c r="B46" s="338">
        <v>6</v>
      </c>
      <c r="C46" s="345" t="s">
        <v>91</v>
      </c>
      <c r="D46" s="343">
        <v>36</v>
      </c>
      <c r="E46" s="344" t="s">
        <v>222</v>
      </c>
      <c r="F46" s="331">
        <f ca="1">INDEX(OFFSET('Baseline NFPC'!$D$1:$W$1,$D46-1,0),MATCH(F$4,'Baseline NFPC'!$D$10:$W$10,0))</f>
        <v>3.08</v>
      </c>
      <c r="G46" s="331">
        <f ca="1">INDEX(OFFSET('Baseline NFPC'!$D$1:$W$1,$D46-1,0),MATCH(G$4,'Baseline NFPC'!$D$10:$W$10,0))</f>
        <v>2.8521350000000001</v>
      </c>
      <c r="H46" s="331">
        <f ca="1">INDEX(OFFSET('Baseline NFPC'!$D$1:$W$1,$D46-1,0),MATCH(H$4,'Baseline NFPC'!$D$10:$W$10,0))</f>
        <v>2.809685</v>
      </c>
      <c r="I46" s="331">
        <f ca="1">INDEX(OFFSET('Baseline NFPC'!$D$1:$W$1,$D46-1,0),MATCH(I$4,'Baseline NFPC'!$D$10:$W$10,0))</f>
        <v>2.9436909999999998</v>
      </c>
      <c r="J46" s="331">
        <f ca="1">INDEX(OFFSET('Baseline NFPC'!$D$1:$W$1,$D46-1,0),MATCH(J$4,'Baseline NFPC'!$D$10:$W$10,0))</f>
        <v>3.0060458749999999</v>
      </c>
      <c r="K46" s="331">
        <f ca="1">INDEX(OFFSET('Baseline NFPC'!$D$1:$W$1,$D46-1,0),MATCH(K$4,'Baseline NFPC'!$D$10:$W$10,0))</f>
        <v>3.0684007499999999</v>
      </c>
      <c r="L46" s="331">
        <f ca="1">INDEX(OFFSET('Baseline NFPC'!$D$1:$W$1,$D46-1,0),MATCH(L$4,'Baseline NFPC'!$D$10:$W$10,0))</f>
        <v>3.1307556249999999</v>
      </c>
      <c r="M46" s="331">
        <f ca="1">INDEX(OFFSET('Baseline NFPC'!$D$1:$W$1,$D46-1,0),MATCH(M$4,'Baseline NFPC'!$D$10:$W$10,0))</f>
        <v>3.1931105</v>
      </c>
      <c r="N46" s="331">
        <f ca="1">INDEX(OFFSET('Baseline NFPC'!$D$1:$W$1,$D46-1,0),MATCH(N$4,'Baseline NFPC'!$D$10:$W$10,0))</f>
        <v>3.255465375</v>
      </c>
      <c r="O46" s="331">
        <f ca="1">INDEX(OFFSET('Baseline NFPC'!$D$1:$W$1,$D46-1,0),MATCH(O$4,'Baseline NFPC'!$D$10:$W$10,0))</f>
        <v>3.31782025</v>
      </c>
      <c r="P46" s="331">
        <f ca="1">INDEX(OFFSET('Baseline NFPC'!$D$1:$W$1,$D46-1,0),MATCH(P$4,'Baseline NFPC'!$D$10:$W$10,0))</f>
        <v>3.3801751250000001</v>
      </c>
      <c r="Q46" s="331">
        <f ca="1">INDEX(OFFSET('Baseline NFPC'!$D$1:$W$1,$D46-1,0),MATCH(Q$4,'Baseline NFPC'!$D$10:$W$10,0))</f>
        <v>3.4425300000000001</v>
      </c>
      <c r="R46" s="331">
        <f ca="1">INDEX(OFFSET('Baseline NFPC'!$D$1:$W$1,$D46-1,0),MATCH(R$4,'Baseline NFPC'!$D$10:$W$10,0))</f>
        <v>3.4704035000000002</v>
      </c>
      <c r="S46" s="331">
        <f ca="1">INDEX(OFFSET('Baseline NFPC'!$D$1:$W$1,$D46-1,0),MATCH(S$4,'Baseline NFPC'!$D$10:$W$10,0))</f>
        <v>3.4982769999999999</v>
      </c>
      <c r="T46" s="331">
        <f ca="1">INDEX(OFFSET('Baseline NFPC'!$D$1:$W$1,$D46-1,0),MATCH(T$4,'Baseline NFPC'!$D$10:$W$10,0))</f>
        <v>3.5261505</v>
      </c>
      <c r="U46" s="331">
        <f ca="1">INDEX(OFFSET('Baseline NFPC'!$D$1:$W$1,$D46-1,0),MATCH(U$4,'Baseline NFPC'!$D$10:$W$10,0))</f>
        <v>3.5540240000000001</v>
      </c>
      <c r="V46" s="331">
        <f ca="1">INDEX(OFFSET('Baseline NFPC'!$D$1:$W$1,$D46-1,0),MATCH(V$4,'Baseline NFPC'!$D$10:$W$10,0))</f>
        <v>3.5818975000000002</v>
      </c>
      <c r="W46" s="331">
        <f ca="1">INDEX(OFFSET('Baseline NFPC'!$D$1:$W$1,$D46-1,0),MATCH(W$4,'Baseline NFPC'!$D$10:$W$10,0))</f>
        <v>3.6097710000000003</v>
      </c>
      <c r="X46" s="331">
        <f ca="1">INDEX(OFFSET('Baseline NFPC'!$D$1:$W$1,$D46-1,0),MATCH(X$4,'Baseline NFPC'!$D$10:$W$10,0))</f>
        <v>3.6376444999999999</v>
      </c>
      <c r="Y46" s="270"/>
    </row>
    <row r="47" spans="1:25" x14ac:dyDescent="0.25">
      <c r="A47" s="270"/>
      <c r="B47" s="338">
        <v>7</v>
      </c>
      <c r="C47" s="345" t="s">
        <v>92</v>
      </c>
      <c r="D47" s="343">
        <v>37</v>
      </c>
      <c r="E47" s="344" t="s">
        <v>222</v>
      </c>
      <c r="F47" s="331">
        <f ca="1">INDEX(OFFSET('Baseline NFPC'!$D$1:$W$1,$D47-1,0),MATCH(F$4,'Baseline NFPC'!$D$10:$W$10,0))</f>
        <v>3.43</v>
      </c>
      <c r="G47" s="331">
        <f ca="1">INDEX(OFFSET('Baseline NFPC'!$D$1:$W$1,$D47-1,0),MATCH(G$4,'Baseline NFPC'!$D$10:$W$10,0))</f>
        <v>3.5292500000000002</v>
      </c>
      <c r="H47" s="331">
        <f ca="1">INDEX(OFFSET('Baseline NFPC'!$D$1:$W$1,$D47-1,0),MATCH(H$4,'Baseline NFPC'!$D$10:$W$10,0))</f>
        <v>2.0662500000000001</v>
      </c>
      <c r="I47" s="331">
        <f ca="1">INDEX(OFFSET('Baseline NFPC'!$D$1:$W$1,$D47-1,0),MATCH(I$4,'Baseline NFPC'!$D$10:$W$10,0))</f>
        <v>1.9957499999999999</v>
      </c>
      <c r="J47" s="331">
        <f ca="1">INDEX(OFFSET('Baseline NFPC'!$D$1:$W$1,$D47-1,0),MATCH(J$4,'Baseline NFPC'!$D$10:$W$10,0))</f>
        <v>2.079285</v>
      </c>
      <c r="K47" s="331">
        <f ca="1">INDEX(OFFSET('Baseline NFPC'!$D$1:$W$1,$D47-1,0),MATCH(K$4,'Baseline NFPC'!$D$10:$W$10,0))</f>
        <v>2.16282</v>
      </c>
      <c r="L47" s="331">
        <f ca="1">INDEX(OFFSET('Baseline NFPC'!$D$1:$W$1,$D47-1,0),MATCH(L$4,'Baseline NFPC'!$D$10:$W$10,0))</f>
        <v>2.2463549999999999</v>
      </c>
      <c r="M47" s="331">
        <f ca="1">INDEX(OFFSET('Baseline NFPC'!$D$1:$W$1,$D47-1,0),MATCH(M$4,'Baseline NFPC'!$D$10:$W$10,0))</f>
        <v>2.3298899999999998</v>
      </c>
      <c r="N47" s="331">
        <f ca="1">INDEX(OFFSET('Baseline NFPC'!$D$1:$W$1,$D47-1,0),MATCH(N$4,'Baseline NFPC'!$D$10:$W$10,0))</f>
        <v>2.4134249999999997</v>
      </c>
      <c r="O47" s="331">
        <f ca="1">INDEX(OFFSET('Baseline NFPC'!$D$1:$W$1,$D47-1,0),MATCH(O$4,'Baseline NFPC'!$D$10:$W$10,0))</f>
        <v>2.4969599999999996</v>
      </c>
      <c r="P47" s="331">
        <f ca="1">INDEX(OFFSET('Baseline NFPC'!$D$1:$W$1,$D47-1,0),MATCH(P$4,'Baseline NFPC'!$D$10:$W$10,0))</f>
        <v>2.5804949999999995</v>
      </c>
      <c r="Q47" s="331">
        <f ca="1">INDEX(OFFSET('Baseline NFPC'!$D$1:$W$1,$D47-1,0),MATCH(Q$4,'Baseline NFPC'!$D$10:$W$10,0))</f>
        <v>2.6640299999999999</v>
      </c>
      <c r="R47" s="331">
        <f ca="1">INDEX(OFFSET('Baseline NFPC'!$D$1:$W$1,$D47-1,0),MATCH(R$4,'Baseline NFPC'!$D$10:$W$10,0))</f>
        <v>2.6308284999999998</v>
      </c>
      <c r="S47" s="331">
        <f ca="1">INDEX(OFFSET('Baseline NFPC'!$D$1:$W$1,$D47-1,0),MATCH(S$4,'Baseline NFPC'!$D$10:$W$10,0))</f>
        <v>2.5976270000000001</v>
      </c>
      <c r="T47" s="331">
        <f ca="1">INDEX(OFFSET('Baseline NFPC'!$D$1:$W$1,$D47-1,0),MATCH(T$4,'Baseline NFPC'!$D$10:$W$10,0))</f>
        <v>2.5644255</v>
      </c>
      <c r="U47" s="331">
        <f ca="1">INDEX(OFFSET('Baseline NFPC'!$D$1:$W$1,$D47-1,0),MATCH(U$4,'Baseline NFPC'!$D$10:$W$10,0))</f>
        <v>2.5312239999999999</v>
      </c>
      <c r="V47" s="331">
        <f ca="1">INDEX(OFFSET('Baseline NFPC'!$D$1:$W$1,$D47-1,0),MATCH(V$4,'Baseline NFPC'!$D$10:$W$10,0))</f>
        <v>2.4980224999999998</v>
      </c>
      <c r="W47" s="331">
        <f ca="1">INDEX(OFFSET('Baseline NFPC'!$D$1:$W$1,$D47-1,0),MATCH(W$4,'Baseline NFPC'!$D$10:$W$10,0))</f>
        <v>2.4648209999999997</v>
      </c>
      <c r="X47" s="331">
        <f ca="1">INDEX(OFFSET('Baseline NFPC'!$D$1:$W$1,$D47-1,0),MATCH(X$4,'Baseline NFPC'!$D$10:$W$10,0))</f>
        <v>2.4316195</v>
      </c>
      <c r="Y47" s="270"/>
    </row>
    <row r="48" spans="1:25" x14ac:dyDescent="0.25">
      <c r="A48" s="270"/>
      <c r="B48" s="338">
        <v>8</v>
      </c>
      <c r="C48" s="342" t="s">
        <v>223</v>
      </c>
      <c r="D48" s="343">
        <v>35</v>
      </c>
      <c r="E48" s="344" t="s">
        <v>222</v>
      </c>
      <c r="F48" s="331">
        <f ca="1">INDEX(OFFSET('Baseline NFPC'!$D$1:$W$1,$D48-1,0),MATCH(F$4,'Baseline NFPC'!$D$10:$W$10,0))</f>
        <v>1.6214710000000001</v>
      </c>
      <c r="G48" s="331">
        <f ca="1">INDEX(OFFSET('Baseline NFPC'!$D$1:$W$1,$D48-1,0),MATCH(G$4,'Baseline NFPC'!$D$10:$W$10,0))</f>
        <v>1.9528080000000001</v>
      </c>
      <c r="H48" s="331">
        <f ca="1">INDEX(OFFSET('Baseline NFPC'!$D$1:$W$1,$D48-1,0),MATCH(H$4,'Baseline NFPC'!$D$10:$W$10,0))</f>
        <v>1.9344650000000001</v>
      </c>
      <c r="I48" s="331">
        <f ca="1">INDEX(OFFSET('Baseline NFPC'!$D$1:$W$1,$D48-1,0),MATCH(I$4,'Baseline NFPC'!$D$10:$W$10,0))</f>
        <v>1.880984</v>
      </c>
      <c r="J48" s="331">
        <f ca="1">INDEX(OFFSET('Baseline NFPC'!$D$1:$W$1,$D48-1,0),MATCH(J$4,'Baseline NFPC'!$D$10:$W$10,0))</f>
        <v>2.0436215505486772</v>
      </c>
      <c r="K48" s="331">
        <f ca="1">INDEX(OFFSET('Baseline NFPC'!$D$1:$W$1,$D48-1,0),MATCH(K$4,'Baseline NFPC'!$D$10:$W$10,0))</f>
        <v>2.1918780734581893</v>
      </c>
      <c r="L48" s="331">
        <f ca="1">INDEX(OFFSET('Baseline NFPC'!$D$1:$W$1,$D48-1,0),MATCH(L$4,'Baseline NFPC'!$D$10:$W$10,0))</f>
        <v>2.3278223926239727</v>
      </c>
      <c r="M48" s="331">
        <f ca="1">INDEX(OFFSET('Baseline NFPC'!$D$1:$W$1,$D48-1,0),MATCH(M$4,'Baseline NFPC'!$D$10:$W$10,0))</f>
        <v>2.4529142511503652</v>
      </c>
      <c r="N48" s="331">
        <f ca="1">INDEX(OFFSET('Baseline NFPC'!$D$1:$W$1,$D48-1,0),MATCH(N$4,'Baseline NFPC'!$D$10:$W$10,0))</f>
        <v>2.5697747247589096</v>
      </c>
      <c r="O48" s="331">
        <f ca="1">INDEX(OFFSET('Baseline NFPC'!$D$1:$W$1,$D48-1,0),MATCH(O$4,'Baseline NFPC'!$D$10:$W$10,0))</f>
        <v>2.6794124479547623</v>
      </c>
      <c r="P48" s="331">
        <f ca="1">INDEX(OFFSET('Baseline NFPC'!$D$1:$W$1,$D48-1,0),MATCH(P$4,'Baseline NFPC'!$D$10:$W$10,0))</f>
        <v>2.7826944506499007</v>
      </c>
      <c r="Q48" s="331">
        <f ca="1">INDEX(OFFSET('Baseline NFPC'!$D$1:$W$1,$D48-1,0),MATCH(Q$4,'Baseline NFPC'!$D$10:$W$10,0))</f>
        <v>2.8802285786450557</v>
      </c>
      <c r="R48" s="331">
        <f ca="1">INDEX(OFFSET('Baseline NFPC'!$D$1:$W$1,$D48-1,0),MATCH(R$4,'Baseline NFPC'!$D$10:$W$10,0))</f>
        <v>2.9598101556222511</v>
      </c>
      <c r="S48" s="331">
        <f ca="1">INDEX(OFFSET('Baseline NFPC'!$D$1:$W$1,$D48-1,0),MATCH(S$4,'Baseline NFPC'!$D$10:$W$10,0))</f>
        <v>3.0310877570412829</v>
      </c>
      <c r="T48" s="331">
        <f ca="1">INDEX(OFFSET('Baseline NFPC'!$D$1:$W$1,$D48-1,0),MATCH(T$4,'Baseline NFPC'!$D$10:$W$10,0))</f>
        <v>3.0951868137743381</v>
      </c>
      <c r="U48" s="331">
        <f ca="1">INDEX(OFFSET('Baseline NFPC'!$D$1:$W$1,$D48-1,0),MATCH(U$4,'Baseline NFPC'!$D$10:$W$10,0))</f>
        <v>3.1531296665221005</v>
      </c>
      <c r="V48" s="331">
        <f ca="1">INDEX(OFFSET('Baseline NFPC'!$D$1:$W$1,$D48-1,0),MATCH(V$4,'Baseline NFPC'!$D$10:$W$10,0))</f>
        <v>3.2057911818874039</v>
      </c>
      <c r="W48" s="331">
        <f ca="1">INDEX(OFFSET('Baseline NFPC'!$D$1:$W$1,$D48-1,0),MATCH(W$4,'Baseline NFPC'!$D$10:$W$10,0))</f>
        <v>3.2539558721315713</v>
      </c>
      <c r="X48" s="331">
        <f ca="1">INDEX(OFFSET('Baseline NFPC'!$D$1:$W$1,$D48-1,0),MATCH(X$4,'Baseline NFPC'!$D$10:$W$10,0))</f>
        <v>3.2982856238888045</v>
      </c>
      <c r="Y48" s="270"/>
    </row>
    <row r="49" spans="1:25" x14ac:dyDescent="0.25">
      <c r="A49" s="270"/>
      <c r="B49" s="338">
        <v>9</v>
      </c>
      <c r="C49" s="346" t="s">
        <v>62</v>
      </c>
      <c r="D49" s="343">
        <v>26</v>
      </c>
      <c r="E49" s="344" t="s">
        <v>225</v>
      </c>
      <c r="F49" s="331">
        <f ca="1">(INDEX(OFFSET('Baseline NFPC'!$D$1:$W$1,$D49-1,0),MATCH(F$4,'Baseline NFPC'!$D$10:$W$10,0))/INDEX(OFFSET('Baseline NFPC'!$D$1:$W$1,$D49-1,0),MATCH(E$4,'Baseline NFPC'!$D$10:$W$10,0))-1)*100</f>
        <v>1.0494510000000012</v>
      </c>
      <c r="G49" s="331">
        <f ca="1">(INDEX(OFFSET('Baseline NFPC'!$D$1:$W$1,$D49-1,0),MATCH(G$4,'Baseline NFPC'!$D$10:$W$10,0))/INDEX(OFFSET('Baseline NFPC'!$D$1:$W$1,$D49-1,0),MATCH(F$4,'Baseline NFPC'!$D$10:$W$10,0))-1)*100</f>
        <v>0.73931519999999029</v>
      </c>
      <c r="H49" s="331">
        <f ca="1">(INDEX(OFFSET('Baseline NFPC'!$D$1:$W$1,$D49-1,0),MATCH(H$4,'Baseline NFPC'!$D$10:$W$10,0))/INDEX(OFFSET('Baseline NFPC'!$D$1:$W$1,$D49-1,0),MATCH(G$4,'Baseline NFPC'!$D$10:$W$10,0))-1)*100</f>
        <v>0.70466270000000275</v>
      </c>
      <c r="I49" s="331">
        <f ca="1">(INDEX(OFFSET('Baseline NFPC'!$D$1:$W$1,$D49-1,0),MATCH(I$4,'Baseline NFPC'!$D$10:$W$10,0))/INDEX(OFFSET('Baseline NFPC'!$D$1:$W$1,$D49-1,0),MATCH(H$4,'Baseline NFPC'!$D$10:$W$10,0))-1)*100</f>
        <v>0.81713299999999212</v>
      </c>
      <c r="J49" s="331">
        <f ca="1">(INDEX(OFFSET('Baseline NFPC'!$D$1:$W$1,$D49-1,0),MATCH(J$4,'Baseline NFPC'!$D$10:$W$10,0))/INDEX(OFFSET('Baseline NFPC'!$D$1:$W$1,$D49-1,0),MATCH(I$4,'Baseline NFPC'!$D$10:$W$10,0))-1)*100</f>
        <v>1.0657389999999989</v>
      </c>
      <c r="K49" s="331">
        <f ca="1">(INDEX(OFFSET('Baseline NFPC'!$D$1:$W$1,$D49-1,0),MATCH(K$4,'Baseline NFPC'!$D$10:$W$10,0))/INDEX(OFFSET('Baseline NFPC'!$D$1:$W$1,$D49-1,0),MATCH(J$4,'Baseline NFPC'!$D$10:$W$10,0))-1)*100</f>
        <v>0.99193410000000259</v>
      </c>
      <c r="L49" s="331">
        <f ca="1">(INDEX(OFFSET('Baseline NFPC'!$D$1:$W$1,$D49-1,0),MATCH(L$4,'Baseline NFPC'!$D$10:$W$10,0))/INDEX(OFFSET('Baseline NFPC'!$D$1:$W$1,$D49-1,0),MATCH(K$4,'Baseline NFPC'!$D$10:$W$10,0))-1)*100</f>
        <v>1.0245370000000031</v>
      </c>
      <c r="M49" s="331">
        <f ca="1">(INDEX(OFFSET('Baseline NFPC'!$D$1:$W$1,$D49-1,0),MATCH(M$4,'Baseline NFPC'!$D$10:$W$10,0))/INDEX(OFFSET('Baseline NFPC'!$D$1:$W$1,$D49-1,0),MATCH(L$4,'Baseline NFPC'!$D$10:$W$10,0))-1)*100</f>
        <v>1.1145079999999918</v>
      </c>
      <c r="N49" s="331">
        <f ca="1">(INDEX(OFFSET('Baseline NFPC'!$D$1:$W$1,$D49-1,0),MATCH(N$4,'Baseline NFPC'!$D$10:$W$10,0))/INDEX(OFFSET('Baseline NFPC'!$D$1:$W$1,$D49-1,0),MATCH(M$4,'Baseline NFPC'!$D$10:$W$10,0))-1)*100</f>
        <v>1.1250710000000108</v>
      </c>
      <c r="O49" s="331">
        <f ca="1">(INDEX(OFFSET('Baseline NFPC'!$D$1:$W$1,$D49-1,0),MATCH(O$4,'Baseline NFPC'!$D$10:$W$10,0))/INDEX(OFFSET('Baseline NFPC'!$D$1:$W$1,$D49-1,0),MATCH(N$4,'Baseline NFPC'!$D$10:$W$10,0))-1)*100</f>
        <v>1.1184599999999989</v>
      </c>
      <c r="P49" s="331">
        <f ca="1">(INDEX(OFFSET('Baseline NFPC'!$D$1:$W$1,$D49-1,0),MATCH(P$4,'Baseline NFPC'!$D$10:$W$10,0))/INDEX(OFFSET('Baseline NFPC'!$D$1:$W$1,$D49-1,0),MATCH(O$4,'Baseline NFPC'!$D$10:$W$10,0))-1)*100</f>
        <v>1.1171840000000044</v>
      </c>
      <c r="Q49" s="331">
        <f ca="1">(INDEX(OFFSET('Baseline NFPC'!$D$1:$W$1,$D49-1,0),MATCH(Q$4,'Baseline NFPC'!$D$10:$W$10,0))/INDEX(OFFSET('Baseline NFPC'!$D$1:$W$1,$D49-1,0),MATCH(P$4,'Baseline NFPC'!$D$10:$W$10,0))-1)*100</f>
        <v>1.1618450000000058</v>
      </c>
      <c r="R49" s="331">
        <f ca="1">(INDEX(OFFSET('Baseline NFPC'!$D$1:$W$1,$D49-1,0),MATCH(R$4,'Baseline NFPC'!$D$10:$W$10,0))/INDEX(OFFSET('Baseline NFPC'!$D$1:$W$1,$D49-1,0),MATCH(Q$4,'Baseline NFPC'!$D$10:$W$10,0))-1)*100</f>
        <v>1.2427160000000104</v>
      </c>
      <c r="S49" s="331">
        <f ca="1">(INDEX(OFFSET('Baseline NFPC'!$D$1:$W$1,$D49-1,0),MATCH(S$4,'Baseline NFPC'!$D$10:$W$10,0))/INDEX(OFFSET('Baseline NFPC'!$D$1:$W$1,$D49-1,0),MATCH(R$4,'Baseline NFPC'!$D$10:$W$10,0))-1)*100</f>
        <v>1.3235869999999927</v>
      </c>
      <c r="T49" s="331">
        <f ca="1">(INDEX(OFFSET('Baseline NFPC'!$D$1:$W$1,$D49-1,0),MATCH(T$4,'Baseline NFPC'!$D$10:$W$10,0))/INDEX(OFFSET('Baseline NFPC'!$D$1:$W$1,$D49-1,0),MATCH(S$4,'Baseline NFPC'!$D$10:$W$10,0))-1)*100</f>
        <v>1.4044589999999912</v>
      </c>
      <c r="U49" s="331">
        <f ca="1">(INDEX(OFFSET('Baseline NFPC'!$D$1:$W$1,$D49-1,0),MATCH(U$4,'Baseline NFPC'!$D$10:$W$10,0))/INDEX(OFFSET('Baseline NFPC'!$D$1:$W$1,$D49-1,0),MATCH(T$4,'Baseline NFPC'!$D$10:$W$10,0))-1)*100</f>
        <v>1.4681670000000091</v>
      </c>
      <c r="V49" s="331">
        <f ca="1">(INDEX(OFFSET('Baseline NFPC'!$D$1:$W$1,$D49-1,0),MATCH(V$4,'Baseline NFPC'!$D$10:$W$10,0))/INDEX(OFFSET('Baseline NFPC'!$D$1:$W$1,$D49-1,0),MATCH(U$4,'Baseline NFPC'!$D$10:$W$10,0))-1)*100</f>
        <v>1.5339350000000085</v>
      </c>
      <c r="W49" s="331">
        <f ca="1">(INDEX(OFFSET('Baseline NFPC'!$D$1:$W$1,$D49-1,0),MATCH(W$4,'Baseline NFPC'!$D$10:$W$10,0))/INDEX(OFFSET('Baseline NFPC'!$D$1:$W$1,$D49-1,0),MATCH(V$4,'Baseline NFPC'!$D$10:$W$10,0))-1)*100</f>
        <v>1.5987090000000093</v>
      </c>
      <c r="X49" s="331">
        <f ca="1">(INDEX(OFFSET('Baseline NFPC'!$D$1:$W$1,$D49-1,0),MATCH(X$4,'Baseline NFPC'!$D$10:$W$10,0))/INDEX(OFFSET('Baseline NFPC'!$D$1:$W$1,$D49-1,0),MATCH(W$4,'Baseline NFPC'!$D$10:$W$10,0))-1)*100</f>
        <v>1.5829759999999915</v>
      </c>
      <c r="Y49" s="270"/>
    </row>
    <row r="50" spans="1:25" x14ac:dyDescent="0.25">
      <c r="A50" s="270"/>
      <c r="B50" s="338">
        <v>10</v>
      </c>
      <c r="C50" s="334" t="s">
        <v>226</v>
      </c>
      <c r="D50" s="343">
        <v>23</v>
      </c>
      <c r="E50" s="344" t="s">
        <v>225</v>
      </c>
      <c r="F50" s="331">
        <f ca="1">INDEX(OFFSET('Baseline NFPC'!$D$1:$W$1,$D50-1,0),MATCH(F$4,'Baseline NFPC'!$D$10:$W$10,0))</f>
        <v>-0.95496389999999998</v>
      </c>
      <c r="G50" s="331">
        <f ca="1">INDEX(OFFSET('Baseline NFPC'!$D$1:$W$1,$D50-1,0),MATCH(G$4,'Baseline NFPC'!$D$10:$W$10,0))</f>
        <v>-0.62164790000000003</v>
      </c>
      <c r="H50" s="331">
        <f ca="1">INDEX(OFFSET('Baseline NFPC'!$D$1:$W$1,$D50-1,0),MATCH(H$4,'Baseline NFPC'!$D$10:$W$10,0))</f>
        <v>0.80057880000000003</v>
      </c>
      <c r="I50" s="331">
        <f ca="1">INDEX(OFFSET('Baseline NFPC'!$D$1:$W$1,$D50-1,0),MATCH(I$4,'Baseline NFPC'!$D$10:$W$10,0))</f>
        <v>1.3807739999999999</v>
      </c>
      <c r="J50" s="331">
        <f ca="1">INDEX(OFFSET('Baseline NFPC'!$D$1:$W$1,$D50-1,0),MATCH(J$4,'Baseline NFPC'!$D$10:$W$10,0))</f>
        <v>1.3152919999999999</v>
      </c>
      <c r="K50" s="331">
        <f ca="1">INDEX(OFFSET('Baseline NFPC'!$D$1:$W$1,$D50-1,0),MATCH(K$4,'Baseline NFPC'!$D$10:$W$10,0))</f>
        <v>1.2407090000000001</v>
      </c>
      <c r="L50" s="331">
        <f ca="1">INDEX(OFFSET('Baseline NFPC'!$D$1:$W$1,$D50-1,0),MATCH(L$4,'Baseline NFPC'!$D$10:$W$10,0))</f>
        <v>1.2727729999999999</v>
      </c>
      <c r="M50" s="331">
        <f ca="1">INDEX(OFFSET('Baseline NFPC'!$D$1:$W$1,$D50-1,0),MATCH(M$4,'Baseline NFPC'!$D$10:$W$10,0))</f>
        <v>1.114511</v>
      </c>
      <c r="N50" s="331">
        <f ca="1">INDEX(OFFSET('Baseline NFPC'!$D$1:$W$1,$D50-1,0),MATCH(N$4,'Baseline NFPC'!$D$10:$W$10,0))</f>
        <v>1.125075</v>
      </c>
      <c r="O50" s="331">
        <f ca="1">INDEX(OFFSET('Baseline NFPC'!$D$1:$W$1,$D50-1,0),MATCH(O$4,'Baseline NFPC'!$D$10:$W$10,0))</f>
        <v>1.118458</v>
      </c>
      <c r="P50" s="331">
        <f ca="1">INDEX(OFFSET('Baseline NFPC'!$D$1:$W$1,$D50-1,0),MATCH(P$4,'Baseline NFPC'!$D$10:$W$10,0))</f>
        <v>1.1171819999999999</v>
      </c>
      <c r="Q50" s="331">
        <f ca="1">INDEX(OFFSET('Baseline NFPC'!$D$1:$W$1,$D50-1,0),MATCH(Q$4,'Baseline NFPC'!$D$10:$W$10,0))</f>
        <v>1.1618470000000001</v>
      </c>
      <c r="R50" s="331">
        <f ca="1">INDEX(OFFSET('Baseline NFPC'!$D$1:$W$1,$D50-1,0),MATCH(R$4,'Baseline NFPC'!$D$10:$W$10,0))</f>
        <v>1.242713</v>
      </c>
      <c r="S50" s="331">
        <f ca="1">INDEX(OFFSET('Baseline NFPC'!$D$1:$W$1,$D50-1,0),MATCH(S$4,'Baseline NFPC'!$D$10:$W$10,0))</f>
        <v>1.3235840000000001</v>
      </c>
      <c r="T50" s="331">
        <f ca="1">INDEX(OFFSET('Baseline NFPC'!$D$1:$W$1,$D50-1,0),MATCH(T$4,'Baseline NFPC'!$D$10:$W$10,0))</f>
        <v>1.4044559999999999</v>
      </c>
      <c r="U50" s="331">
        <f ca="1">INDEX(OFFSET('Baseline NFPC'!$D$1:$W$1,$D50-1,0),MATCH(U$4,'Baseline NFPC'!$D$10:$W$10,0))</f>
        <v>1.4681709999999999</v>
      </c>
      <c r="V50" s="331">
        <f ca="1">INDEX(OFFSET('Baseline NFPC'!$D$1:$W$1,$D50-1,0),MATCH(V$4,'Baseline NFPC'!$D$10:$W$10,0))</f>
        <v>1.5339339999999999</v>
      </c>
      <c r="W50" s="331">
        <f ca="1">INDEX(OFFSET('Baseline NFPC'!$D$1:$W$1,$D50-1,0),MATCH(W$4,'Baseline NFPC'!$D$10:$W$10,0))</f>
        <v>1.5987119999999999</v>
      </c>
      <c r="X50" s="331">
        <f ca="1">INDEX(OFFSET('Baseline NFPC'!$D$1:$W$1,$D50-1,0),MATCH(X$4,'Baseline NFPC'!$D$10:$W$10,0))</f>
        <v>1.5829789999999999</v>
      </c>
      <c r="Y50" s="270"/>
    </row>
    <row r="51" spans="1:25" x14ac:dyDescent="0.25">
      <c r="A51" s="270"/>
      <c r="B51" s="338">
        <v>11</v>
      </c>
      <c r="C51" s="347" t="s">
        <v>227</v>
      </c>
      <c r="D51" s="343">
        <v>41</v>
      </c>
      <c r="E51" s="344" t="s">
        <v>225</v>
      </c>
      <c r="F51" s="331">
        <f ca="1">INDEX(OFFSET('Baseline NFPC'!$D$1:$W$1,$D51-1,0),MATCH(F$4,'Baseline NFPC'!$D$10:$W$10,0))</f>
        <v>6.6476540000000002</v>
      </c>
      <c r="G51" s="331">
        <f ca="1">INDEX(OFFSET('Baseline NFPC'!$D$1:$W$1,$D51-1,0),MATCH(G$4,'Baseline NFPC'!$D$10:$W$10,0))</f>
        <v>4.2327859999999999</v>
      </c>
      <c r="H51" s="331">
        <f ca="1">INDEX(OFFSET('Baseline NFPC'!$D$1:$W$1,$D51-1,0),MATCH(H$4,'Baseline NFPC'!$D$10:$W$10,0))</f>
        <v>2.2870180000000002</v>
      </c>
      <c r="I51" s="331">
        <f ca="1">INDEX(OFFSET('Baseline NFPC'!$D$1:$W$1,$D51-1,0),MATCH(I$4,'Baseline NFPC'!$D$10:$W$10,0))</f>
        <v>1.878755</v>
      </c>
      <c r="J51" s="331">
        <f ca="1">INDEX(OFFSET('Baseline NFPC'!$D$1:$W$1,$D51-1,0),MATCH(J$4,'Baseline NFPC'!$D$10:$W$10,0))</f>
        <v>1.9376606249999999</v>
      </c>
      <c r="K51" s="331">
        <f ca="1">INDEX(OFFSET('Baseline NFPC'!$D$1:$W$1,$D51-1,0),MATCH(K$4,'Baseline NFPC'!$D$10:$W$10,0))</f>
        <v>1.9965662499999999</v>
      </c>
      <c r="L51" s="331">
        <f ca="1">INDEX(OFFSET('Baseline NFPC'!$D$1:$W$1,$D51-1,0),MATCH(L$4,'Baseline NFPC'!$D$10:$W$10,0))</f>
        <v>2.0554718749999998</v>
      </c>
      <c r="M51" s="331">
        <f ca="1">INDEX(OFFSET('Baseline NFPC'!$D$1:$W$1,$D51-1,0),MATCH(M$4,'Baseline NFPC'!$D$10:$W$10,0))</f>
        <v>2.1143774999999998</v>
      </c>
      <c r="N51" s="331">
        <f ca="1">INDEX(OFFSET('Baseline NFPC'!$D$1:$W$1,$D51-1,0),MATCH(N$4,'Baseline NFPC'!$D$10:$W$10,0))</f>
        <v>2.1732831250000002</v>
      </c>
      <c r="O51" s="331">
        <f ca="1">INDEX(OFFSET('Baseline NFPC'!$D$1:$W$1,$D51-1,0),MATCH(O$4,'Baseline NFPC'!$D$10:$W$10,0))</f>
        <v>2.2321887500000002</v>
      </c>
      <c r="P51" s="331">
        <f ca="1">INDEX(OFFSET('Baseline NFPC'!$D$1:$W$1,$D51-1,0),MATCH(P$4,'Baseline NFPC'!$D$10:$W$10,0))</f>
        <v>2.2910943750000001</v>
      </c>
      <c r="Q51" s="331">
        <f ca="1">INDEX(OFFSET('Baseline NFPC'!$D$1:$W$1,$D51-1,0),MATCH(Q$4,'Baseline NFPC'!$D$10:$W$10,0))</f>
        <v>2.35</v>
      </c>
      <c r="R51" s="331">
        <f ca="1">INDEX(OFFSET('Baseline NFPC'!$D$1:$W$1,$D51-1,0),MATCH(R$4,'Baseline NFPC'!$D$10:$W$10,0))</f>
        <v>2.3325</v>
      </c>
      <c r="S51" s="331">
        <f ca="1">INDEX(OFFSET('Baseline NFPC'!$D$1:$W$1,$D51-1,0),MATCH(S$4,'Baseline NFPC'!$D$10:$W$10,0))</f>
        <v>2.3149999999999999</v>
      </c>
      <c r="T51" s="331">
        <f ca="1">INDEX(OFFSET('Baseline NFPC'!$D$1:$W$1,$D51-1,0),MATCH(T$4,'Baseline NFPC'!$D$10:$W$10,0))</f>
        <v>2.2974999999999999</v>
      </c>
      <c r="U51" s="331">
        <f ca="1">INDEX(OFFSET('Baseline NFPC'!$D$1:$W$1,$D51-1,0),MATCH(U$4,'Baseline NFPC'!$D$10:$W$10,0))</f>
        <v>2.2800000000000002</v>
      </c>
      <c r="V51" s="331">
        <f ca="1">INDEX(OFFSET('Baseline NFPC'!$D$1:$W$1,$D51-1,0),MATCH(V$4,'Baseline NFPC'!$D$10:$W$10,0))</f>
        <v>2.2625000000000002</v>
      </c>
      <c r="W51" s="331">
        <f ca="1">INDEX(OFFSET('Baseline NFPC'!$D$1:$W$1,$D51-1,0),MATCH(W$4,'Baseline NFPC'!$D$10:$W$10,0))</f>
        <v>2.2450000000000001</v>
      </c>
      <c r="X51" s="331">
        <f ca="1">INDEX(OFFSET('Baseline NFPC'!$D$1:$W$1,$D51-1,0),MATCH(X$4,'Baseline NFPC'!$D$10:$W$10,0))</f>
        <v>2.2275</v>
      </c>
      <c r="Y51" s="270"/>
    </row>
    <row r="52" spans="1:25" x14ac:dyDescent="0.25">
      <c r="A52" s="270"/>
      <c r="B52" s="338">
        <v>12</v>
      </c>
      <c r="C52" s="334" t="s">
        <v>228</v>
      </c>
      <c r="D52" s="343">
        <v>32</v>
      </c>
      <c r="E52" s="344" t="s">
        <v>225</v>
      </c>
      <c r="F52" s="331">
        <f ca="1">INDEX(OFFSET('Baseline NFPC'!$D$1:$W$1,$D52-1,0),MATCH(F$4,'Baseline NFPC'!$D$10:$W$10,0))</f>
        <v>5.6292074041030871</v>
      </c>
      <c r="G52" s="331">
        <f ca="1">INDEX(OFFSET('Baseline NFPC'!$D$1:$W$1,$D52-1,0),MATCH(G$4,'Baseline NFPC'!$D$10:$W$10,0))</f>
        <v>3.584825074719511</v>
      </c>
      <c r="H52" s="331">
        <f ca="1">INDEX(OFFSET('Baseline NFPC'!$D$1:$W$1,$D52-1,0),MATCH(H$4,'Baseline NFPC'!$D$10:$W$10,0))</f>
        <v>3.1059061812601652</v>
      </c>
      <c r="I52" s="331">
        <f ca="1">INDEX(OFFSET('Baseline NFPC'!$D$1:$W$1,$D52-1,0),MATCH(I$4,'Baseline NFPC'!$D$10:$W$10,0))</f>
        <v>3.2854703605637248</v>
      </c>
      <c r="J52" s="331">
        <f ca="1">INDEX(OFFSET('Baseline NFPC'!$D$1:$W$1,$D52-1,0),MATCH(J$4,'Baseline NFPC'!$D$10:$W$10,0))</f>
        <v>3.2784385201877875</v>
      </c>
      <c r="K52" s="331">
        <f ca="1">INDEX(OFFSET('Baseline NFPC'!$D$1:$W$1,$D52-1,0),MATCH(K$4,'Baseline NFPC'!$D$10:$W$10,0))</f>
        <v>3.2620468271546965</v>
      </c>
      <c r="L52" s="331">
        <f ca="1">INDEX(OFFSET('Baseline NFPC'!$D$1:$W$1,$D52-1,0),MATCH(L$4,'Baseline NFPC'!$D$10:$W$10,0))</f>
        <v>3.3544063660475798</v>
      </c>
      <c r="M52" s="331">
        <f ca="1">INDEX(OFFSET('Baseline NFPC'!$D$1:$W$1,$D52-1,0),MATCH(M$4,'Baseline NFPC'!$D$10:$W$10,0))</f>
        <v>3.2524534698190388</v>
      </c>
      <c r="N52" s="331">
        <f ca="1">INDEX(OFFSET('Baseline NFPC'!$D$1:$W$1,$D52-1,0),MATCH(N$4,'Baseline NFPC'!$D$10:$W$10,0))</f>
        <v>3.322809190118603</v>
      </c>
      <c r="O52" s="331">
        <f ca="1">INDEX(OFFSET('Baseline NFPC'!$D$1:$W$1,$D52-1,0),MATCH(O$4,'Baseline NFPC'!$D$10:$W$10,0))</f>
        <v>3.3756128436494892</v>
      </c>
      <c r="P52" s="331">
        <f ca="1">INDEX(OFFSET('Baseline NFPC'!$D$1:$W$1,$D52-1,0),MATCH(P$4,'Baseline NFPC'!$D$10:$W$10,0))</f>
        <v>3.4338720689605085</v>
      </c>
      <c r="Q52" s="331">
        <f ca="1">INDEX(OFFSET('Baseline NFPC'!$D$1:$W$1,$D52-1,0),MATCH(Q$4,'Baseline NFPC'!$D$10:$W$10,0))</f>
        <v>3.5391504044999911</v>
      </c>
      <c r="R52" s="331">
        <f ca="1">INDEX(OFFSET('Baseline NFPC'!$D$1:$W$1,$D52-1,0),MATCH(R$4,'Baseline NFPC'!$D$10:$W$10,0))</f>
        <v>3.6041992807250178</v>
      </c>
      <c r="S52" s="331">
        <f ca="1">INDEX(OFFSET('Baseline NFPC'!$D$1:$W$1,$D52-1,0),MATCH(S$4,'Baseline NFPC'!$D$10:$W$10,0))</f>
        <v>3.6692249696000045</v>
      </c>
      <c r="T52" s="331">
        <f ca="1">INDEX(OFFSET('Baseline NFPC'!$D$1:$W$1,$D52-1,0),MATCH(T$4,'Baseline NFPC'!$D$10:$W$10,0))</f>
        <v>3.7342233766000099</v>
      </c>
      <c r="U52" s="331">
        <f ca="1">INDEX(OFFSET('Baseline NFPC'!$D$1:$W$1,$D52-1,0),MATCH(U$4,'Baseline NFPC'!$D$10:$W$10,0))</f>
        <v>3.7816452988000071</v>
      </c>
      <c r="V52" s="331">
        <f ca="1">INDEX(OFFSET('Baseline NFPC'!$D$1:$W$1,$D52-1,0),MATCH(V$4,'Baseline NFPC'!$D$10:$W$10,0))</f>
        <v>3.8311392567499825</v>
      </c>
      <c r="W52" s="331">
        <f ca="1">INDEX(OFFSET('Baseline NFPC'!$D$1:$W$1,$D52-1,0),MATCH(W$4,'Baseline NFPC'!$D$10:$W$10,0))</f>
        <v>3.8796030844000073</v>
      </c>
      <c r="X52" s="331">
        <f ca="1">INDEX(OFFSET('Baseline NFPC'!$D$1:$W$1,$D52-1,0),MATCH(X$4,'Baseline NFPC'!$D$10:$W$10,0))</f>
        <v>3.8457398572250057</v>
      </c>
      <c r="Y52" s="270"/>
    </row>
    <row r="53" spans="1:25" x14ac:dyDescent="0.25">
      <c r="A53" s="270"/>
      <c r="B53" s="338">
        <v>13</v>
      </c>
      <c r="C53" s="334" t="s">
        <v>68</v>
      </c>
      <c r="D53" s="333"/>
      <c r="E53" s="344" t="s">
        <v>222</v>
      </c>
      <c r="F53" s="350">
        <f>'Input data'!$C$49</f>
        <v>0.75</v>
      </c>
      <c r="G53" s="270"/>
      <c r="H53" s="270"/>
      <c r="I53" s="270"/>
      <c r="J53" s="270"/>
      <c r="K53" s="270"/>
      <c r="L53" s="270"/>
      <c r="M53" s="270"/>
      <c r="N53" s="270"/>
      <c r="O53" s="270"/>
      <c r="P53" s="270"/>
      <c r="Q53" s="270"/>
      <c r="R53" s="270"/>
      <c r="S53" s="270"/>
      <c r="T53" s="270"/>
      <c r="U53" s="270"/>
      <c r="V53" s="270"/>
      <c r="W53" s="270"/>
      <c r="X53" s="270"/>
      <c r="Y53" s="270"/>
    </row>
    <row r="54" spans="1:25" x14ac:dyDescent="0.25">
      <c r="A54" s="270"/>
      <c r="B54" s="332"/>
      <c r="C54" s="353"/>
      <c r="D54" s="353"/>
      <c r="E54" s="353"/>
      <c r="F54" s="353"/>
      <c r="G54" s="353"/>
      <c r="H54" s="353"/>
      <c r="I54" s="353"/>
      <c r="J54" s="353"/>
      <c r="K54" s="270"/>
      <c r="L54" s="270"/>
      <c r="M54" s="270"/>
      <c r="N54" s="270"/>
      <c r="O54" s="270"/>
      <c r="P54" s="270"/>
      <c r="Q54" s="270"/>
      <c r="R54" s="270"/>
      <c r="S54" s="270"/>
      <c r="T54" s="270"/>
      <c r="U54" s="270"/>
      <c r="V54" s="270"/>
      <c r="W54" s="270"/>
      <c r="X54" s="270"/>
      <c r="Y54" s="270"/>
    </row>
    <row r="55" spans="1:25" x14ac:dyDescent="0.25">
      <c r="A55" s="270"/>
      <c r="B55" s="354"/>
      <c r="C55" s="336" t="s">
        <v>234</v>
      </c>
      <c r="D55" s="337"/>
      <c r="E55" s="337"/>
      <c r="F55" s="337"/>
      <c r="G55" s="353"/>
      <c r="H55" s="353"/>
      <c r="I55" s="353"/>
      <c r="J55" s="353"/>
      <c r="K55" s="270"/>
      <c r="L55" s="270"/>
      <c r="M55" s="270"/>
      <c r="N55" s="270"/>
      <c r="O55" s="270"/>
      <c r="P55" s="270"/>
      <c r="Q55" s="270"/>
      <c r="R55" s="270"/>
      <c r="S55" s="270"/>
      <c r="T55" s="270"/>
      <c r="U55" s="270"/>
      <c r="V55" s="270"/>
      <c r="W55" s="270"/>
      <c r="X55" s="270"/>
      <c r="Y55" s="270"/>
    </row>
    <row r="56" spans="1:25" x14ac:dyDescent="0.25">
      <c r="A56" s="270"/>
      <c r="B56" s="332"/>
      <c r="C56" s="353"/>
      <c r="D56" s="353"/>
      <c r="E56" s="353"/>
      <c r="F56" s="353"/>
      <c r="G56" s="353"/>
      <c r="H56" s="353"/>
      <c r="I56" s="353"/>
      <c r="J56" s="353"/>
      <c r="K56" s="270"/>
      <c r="L56" s="270"/>
      <c r="M56" s="270"/>
      <c r="N56" s="270"/>
      <c r="O56" s="270"/>
      <c r="P56" s="270"/>
      <c r="Q56" s="270"/>
      <c r="R56" s="270"/>
      <c r="S56" s="270"/>
      <c r="T56" s="270"/>
      <c r="U56" s="270"/>
      <c r="V56" s="270"/>
      <c r="W56" s="270"/>
      <c r="X56" s="270"/>
      <c r="Y56" s="270"/>
    </row>
    <row r="57" spans="1:25" x14ac:dyDescent="0.25">
      <c r="A57" s="270"/>
      <c r="B57" s="338"/>
      <c r="C57" s="336"/>
      <c r="D57" s="336"/>
      <c r="E57" s="341"/>
      <c r="F57" s="341">
        <f>'Input data'!$C$5-1</f>
        <v>2023</v>
      </c>
      <c r="G57" s="341">
        <f>F57+1</f>
        <v>2024</v>
      </c>
      <c r="H57" s="341">
        <f t="shared" ref="H57:X57" si="5">G57+1</f>
        <v>2025</v>
      </c>
      <c r="I57" s="341">
        <f t="shared" si="5"/>
        <v>2026</v>
      </c>
      <c r="J57" s="341">
        <f t="shared" si="5"/>
        <v>2027</v>
      </c>
      <c r="K57" s="341">
        <f t="shared" si="5"/>
        <v>2028</v>
      </c>
      <c r="L57" s="341">
        <f t="shared" si="5"/>
        <v>2029</v>
      </c>
      <c r="M57" s="341">
        <f t="shared" si="5"/>
        <v>2030</v>
      </c>
      <c r="N57" s="341">
        <f t="shared" si="5"/>
        <v>2031</v>
      </c>
      <c r="O57" s="341">
        <f t="shared" si="5"/>
        <v>2032</v>
      </c>
      <c r="P57" s="341">
        <f t="shared" si="5"/>
        <v>2033</v>
      </c>
      <c r="Q57" s="341">
        <f t="shared" si="5"/>
        <v>2034</v>
      </c>
      <c r="R57" s="341">
        <f t="shared" si="5"/>
        <v>2035</v>
      </c>
      <c r="S57" s="341">
        <f t="shared" si="5"/>
        <v>2036</v>
      </c>
      <c r="T57" s="341">
        <f t="shared" si="5"/>
        <v>2037</v>
      </c>
      <c r="U57" s="341">
        <f t="shared" si="5"/>
        <v>2038</v>
      </c>
      <c r="V57" s="341">
        <f t="shared" si="5"/>
        <v>2039</v>
      </c>
      <c r="W57" s="341">
        <f t="shared" si="5"/>
        <v>2040</v>
      </c>
      <c r="X57" s="341">
        <f t="shared" si="5"/>
        <v>2041</v>
      </c>
      <c r="Y57" s="270"/>
    </row>
    <row r="58" spans="1:25" x14ac:dyDescent="0.25">
      <c r="A58" s="270"/>
      <c r="B58" s="338">
        <v>1</v>
      </c>
      <c r="C58" s="342" t="s">
        <v>215</v>
      </c>
      <c r="D58" s="343">
        <v>100</v>
      </c>
      <c r="E58" s="344" t="s">
        <v>216</v>
      </c>
      <c r="F58" s="331">
        <f ca="1">INDEX(OFFSET('Adjustment scenario'!$D$1:$W$1,$D58-1,0),MATCH(F$4,'Adjustment scenario'!$D$10:$W$10,0))</f>
        <v>78.551901298157986</v>
      </c>
      <c r="G58" s="331">
        <f ca="1">INDEX(OFFSET('Adjustment scenario'!$D$1:$W$1,$D58-1,0),MATCH(G$4,'Adjustment scenario'!$D$10:$W$10,0))</f>
        <v>79.538050043568091</v>
      </c>
      <c r="H58" s="331">
        <f ca="1">INDEX(OFFSET('Adjustment scenario'!$D$1:$W$1,$D58-1,0),MATCH(H$4,'Adjustment scenario'!$D$10:$W$10,0))</f>
        <v>80.81308351777497</v>
      </c>
      <c r="I58" s="331">
        <f ca="1">INDEX(OFFSET('Adjustment scenario'!$D$1:$W$1,$D58-1,0),MATCH(I$4,'Adjustment scenario'!$D$10:$W$10,0))</f>
        <v>80.673510410562542</v>
      </c>
      <c r="J58" s="331">
        <f ca="1">INDEX(OFFSET('Adjustment scenario'!$D$1:$W$1,$D58-1,0),MATCH(J$4,'Adjustment scenario'!$D$10:$W$10,0))</f>
        <v>79.48432826464655</v>
      </c>
      <c r="K58" s="331">
        <f ca="1">INDEX(OFFSET('Adjustment scenario'!$D$1:$W$1,$D58-1,0),MATCH(K$4,'Adjustment scenario'!$D$10:$W$10,0))</f>
        <v>77.440279840980196</v>
      </c>
      <c r="L58" s="331">
        <f ca="1">INDEX(OFFSET('Adjustment scenario'!$D$1:$W$1,$D58-1,0),MATCH(L$4,'Adjustment scenario'!$D$10:$W$10,0))</f>
        <v>74.56090054436207</v>
      </c>
      <c r="M58" s="331">
        <f ca="1">INDEX(OFFSET('Adjustment scenario'!$D$1:$W$1,$D58-1,0),MATCH(M$4,'Adjustment scenario'!$D$10:$W$10,0))</f>
        <v>71.405870602116863</v>
      </c>
      <c r="N58" s="331">
        <f ca="1">INDEX(OFFSET('Adjustment scenario'!$D$1:$W$1,$D58-1,0),MATCH(N$4,'Adjustment scenario'!$D$10:$W$10,0))</f>
        <v>68.033115547593226</v>
      </c>
      <c r="O58" s="331">
        <f ca="1">INDEX(OFFSET('Adjustment scenario'!$D$1:$W$1,$D58-1,0),MATCH(O$4,'Adjustment scenario'!$D$10:$W$10,0))</f>
        <v>65.291534886659576</v>
      </c>
      <c r="P58" s="331">
        <f ca="1">INDEX(OFFSET('Adjustment scenario'!$D$1:$W$1,$D58-1,0),MATCH(P$4,'Adjustment scenario'!$D$10:$W$10,0))</f>
        <v>62.645109416404111</v>
      </c>
      <c r="Q58" s="331">
        <f ca="1">INDEX(OFFSET('Adjustment scenario'!$D$1:$W$1,$D58-1,0),MATCH(Q$4,'Adjustment scenario'!$D$10:$W$10,0))</f>
        <v>60.093315951197539</v>
      </c>
      <c r="R58" s="331">
        <f ca="1">INDEX(OFFSET('Adjustment scenario'!$D$1:$W$1,$D58-1,0),MATCH(R$4,'Adjustment scenario'!$D$10:$W$10,0))</f>
        <v>57.621896915828984</v>
      </c>
      <c r="S58" s="331">
        <f ca="1">INDEX(OFFSET('Adjustment scenario'!$D$1:$W$1,$D58-1,0),MATCH(S$4,'Adjustment scenario'!$D$10:$W$10,0))</f>
        <v>55.211522341537957</v>
      </c>
      <c r="T58" s="331">
        <f ca="1">INDEX(OFFSET('Adjustment scenario'!$D$1:$W$1,$D58-1,0),MATCH(T$4,'Adjustment scenario'!$D$10:$W$10,0))</f>
        <v>52.850051033444075</v>
      </c>
      <c r="U58" s="331">
        <f ca="1">INDEX(OFFSET('Adjustment scenario'!$D$1:$W$1,$D58-1,0),MATCH(U$4,'Adjustment scenario'!$D$10:$W$10,0))</f>
        <v>50.529230302824104</v>
      </c>
      <c r="V58" s="331">
        <f ca="1">INDEX(OFFSET('Adjustment scenario'!$D$1:$W$1,$D58-1,0),MATCH(V$4,'Adjustment scenario'!$D$10:$W$10,0))</f>
        <v>48.238332766270851</v>
      </c>
      <c r="W58" s="331">
        <f ca="1">INDEX(OFFSET('Adjustment scenario'!$D$1:$W$1,$D58-1,0),MATCH(W$4,'Adjustment scenario'!$D$10:$W$10,0))</f>
        <v>45.963463791879441</v>
      </c>
      <c r="X58" s="331">
        <f ca="1">INDEX(OFFSET('Adjustment scenario'!$D$1:$W$1,$D58-1,0),MATCH(X$4,'Adjustment scenario'!$D$10:$W$10,0))</f>
        <v>43.746386412174409</v>
      </c>
      <c r="Y58" s="270"/>
    </row>
    <row r="59" spans="1:25" x14ac:dyDescent="0.25">
      <c r="A59" s="270"/>
      <c r="B59" s="338">
        <f>B58+1</f>
        <v>2</v>
      </c>
      <c r="C59" s="345" t="s">
        <v>125</v>
      </c>
      <c r="D59" s="343">
        <v>102</v>
      </c>
      <c r="E59" s="344" t="s">
        <v>216</v>
      </c>
      <c r="F59" s="331">
        <f ca="1">INDEX(OFFSET('Adjustment scenario'!$D$1:$W$1,$D59-1,0),MATCH(F$4,'Adjustment scenario'!$D$10:$W$10,0))</f>
        <v>8.3684210076244501</v>
      </c>
      <c r="G59" s="331">
        <f ca="1">INDEX(OFFSET('Adjustment scenario'!$D$1:$W$1,$D59-1,0),MATCH(G$4,'Adjustment scenario'!$D$10:$W$10,0))</f>
        <v>7.6131291238171945</v>
      </c>
      <c r="H59" s="331">
        <f ca="1">INDEX(OFFSET('Adjustment scenario'!$D$1:$W$1,$D59-1,0),MATCH(H$4,'Adjustment scenario'!$D$10:$W$10,0))</f>
        <v>7.772030499095739</v>
      </c>
      <c r="I59" s="331">
        <f ca="1">INDEX(OFFSET('Adjustment scenario'!$D$1:$W$1,$D59-1,0),MATCH(I$4,'Adjustment scenario'!$D$10:$W$10,0))</f>
        <v>7.8329070914089343</v>
      </c>
      <c r="J59" s="331">
        <f ca="1">INDEX(OFFSET('Adjustment scenario'!$D$1:$W$1,$D59-1,0),MATCH(J$4,'Adjustment scenario'!$D$10:$W$10,0))</f>
        <v>7.7772648000482922</v>
      </c>
      <c r="K59" s="331">
        <f ca="1">INDEX(OFFSET('Adjustment scenario'!$D$1:$W$1,$D59-1,0),MATCH(K$4,'Adjustment scenario'!$D$10:$W$10,0))</f>
        <v>7.6321614996297935</v>
      </c>
      <c r="L59" s="331">
        <f ca="1">INDEX(OFFSET('Adjustment scenario'!$D$1:$W$1,$D59-1,0),MATCH(L$4,'Adjustment scenario'!$D$10:$W$10,0))</f>
        <v>7.327544478051494</v>
      </c>
      <c r="M59" s="331">
        <f ca="1">INDEX(OFFSET('Adjustment scenario'!$D$1:$W$1,$D59-1,0),MATCH(M$4,'Adjustment scenario'!$D$10:$W$10,0))</f>
        <v>6.8554457548140997</v>
      </c>
      <c r="N59" s="331">
        <f ca="1">INDEX(OFFSET('Adjustment scenario'!$D$1:$W$1,$D59-1,0),MATCH(N$4,'Adjustment scenario'!$D$10:$W$10,0))</f>
        <v>6.3641164408632678</v>
      </c>
      <c r="O59" s="331">
        <f ca="1">INDEX(OFFSET('Adjustment scenario'!$D$1:$W$1,$D59-1,0),MATCH(O$4,'Adjustment scenario'!$D$10:$W$10,0))</f>
        <v>6.1271273553732888</v>
      </c>
      <c r="P59" s="331">
        <f ca="1">INDEX(OFFSET('Adjustment scenario'!$D$1:$W$1,$D59-1,0),MATCH(P$4,'Adjustment scenario'!$D$10:$W$10,0))</f>
        <v>5.8772664968885975</v>
      </c>
      <c r="Q59" s="331">
        <f ca="1">INDEX(OFFSET('Adjustment scenario'!$D$1:$W$1,$D59-1,0),MATCH(Q$4,'Adjustment scenario'!$D$10:$W$10,0))</f>
        <v>5.6510442415049518</v>
      </c>
      <c r="R59" s="331">
        <f ca="1">INDEX(OFFSET('Adjustment scenario'!$D$1:$W$1,$D59-1,0),MATCH(R$4,'Adjustment scenario'!$D$10:$W$10,0))</f>
        <v>5.4350423067671629</v>
      </c>
      <c r="S59" s="331">
        <f ca="1">INDEX(OFFSET('Adjustment scenario'!$D$1:$W$1,$D59-1,0),MATCH(S$4,'Adjustment scenario'!$D$10:$W$10,0))</f>
        <v>5.2133384165335155</v>
      </c>
      <c r="T59" s="331">
        <f ca="1">INDEX(OFFSET('Adjustment scenario'!$D$1:$W$1,$D59-1,0),MATCH(T$4,'Adjustment scenario'!$D$10:$W$10,0))</f>
        <v>4.9883752245056909</v>
      </c>
      <c r="U59" s="331">
        <f ca="1">INDEX(OFFSET('Adjustment scenario'!$D$1:$W$1,$D59-1,0),MATCH(U$4,'Adjustment scenario'!$D$10:$W$10,0))</f>
        <v>4.7564960092529258</v>
      </c>
      <c r="V59" s="331">
        <f ca="1">INDEX(OFFSET('Adjustment scenario'!$D$1:$W$1,$D59-1,0),MATCH(V$4,'Adjustment scenario'!$D$10:$W$10,0))</f>
        <v>4.5207172267544538</v>
      </c>
      <c r="W59" s="331">
        <f ca="1">INDEX(OFFSET('Adjustment scenario'!$D$1:$W$1,$D59-1,0),MATCH(W$4,'Adjustment scenario'!$D$10:$W$10,0))</f>
        <v>4.276377356754379</v>
      </c>
      <c r="X59" s="331">
        <f ca="1">INDEX(OFFSET('Adjustment scenario'!$D$1:$W$1,$D59-1,0),MATCH(X$4,'Adjustment scenario'!$D$10:$W$10,0))</f>
        <v>4.0389884901269131</v>
      </c>
      <c r="Y59" s="270"/>
    </row>
    <row r="60" spans="1:25" x14ac:dyDescent="0.25">
      <c r="A60" s="270"/>
      <c r="B60" s="338">
        <f t="shared" ref="B60:B62" si="6">B59+1</f>
        <v>3</v>
      </c>
      <c r="C60" s="345" t="s">
        <v>126</v>
      </c>
      <c r="D60" s="343">
        <v>103</v>
      </c>
      <c r="E60" s="344" t="s">
        <v>216</v>
      </c>
      <c r="F60" s="331">
        <f ca="1">INDEX(OFFSET('Adjustment scenario'!$D$1:$W$1,$D60-1,0),MATCH(F$4,'Adjustment scenario'!$D$10:$W$10,0))</f>
        <v>5.2995447382705345</v>
      </c>
      <c r="G60" s="331">
        <f ca="1">INDEX(OFFSET('Adjustment scenario'!$D$1:$W$1,$D60-1,0),MATCH(G$4,'Adjustment scenario'!$D$10:$W$10,0))</f>
        <v>5.4165985451724916</v>
      </c>
      <c r="H60" s="331">
        <f ca="1">INDEX(OFFSET('Adjustment scenario'!$D$1:$W$1,$D60-1,0),MATCH(H$4,'Adjustment scenario'!$D$10:$W$10,0))</f>
        <v>5.5444254320799606</v>
      </c>
      <c r="I60" s="331">
        <f ca="1">INDEX(OFFSET('Adjustment scenario'!$D$1:$W$1,$D60-1,0),MATCH(I$4,'Adjustment scenario'!$D$10:$W$10,0))</f>
        <v>5.6043092884990209</v>
      </c>
      <c r="J60" s="331">
        <f ca="1">INDEX(OFFSET('Adjustment scenario'!$D$1:$W$1,$D60-1,0),MATCH(J$4,'Adjustment scenario'!$D$10:$W$10,0))</f>
        <v>5.5828888382246653</v>
      </c>
      <c r="K60" s="331">
        <f ca="1">INDEX(OFFSET('Adjustment scenario'!$D$1:$W$1,$D60-1,0),MATCH(K$4,'Adjustment scenario'!$D$10:$W$10,0))</f>
        <v>5.4984513637899308</v>
      </c>
      <c r="L60" s="331">
        <f ca="1">INDEX(OFFSET('Adjustment scenario'!$D$1:$W$1,$D60-1,0),MATCH(L$4,'Adjustment scenario'!$D$10:$W$10,0))</f>
        <v>5.2994441921879458</v>
      </c>
      <c r="M60" s="331">
        <f ca="1">INDEX(OFFSET('Adjustment scenario'!$D$1:$W$1,$D60-1,0),MATCH(M$4,'Adjustment scenario'!$D$10:$W$10,0))</f>
        <v>4.9668471152539064</v>
      </c>
      <c r="N60" s="331">
        <f ca="1">INDEX(OFFSET('Adjustment scenario'!$D$1:$W$1,$D60-1,0),MATCH(N$4,'Adjustment scenario'!$D$10:$W$10,0))</f>
        <v>4.5229889633835088</v>
      </c>
      <c r="O60" s="331">
        <f ca="1">INDEX(OFFSET('Adjustment scenario'!$D$1:$W$1,$D60-1,0),MATCH(O$4,'Adjustment scenario'!$D$10:$W$10,0))</f>
        <v>4.164852765901915</v>
      </c>
      <c r="P60" s="331">
        <f ca="1">INDEX(OFFSET('Adjustment scenario'!$D$1:$W$1,$D60-1,0),MATCH(P$4,'Adjustment scenario'!$D$10:$W$10,0))</f>
        <v>3.8374406111194919</v>
      </c>
      <c r="Q60" s="331">
        <f ca="1">INDEX(OFFSET('Adjustment scenario'!$D$1:$W$1,$D60-1,0),MATCH(Q$4,'Adjustment scenario'!$D$10:$W$10,0))</f>
        <v>3.5479549796618191</v>
      </c>
      <c r="R60" s="331">
        <f ca="1">INDEX(OFFSET('Adjustment scenario'!$D$1:$W$1,$D60-1,0),MATCH(R$4,'Adjustment scenario'!$D$10:$W$10,0))</f>
        <v>3.2811473801764204</v>
      </c>
      <c r="S60" s="331">
        <f ca="1">INDEX(OFFSET('Adjustment scenario'!$D$1:$W$1,$D60-1,0),MATCH(S$4,'Adjustment scenario'!$D$10:$W$10,0))</f>
        <v>3.0287102039721501</v>
      </c>
      <c r="T60" s="331">
        <f ca="1">INDEX(OFFSET('Adjustment scenario'!$D$1:$W$1,$D60-1,0),MATCH(T$4,'Adjustment scenario'!$D$10:$W$10,0))</f>
        <v>2.7856788336162754</v>
      </c>
      <c r="U60" s="331">
        <f ca="1">INDEX(OFFSET('Adjustment scenario'!$D$1:$W$1,$D60-1,0),MATCH(U$4,'Adjustment scenario'!$D$10:$W$10,0))</f>
        <v>2.5464262116833516</v>
      </c>
      <c r="V60" s="331">
        <f ca="1">INDEX(OFFSET('Adjustment scenario'!$D$1:$W$1,$D60-1,0),MATCH(V$4,'Adjustment scenario'!$D$10:$W$10,0))</f>
        <v>2.3083119709933793</v>
      </c>
      <c r="W60" s="331">
        <f ca="1">INDEX(OFFSET('Adjustment scenario'!$D$1:$W$1,$D60-1,0),MATCH(W$4,'Adjustment scenario'!$D$10:$W$10,0))</f>
        <v>2.0678335277962554</v>
      </c>
      <c r="X60" s="331">
        <f ca="1">INDEX(OFFSET('Adjustment scenario'!$D$1:$W$1,$D60-1,0),MATCH(X$4,'Adjustment scenario'!$D$10:$W$10,0))</f>
        <v>1.8306637786983104</v>
      </c>
      <c r="Y60" s="270"/>
    </row>
    <row r="61" spans="1:25" x14ac:dyDescent="0.25">
      <c r="A61" s="270"/>
      <c r="B61" s="338">
        <f t="shared" si="6"/>
        <v>4</v>
      </c>
      <c r="C61" s="345" t="s">
        <v>127</v>
      </c>
      <c r="D61" s="343">
        <v>104</v>
      </c>
      <c r="E61" s="344" t="s">
        <v>216</v>
      </c>
      <c r="F61" s="331">
        <f ca="1">INDEX(OFFSET('Adjustment scenario'!$D$1:$W$1,$D61-1,0),MATCH(F$4,'Adjustment scenario'!$D$10:$W$10,0))</f>
        <v>4.0469720364863182</v>
      </c>
      <c r="G61" s="331">
        <f ca="1">INDEX(OFFSET('Adjustment scenario'!$D$1:$W$1,$D61-1,0),MATCH(G$4,'Adjustment scenario'!$D$10:$W$10,0))</f>
        <v>3.4473554021277226</v>
      </c>
      <c r="H61" s="331">
        <f ca="1">INDEX(OFFSET('Adjustment scenario'!$D$1:$W$1,$D61-1,0),MATCH(H$4,'Adjustment scenario'!$D$10:$W$10,0))</f>
        <v>2.8876068976306266</v>
      </c>
      <c r="I61" s="331">
        <f ca="1">INDEX(OFFSET('Adjustment scenario'!$D$1:$W$1,$D61-1,0),MATCH(I$4,'Adjustment scenario'!$D$10:$W$10,0))</f>
        <v>1.9124139966609757</v>
      </c>
      <c r="J61" s="331">
        <f ca="1">INDEX(OFFSET('Adjustment scenario'!$D$1:$W$1,$D61-1,0),MATCH(J$4,'Adjustment scenario'!$D$10:$W$10,0))</f>
        <v>1.0445936951518187</v>
      </c>
      <c r="K61" s="331">
        <f ca="1">INDEX(OFFSET('Adjustment scenario'!$D$1:$W$1,$D61-1,0),MATCH(K$4,'Adjustment scenario'!$D$10:$W$10,0))</f>
        <v>0.22370682570973727</v>
      </c>
      <c r="L61" s="331">
        <f ca="1">INDEX(OFFSET('Adjustment scenario'!$D$1:$W$1,$D61-1,0),MATCH(L$4,'Adjustment scenario'!$D$10:$W$10,0))</f>
        <v>0</v>
      </c>
      <c r="M61" s="331">
        <f ca="1">INDEX(OFFSET('Adjustment scenario'!$D$1:$W$1,$D61-1,0),MATCH(M$4,'Adjustment scenario'!$D$10:$W$10,0))</f>
        <v>0</v>
      </c>
      <c r="N61" s="331">
        <f ca="1">INDEX(OFFSET('Adjustment scenario'!$D$1:$W$1,$D61-1,0),MATCH(N$4,'Adjustment scenario'!$D$10:$W$10,0))</f>
        <v>0</v>
      </c>
      <c r="O61" s="331">
        <f ca="1">INDEX(OFFSET('Adjustment scenario'!$D$1:$W$1,$D61-1,0),MATCH(O$4,'Adjustment scenario'!$D$10:$W$10,0))</f>
        <v>0</v>
      </c>
      <c r="P61" s="331">
        <f ca="1">INDEX(OFFSET('Adjustment scenario'!$D$1:$W$1,$D61-1,0),MATCH(P$4,'Adjustment scenario'!$D$10:$W$10,0))</f>
        <v>0</v>
      </c>
      <c r="Q61" s="331">
        <f ca="1">INDEX(OFFSET('Adjustment scenario'!$D$1:$W$1,$D61-1,0),MATCH(Q$4,'Adjustment scenario'!$D$10:$W$10,0))</f>
        <v>0</v>
      </c>
      <c r="R61" s="331">
        <f ca="1">INDEX(OFFSET('Adjustment scenario'!$D$1:$W$1,$D61-1,0),MATCH(R$4,'Adjustment scenario'!$D$10:$W$10,0))</f>
        <v>0</v>
      </c>
      <c r="S61" s="331">
        <f ca="1">INDEX(OFFSET('Adjustment scenario'!$D$1:$W$1,$D61-1,0),MATCH(S$4,'Adjustment scenario'!$D$10:$W$10,0))</f>
        <v>0</v>
      </c>
      <c r="T61" s="331">
        <f ca="1">INDEX(OFFSET('Adjustment scenario'!$D$1:$W$1,$D61-1,0),MATCH(T$4,'Adjustment scenario'!$D$10:$W$10,0))</f>
        <v>0</v>
      </c>
      <c r="U61" s="331">
        <f ca="1">INDEX(OFFSET('Adjustment scenario'!$D$1:$W$1,$D61-1,0),MATCH(U$4,'Adjustment scenario'!$D$10:$W$10,0))</f>
        <v>0</v>
      </c>
      <c r="V61" s="331">
        <f ca="1">INDEX(OFFSET('Adjustment scenario'!$D$1:$W$1,$D61-1,0),MATCH(V$4,'Adjustment scenario'!$D$10:$W$10,0))</f>
        <v>0</v>
      </c>
      <c r="W61" s="331">
        <f ca="1">INDEX(OFFSET('Adjustment scenario'!$D$1:$W$1,$D61-1,0),MATCH(W$4,'Adjustment scenario'!$D$10:$W$10,0))</f>
        <v>0</v>
      </c>
      <c r="X61" s="331">
        <f ca="1">INDEX(OFFSET('Adjustment scenario'!$D$1:$W$1,$D61-1,0),MATCH(X$4,'Adjustment scenario'!$D$10:$W$10,0))</f>
        <v>0</v>
      </c>
      <c r="Y61" s="270"/>
    </row>
    <row r="62" spans="1:25" x14ac:dyDescent="0.25">
      <c r="A62" s="270"/>
      <c r="B62" s="338">
        <f t="shared" si="6"/>
        <v>5</v>
      </c>
      <c r="C62" s="345" t="s">
        <v>128</v>
      </c>
      <c r="D62" s="343">
        <v>105</v>
      </c>
      <c r="E62" s="344" t="s">
        <v>216</v>
      </c>
      <c r="F62" s="331">
        <f ca="1">INDEX(OFFSET('Adjustment scenario'!$D$1:$W$1,$D62-1,0),MATCH(F$4,'Adjustment scenario'!$D$10:$W$10,0))</f>
        <v>0.31130552588356658</v>
      </c>
      <c r="G62" s="331">
        <f ca="1">INDEX(OFFSET('Adjustment scenario'!$D$1:$W$1,$D62-1,0),MATCH(G$4,'Adjustment scenario'!$D$10:$W$10,0))</f>
        <v>0.25831964284501346</v>
      </c>
      <c r="H62" s="331">
        <f ca="1">INDEX(OFFSET('Adjustment scenario'!$D$1:$W$1,$D62-1,0),MATCH(H$4,'Adjustment scenario'!$D$10:$W$10,0))</f>
        <v>0.21637617694199801</v>
      </c>
      <c r="I62" s="331">
        <f ca="1">INDEX(OFFSET('Adjustment scenario'!$D$1:$W$1,$D62-1,0),MATCH(I$4,'Adjustment scenario'!$D$10:$W$10,0))</f>
        <v>0.14330234134965034</v>
      </c>
      <c r="J62" s="331">
        <f ca="1">INDEX(OFFSET('Adjustment scenario'!$D$1:$W$1,$D62-1,0),MATCH(J$4,'Adjustment scenario'!$D$10:$W$10,0))</f>
        <v>7.8274224375944779E-2</v>
      </c>
      <c r="K62" s="331">
        <f ca="1">INDEX(OFFSET('Adjustment scenario'!$D$1:$W$1,$D62-1,0),MATCH(K$4,'Adjustment scenario'!$D$10:$W$10,0))</f>
        <v>1.6762956115190235E-2</v>
      </c>
      <c r="L62" s="331">
        <f ca="1">INDEX(OFFSET('Adjustment scenario'!$D$1:$W$1,$D62-1,0),MATCH(L$4,'Adjustment scenario'!$D$10:$W$10,0))</f>
        <v>0</v>
      </c>
      <c r="M62" s="331">
        <f ca="1">INDEX(OFFSET('Adjustment scenario'!$D$1:$W$1,$D62-1,0),MATCH(M$4,'Adjustment scenario'!$D$10:$W$10,0))</f>
        <v>0</v>
      </c>
      <c r="N62" s="331">
        <f ca="1">INDEX(OFFSET('Adjustment scenario'!$D$1:$W$1,$D62-1,0),MATCH(N$4,'Adjustment scenario'!$D$10:$W$10,0))</f>
        <v>0</v>
      </c>
      <c r="O62" s="331">
        <f ca="1">INDEX(OFFSET('Adjustment scenario'!$D$1:$W$1,$D62-1,0),MATCH(O$4,'Adjustment scenario'!$D$10:$W$10,0))</f>
        <v>0</v>
      </c>
      <c r="P62" s="331">
        <f ca="1">INDEX(OFFSET('Adjustment scenario'!$D$1:$W$1,$D62-1,0),MATCH(P$4,'Adjustment scenario'!$D$10:$W$10,0))</f>
        <v>0</v>
      </c>
      <c r="Q62" s="331">
        <f ca="1">INDEX(OFFSET('Adjustment scenario'!$D$1:$W$1,$D62-1,0),MATCH(Q$4,'Adjustment scenario'!$D$10:$W$10,0))</f>
        <v>0</v>
      </c>
      <c r="R62" s="331">
        <f ca="1">INDEX(OFFSET('Adjustment scenario'!$D$1:$W$1,$D62-1,0),MATCH(R$4,'Adjustment scenario'!$D$10:$W$10,0))</f>
        <v>0</v>
      </c>
      <c r="S62" s="331">
        <f ca="1">INDEX(OFFSET('Adjustment scenario'!$D$1:$W$1,$D62-1,0),MATCH(S$4,'Adjustment scenario'!$D$10:$W$10,0))</f>
        <v>0</v>
      </c>
      <c r="T62" s="331">
        <f ca="1">INDEX(OFFSET('Adjustment scenario'!$D$1:$W$1,$D62-1,0),MATCH(T$4,'Adjustment scenario'!$D$10:$W$10,0))</f>
        <v>0</v>
      </c>
      <c r="U62" s="331">
        <f ca="1">INDEX(OFFSET('Adjustment scenario'!$D$1:$W$1,$D62-1,0),MATCH(U$4,'Adjustment scenario'!$D$10:$W$10,0))</f>
        <v>0</v>
      </c>
      <c r="V62" s="331">
        <f ca="1">INDEX(OFFSET('Adjustment scenario'!$D$1:$W$1,$D62-1,0),MATCH(V$4,'Adjustment scenario'!$D$10:$W$10,0))</f>
        <v>0</v>
      </c>
      <c r="W62" s="331">
        <f ca="1">INDEX(OFFSET('Adjustment scenario'!$D$1:$W$1,$D62-1,0),MATCH(W$4,'Adjustment scenario'!$D$10:$W$10,0))</f>
        <v>0</v>
      </c>
      <c r="X62" s="331">
        <f ca="1">INDEX(OFFSET('Adjustment scenario'!$D$1:$W$1,$D62-1,0),MATCH(X$4,'Adjustment scenario'!$D$10:$W$10,0))</f>
        <v>0</v>
      </c>
      <c r="Y62" s="270"/>
    </row>
    <row r="63" spans="1:25" x14ac:dyDescent="0.25">
      <c r="A63" s="270"/>
      <c r="B63" s="270"/>
      <c r="C63" s="270"/>
      <c r="D63" s="270"/>
      <c r="E63" s="270"/>
      <c r="F63" s="270"/>
      <c r="G63" s="270"/>
      <c r="H63" s="270"/>
      <c r="I63" s="270"/>
      <c r="J63" s="270"/>
      <c r="K63" s="270"/>
      <c r="L63" s="270"/>
      <c r="M63" s="270"/>
      <c r="N63" s="270"/>
      <c r="O63" s="270"/>
      <c r="P63" s="270"/>
      <c r="Q63" s="270"/>
      <c r="R63" s="270"/>
      <c r="S63" s="270"/>
      <c r="T63" s="270"/>
      <c r="U63" s="270"/>
      <c r="V63" s="270"/>
      <c r="W63" s="270"/>
      <c r="X63" s="270"/>
      <c r="Y63" s="270"/>
    </row>
  </sheetData>
  <conditionalFormatting sqref="V4:X63">
    <cfRule type="expression" dxfId="1" priority="2">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1" id="{D4889C7C-2BC4-4F4B-831C-552B8B76840F}">
            <xm:f>'Criteria results'!$F$5=4</xm:f>
            <x14:dxf>
              <font>
                <color theme="0"/>
              </font>
              <fill>
                <patternFill>
                  <bgColor theme="0"/>
                </patternFill>
              </fill>
            </x14:dxf>
          </x14:cfRule>
          <xm:sqref>V4:X63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268F-3CB2-413A-8DD9-4FF4DFCEE105}">
  <sheetPr codeName="Sheet21"/>
  <dimension ref="A1:N23"/>
  <sheetViews>
    <sheetView workbookViewId="0"/>
  </sheetViews>
  <sheetFormatPr defaultRowHeight="13.2" x14ac:dyDescent="0.25"/>
  <cols>
    <col min="13" max="13" width="9.88671875" customWidth="1"/>
  </cols>
  <sheetData>
    <row r="1" spans="1:14" x14ac:dyDescent="0.25">
      <c r="A1" t="s">
        <v>201</v>
      </c>
      <c r="B1" t="s">
        <v>202</v>
      </c>
      <c r="C1" t="s">
        <v>203</v>
      </c>
      <c r="D1" t="s">
        <v>204</v>
      </c>
      <c r="E1" t="s">
        <v>205</v>
      </c>
      <c r="F1" t="s">
        <v>206</v>
      </c>
      <c r="G1" t="s">
        <v>207</v>
      </c>
      <c r="H1" t="s">
        <v>208</v>
      </c>
      <c r="I1" t="s">
        <v>209</v>
      </c>
      <c r="J1" t="s">
        <v>210</v>
      </c>
      <c r="K1" t="s">
        <v>211</v>
      </c>
      <c r="L1" t="s">
        <v>212</v>
      </c>
    </row>
    <row r="2" spans="1:14" x14ac:dyDescent="0.25">
      <c r="A2" t="str">
        <f>'Adjustment scenario'!C$3</f>
        <v>AT</v>
      </c>
      <c r="B2">
        <v>2021</v>
      </c>
      <c r="C2" s="7" cm="1">
        <f t="array" ref="C2:C22">TRANSPOSE('Adjust. no safeguard'!C12:W12)</f>
        <v>-3.4934150000000002</v>
      </c>
      <c r="D2" s="7">
        <v>1</v>
      </c>
      <c r="E2" s="7" cm="1">
        <f t="array" ref="E2:E22">TRANSPOSE('Adjust. no safeguard'!C62:W62)</f>
        <v>0</v>
      </c>
      <c r="F2" s="7" cm="1">
        <f t="array" ref="F2:F22">TRANSPOSE('Adjust. no safeguard'!C24:W24)</f>
        <v>4.7953340000000004</v>
      </c>
      <c r="G2" s="7" cm="1">
        <f t="array" ref="G2:G22">TRANSPOSE('Adjust. no safeguard'!C42:W42)</f>
        <v>1.926131</v>
      </c>
      <c r="H2" s="7" cm="1">
        <f t="array" ref="H2:H22">TRANSPOSE('Adjust. no safeguard'!C14:W14)</f>
        <v>2.1047099999999999E-2</v>
      </c>
      <c r="I2" s="7" cm="1">
        <f t="array" ref="I2:I22">TRANSPOSE('Adjust. no safeguard'!C15:W15)</f>
        <v>-1.168344</v>
      </c>
      <c r="J2" s="7" cm="1">
        <f t="array" ref="J2:J22">TRANSPOSE('Adjust. no safeguard'!C64:W64)+TRANSPOSE('Adjust. no safeguard'!C65:W65)+TRANSPOSE('Adjust. no safeguard'!C66:W66)</f>
        <v>0</v>
      </c>
      <c r="K2" s="7" cm="1">
        <f t="array" ref="K2:K22">TRANSPOSE('Adjust. no safeguard'!C57:W57)</f>
        <v>82.394589999999994</v>
      </c>
      <c r="L2" s="7" cm="1">
        <f t="array" ref="L2:L22">TRANSPOSE('Adjust. no safeguard'!C36:W36)</f>
        <v>1.419065</v>
      </c>
      <c r="M2" s="7"/>
      <c r="N2" s="7"/>
    </row>
    <row r="3" spans="1:14" x14ac:dyDescent="0.25">
      <c r="A3" t="str">
        <f>'Adjustment scenario'!C$3</f>
        <v>AT</v>
      </c>
      <c r="B3">
        <v>2022</v>
      </c>
      <c r="C3" s="7">
        <v>-3.493954</v>
      </c>
      <c r="D3" s="7">
        <v>1</v>
      </c>
      <c r="E3" s="7">
        <v>-1.1377457843893952</v>
      </c>
      <c r="F3" s="7">
        <v>5.2778939999999999</v>
      </c>
      <c r="G3" s="7">
        <v>4.7547790000000001</v>
      </c>
      <c r="H3" s="7">
        <v>0</v>
      </c>
      <c r="I3" s="7">
        <v>0.33345029999999998</v>
      </c>
      <c r="J3" s="7">
        <v>0</v>
      </c>
      <c r="K3" s="7">
        <v>78.375620315610604</v>
      </c>
      <c r="L3" s="7">
        <v>1.2721899999999999</v>
      </c>
      <c r="M3" s="7"/>
      <c r="N3" s="7"/>
    </row>
    <row r="4" spans="1:14" x14ac:dyDescent="0.25">
      <c r="A4" t="str">
        <f>'Adjustment scenario'!C$3</f>
        <v>AT</v>
      </c>
      <c r="B4">
        <v>2023</v>
      </c>
      <c r="C4" s="7">
        <v>-1.399295</v>
      </c>
      <c r="D4" s="7">
        <v>1</v>
      </c>
      <c r="E4" s="7">
        <v>1.7456982547381872E-2</v>
      </c>
      <c r="F4" s="7">
        <v>-0.95496389999999998</v>
      </c>
      <c r="G4" s="7">
        <v>6.6476540000000002</v>
      </c>
      <c r="H4" s="7">
        <v>0</v>
      </c>
      <c r="I4" s="7">
        <v>1.738494</v>
      </c>
      <c r="J4" s="7">
        <v>0</v>
      </c>
      <c r="K4" s="7">
        <v>78.551901298157986</v>
      </c>
      <c r="L4" s="7">
        <v>1.6214710000000001</v>
      </c>
      <c r="M4" s="7"/>
      <c r="N4" s="7"/>
    </row>
    <row r="5" spans="1:14" x14ac:dyDescent="0.25">
      <c r="A5" t="str">
        <f>'Adjustment scenario'!C$3</f>
        <v>AT</v>
      </c>
      <c r="B5">
        <v>2024</v>
      </c>
      <c r="C5" s="7">
        <v>-1.3351299999999999</v>
      </c>
      <c r="D5" s="7">
        <v>1</v>
      </c>
      <c r="E5" s="7">
        <v>0.78862794541010239</v>
      </c>
      <c r="F5" s="7">
        <v>-0.62164790000000003</v>
      </c>
      <c r="G5" s="7">
        <v>4.2327859999999999</v>
      </c>
      <c r="H5" s="7">
        <v>0</v>
      </c>
      <c r="I5" s="7">
        <v>0.1010605</v>
      </c>
      <c r="J5" s="7">
        <v>0</v>
      </c>
      <c r="K5" s="7">
        <v>79.538050043568091</v>
      </c>
      <c r="L5" s="7">
        <v>1.9528080000000001</v>
      </c>
      <c r="M5" s="7"/>
      <c r="N5" s="7"/>
    </row>
    <row r="6" spans="1:14" x14ac:dyDescent="0.25">
      <c r="A6" t="str">
        <f>'Adjustment scenario'!C$3</f>
        <v>AT</v>
      </c>
      <c r="B6">
        <v>2025</v>
      </c>
      <c r="C6" s="7">
        <v>-0.35512999999999995</v>
      </c>
      <c r="D6" s="7">
        <v>1</v>
      </c>
      <c r="E6" s="7">
        <v>1.14598668434165</v>
      </c>
      <c r="F6" s="7">
        <v>6.5578799999999049E-2</v>
      </c>
      <c r="G6" s="7">
        <v>2.2870180000000002</v>
      </c>
      <c r="H6" s="7">
        <v>0</v>
      </c>
      <c r="I6" s="7">
        <v>9.9622799999999997E-2</v>
      </c>
      <c r="J6" s="7">
        <v>0</v>
      </c>
      <c r="K6" s="7">
        <v>80.81308351777497</v>
      </c>
      <c r="L6" s="7">
        <v>1.9344650000000001</v>
      </c>
      <c r="M6" s="7"/>
      <c r="N6" s="7"/>
    </row>
    <row r="7" spans="1:14" x14ac:dyDescent="0.25">
      <c r="A7" t="str">
        <f>'Adjustment scenario'!C$3</f>
        <v>AT</v>
      </c>
      <c r="B7">
        <v>2026</v>
      </c>
      <c r="C7" s="7">
        <v>0.62487000000000004</v>
      </c>
      <c r="D7" s="7">
        <v>1</v>
      </c>
      <c r="E7" s="7">
        <v>1.1017965490839001</v>
      </c>
      <c r="F7" s="7">
        <v>0.89675414743108917</v>
      </c>
      <c r="G7" s="7">
        <v>1.878755</v>
      </c>
      <c r="H7" s="7">
        <v>0</v>
      </c>
      <c r="I7" s="7">
        <v>0.1</v>
      </c>
      <c r="J7" s="7">
        <v>0</v>
      </c>
      <c r="K7" s="7">
        <v>80.673518010562546</v>
      </c>
      <c r="L7" s="7">
        <v>1.8809861130955123</v>
      </c>
      <c r="M7" s="7"/>
      <c r="N7" s="7"/>
    </row>
    <row r="8" spans="1:14" x14ac:dyDescent="0.25">
      <c r="A8" t="str">
        <f>'Adjustment scenario'!C$3</f>
        <v>AT</v>
      </c>
      <c r="B8">
        <v>2027</v>
      </c>
      <c r="C8" s="7">
        <v>1.60487</v>
      </c>
      <c r="D8" s="7">
        <v>1</v>
      </c>
      <c r="E8" s="7">
        <v>1.1417776421440535</v>
      </c>
      <c r="F8" s="7">
        <v>0.99358099372228725</v>
      </c>
      <c r="G8" s="7">
        <v>1.9376606249999999</v>
      </c>
      <c r="H8" s="7">
        <v>0</v>
      </c>
      <c r="I8" s="7">
        <v>0</v>
      </c>
      <c r="J8" s="7">
        <v>0</v>
      </c>
      <c r="K8" s="7">
        <v>79.484335796243897</v>
      </c>
      <c r="L8" s="7">
        <v>2.0239034219102687</v>
      </c>
      <c r="M8" s="7"/>
      <c r="N8" s="7"/>
    </row>
    <row r="9" spans="1:14" x14ac:dyDescent="0.25">
      <c r="A9" t="str">
        <f>'Adjustment scenario'!C$3</f>
        <v>AT</v>
      </c>
      <c r="B9">
        <v>2028</v>
      </c>
      <c r="C9" s="7">
        <v>2.58487</v>
      </c>
      <c r="D9" s="7">
        <v>1</v>
      </c>
      <c r="E9" s="7">
        <v>1.1684383452282212</v>
      </c>
      <c r="F9" s="7">
        <v>0.94381756134878092</v>
      </c>
      <c r="G9" s="7">
        <v>1.9965662499999999</v>
      </c>
      <c r="H9" s="7">
        <v>0</v>
      </c>
      <c r="I9" s="7">
        <v>0</v>
      </c>
      <c r="J9" s="7">
        <v>0</v>
      </c>
      <c r="K9" s="7">
        <v>77.440287313107248</v>
      </c>
      <c r="L9" s="7">
        <v>2.1462506647711721</v>
      </c>
      <c r="M9" s="7"/>
      <c r="N9" s="7"/>
    </row>
    <row r="10" spans="1:14" x14ac:dyDescent="0.25">
      <c r="A10" t="str">
        <f>'Adjustment scenario'!C$3</f>
        <v>AT</v>
      </c>
      <c r="B10">
        <v>2029</v>
      </c>
      <c r="C10" s="7">
        <v>2.58487</v>
      </c>
      <c r="D10" s="7">
        <v>1</v>
      </c>
      <c r="E10" s="7">
        <v>0.7789588968188057</v>
      </c>
      <c r="F10" s="7">
        <v>1.7280213974040892</v>
      </c>
      <c r="G10" s="7">
        <v>2.0554718749999998</v>
      </c>
      <c r="H10" s="7">
        <v>0</v>
      </c>
      <c r="I10" s="7">
        <v>0</v>
      </c>
      <c r="J10" s="7">
        <v>9.5241600000001259E-2</v>
      </c>
      <c r="K10" s="7">
        <v>74.560907903721599</v>
      </c>
      <c r="L10" s="7">
        <v>2.2522010843711691</v>
      </c>
      <c r="M10" s="7"/>
      <c r="N10" s="7"/>
    </row>
    <row r="11" spans="1:14" x14ac:dyDescent="0.25">
      <c r="A11" t="str">
        <f>'Adjustment scenario'!C$3</f>
        <v>AT</v>
      </c>
      <c r="B11">
        <v>2030</v>
      </c>
      <c r="C11" s="7">
        <v>2.58487</v>
      </c>
      <c r="D11" s="7">
        <v>1</v>
      </c>
      <c r="E11" s="7">
        <v>0.38947944840940918</v>
      </c>
      <c r="F11" s="7">
        <v>1.8137497403982072</v>
      </c>
      <c r="G11" s="7">
        <v>2.1143774999999998</v>
      </c>
      <c r="H11" s="7">
        <v>0</v>
      </c>
      <c r="I11" s="7">
        <v>0</v>
      </c>
      <c r="J11" s="7">
        <v>0.19923330000000161</v>
      </c>
      <c r="K11" s="7">
        <v>71.405877847092583</v>
      </c>
      <c r="L11" s="7">
        <v>2.3505639958723141</v>
      </c>
      <c r="M11" s="7"/>
      <c r="N11" s="7"/>
    </row>
    <row r="12" spans="1:14" x14ac:dyDescent="0.25">
      <c r="A12" t="str">
        <f>'Adjustment scenario'!C$3</f>
        <v>AT</v>
      </c>
      <c r="B12">
        <v>2031</v>
      </c>
      <c r="C12" s="7">
        <v>2.58487</v>
      </c>
      <c r="D12" s="7">
        <v>1</v>
      </c>
      <c r="E12" s="7">
        <v>0</v>
      </c>
      <c r="F12" s="7">
        <v>1.8195829968985722</v>
      </c>
      <c r="G12" s="7">
        <v>2.1732831250000002</v>
      </c>
      <c r="H12" s="7">
        <v>0</v>
      </c>
      <c r="I12" s="7">
        <v>0</v>
      </c>
      <c r="J12" s="7">
        <v>0.30296500000000126</v>
      </c>
      <c r="K12" s="7">
        <v>68.033122681889225</v>
      </c>
      <c r="L12" s="7">
        <v>2.4431330671669667</v>
      </c>
      <c r="M12" s="7"/>
      <c r="N12" s="7"/>
    </row>
    <row r="13" spans="1:14" x14ac:dyDescent="0.25">
      <c r="A13" t="str">
        <f>'Adjustment scenario'!C$3</f>
        <v>AT</v>
      </c>
      <c r="B13">
        <v>2032</v>
      </c>
      <c r="C13" s="7">
        <v>2.58487</v>
      </c>
      <c r="D13" s="7">
        <v>1</v>
      </c>
      <c r="E13" s="7">
        <v>1.1293684554325443E-6</v>
      </c>
      <c r="F13" s="7">
        <v>1.1184580000000111</v>
      </c>
      <c r="G13" s="7">
        <v>2.2321887500000002</v>
      </c>
      <c r="H13" s="7">
        <v>0</v>
      </c>
      <c r="I13" s="7">
        <v>0</v>
      </c>
      <c r="J13" s="7">
        <v>0.39953659999999835</v>
      </c>
      <c r="K13" s="7">
        <v>65.291541962624549</v>
      </c>
      <c r="L13" s="7">
        <v>2.5303991888294619</v>
      </c>
      <c r="M13" s="7"/>
      <c r="N13" s="7"/>
    </row>
    <row r="14" spans="1:14" x14ac:dyDescent="0.25">
      <c r="A14" t="str">
        <f>'Adjustment scenario'!C$3</f>
        <v>AT</v>
      </c>
      <c r="B14">
        <v>2033</v>
      </c>
      <c r="C14" s="7">
        <v>2.58487</v>
      </c>
      <c r="D14" s="7">
        <v>1</v>
      </c>
      <c r="E14" s="7">
        <v>2.2587511554372772E-6</v>
      </c>
      <c r="F14" s="7">
        <v>1.1171819999999943</v>
      </c>
      <c r="G14" s="7">
        <v>2.2910943750000001</v>
      </c>
      <c r="H14" s="7">
        <v>0</v>
      </c>
      <c r="I14" s="7">
        <v>0</v>
      </c>
      <c r="J14" s="7">
        <v>0.45512819999999787</v>
      </c>
      <c r="K14" s="7">
        <v>62.645116436373293</v>
      </c>
      <c r="L14" s="7">
        <v>2.6153459556829768</v>
      </c>
      <c r="M14" s="7"/>
      <c r="N14" s="7"/>
    </row>
    <row r="15" spans="1:14" x14ac:dyDescent="0.25">
      <c r="A15" t="str">
        <f>'Adjustment scenario'!C$3</f>
        <v>AT</v>
      </c>
      <c r="B15">
        <v>2034</v>
      </c>
      <c r="C15" s="7">
        <v>2.58487</v>
      </c>
      <c r="D15" s="7">
        <v>1</v>
      </c>
      <c r="E15" s="7">
        <v>1.1298670851922486E-6</v>
      </c>
      <c r="F15" s="7">
        <v>1.1618469999999936</v>
      </c>
      <c r="G15" s="7">
        <v>2.35</v>
      </c>
      <c r="H15" s="7">
        <v>0</v>
      </c>
      <c r="I15" s="7">
        <v>0</v>
      </c>
      <c r="J15" s="7">
        <v>0.54203980000000185</v>
      </c>
      <c r="K15" s="7">
        <v>60.093322914132514</v>
      </c>
      <c r="L15" s="7">
        <v>2.6979396293414264</v>
      </c>
      <c r="M15" s="7"/>
      <c r="N15" s="7"/>
    </row>
    <row r="16" spans="1:14" x14ac:dyDescent="0.25">
      <c r="A16" t="str">
        <f>'Adjustment scenario'!C$3</f>
        <v>AT</v>
      </c>
      <c r="B16">
        <v>2035</v>
      </c>
      <c r="C16" s="7">
        <v>2.58487</v>
      </c>
      <c r="D16" s="7">
        <v>1</v>
      </c>
      <c r="E16" s="7">
        <v>2.8218406345148491E-6</v>
      </c>
      <c r="F16" s="7">
        <v>1.2427130000000064</v>
      </c>
      <c r="G16" s="7">
        <v>2.3325</v>
      </c>
      <c r="H16" s="7">
        <v>0</v>
      </c>
      <c r="I16" s="7">
        <v>0</v>
      </c>
      <c r="J16" s="7">
        <v>0.59818149999999826</v>
      </c>
      <c r="K16" s="7">
        <v>57.62190382259854</v>
      </c>
      <c r="L16" s="7">
        <v>2.768492171816276</v>
      </c>
      <c r="M16" s="7"/>
      <c r="N16" s="7"/>
    </row>
    <row r="17" spans="1:14" x14ac:dyDescent="0.25">
      <c r="A17" t="str">
        <f>'Adjustment scenario'!C$3</f>
        <v>AT</v>
      </c>
      <c r="B17">
        <v>2036</v>
      </c>
      <c r="C17" s="7">
        <v>2.58487</v>
      </c>
      <c r="D17" s="7">
        <v>1</v>
      </c>
      <c r="E17" s="7">
        <v>4.5124636754101385E-6</v>
      </c>
      <c r="F17" s="7">
        <v>1.323584000000011</v>
      </c>
      <c r="G17" s="7">
        <v>2.3149999999999999</v>
      </c>
      <c r="H17" s="7">
        <v>0</v>
      </c>
      <c r="I17" s="7">
        <v>0</v>
      </c>
      <c r="J17" s="7">
        <v>0.63821310000000064</v>
      </c>
      <c r="K17" s="7">
        <v>55.211529192724086</v>
      </c>
      <c r="L17" s="7">
        <v>2.8349289419580836</v>
      </c>
      <c r="M17" s="7"/>
      <c r="N17" s="7"/>
    </row>
    <row r="18" spans="1:14" x14ac:dyDescent="0.25">
      <c r="A18" t="str">
        <f>'Adjustment scenario'!C$3</f>
        <v>AT</v>
      </c>
      <c r="B18">
        <v>2037</v>
      </c>
      <c r="C18" s="7">
        <v>2.58487</v>
      </c>
      <c r="D18" s="7">
        <v>1</v>
      </c>
      <c r="E18" s="7">
        <v>6.2017383505863491E-6</v>
      </c>
      <c r="F18" s="7">
        <v>1.4044560000000095</v>
      </c>
      <c r="G18" s="7">
        <v>2.2974999999999999</v>
      </c>
      <c r="H18" s="7">
        <v>0</v>
      </c>
      <c r="I18" s="7">
        <v>0</v>
      </c>
      <c r="J18" s="7">
        <v>0.66870469999999826</v>
      </c>
      <c r="K18" s="7">
        <v>52.850057829371522</v>
      </c>
      <c r="L18" s="7">
        <v>2.8975480905735478</v>
      </c>
      <c r="M18" s="7"/>
      <c r="N18" s="7"/>
    </row>
    <row r="19" spans="1:14" x14ac:dyDescent="0.25">
      <c r="A19" t="str">
        <f>'Adjustment scenario'!C$3</f>
        <v>AT</v>
      </c>
      <c r="B19">
        <v>2038</v>
      </c>
      <c r="C19" s="7">
        <v>2.58487</v>
      </c>
      <c r="D19" s="7">
        <v>1</v>
      </c>
      <c r="E19" s="7">
        <v>3.9507863361487592E-6</v>
      </c>
      <c r="F19" s="7">
        <v>1.468171000000007</v>
      </c>
      <c r="G19" s="7">
        <v>2.2800000000000002</v>
      </c>
      <c r="H19" s="7">
        <v>0</v>
      </c>
      <c r="I19" s="7">
        <v>0</v>
      </c>
      <c r="J19" s="7">
        <v>0.68414630000000076</v>
      </c>
      <c r="K19" s="7">
        <v>50.529237044731246</v>
      </c>
      <c r="L19" s="7">
        <v>2.9566930009413497</v>
      </c>
      <c r="M19" s="7"/>
      <c r="N19" s="7"/>
    </row>
    <row r="20" spans="1:14" x14ac:dyDescent="0.25">
      <c r="A20" t="str">
        <f>'Adjustment scenario'!C$3</f>
        <v>AT</v>
      </c>
      <c r="B20">
        <v>2039</v>
      </c>
      <c r="C20" s="7">
        <v>2.58487</v>
      </c>
      <c r="D20" s="7">
        <v>1</v>
      </c>
      <c r="E20" s="7">
        <v>4.5131598654046808E-6</v>
      </c>
      <c r="F20" s="7">
        <v>1.5339339999999924</v>
      </c>
      <c r="G20" s="7">
        <v>2.2625000000000002</v>
      </c>
      <c r="H20" s="7">
        <v>0</v>
      </c>
      <c r="I20" s="7">
        <v>0</v>
      </c>
      <c r="J20" s="7">
        <v>0.69226799999999622</v>
      </c>
      <c r="K20" s="7">
        <v>48.238339455034449</v>
      </c>
      <c r="L20" s="7">
        <v>3.012683331736179</v>
      </c>
      <c r="M20" s="7"/>
      <c r="N20" s="7"/>
    </row>
    <row r="21" spans="1:14" x14ac:dyDescent="0.25">
      <c r="A21" t="str">
        <f>'Adjustment scenario'!C$3</f>
        <v>AT</v>
      </c>
      <c r="B21">
        <v>2040</v>
      </c>
      <c r="C21" s="7">
        <v>2.58487</v>
      </c>
      <c r="D21" s="7">
        <v>1</v>
      </c>
      <c r="E21" s="7">
        <v>2.827114961545529E-6</v>
      </c>
      <c r="F21" s="7">
        <v>1.598711999999991</v>
      </c>
      <c r="G21" s="7">
        <v>2.2450000000000001</v>
      </c>
      <c r="H21" s="7">
        <v>0</v>
      </c>
      <c r="I21" s="7">
        <v>0</v>
      </c>
      <c r="J21" s="7">
        <v>0.68786960000000019</v>
      </c>
      <c r="K21" s="7">
        <v>45.963470428247113</v>
      </c>
      <c r="L21" s="7">
        <v>3.0658699192091419</v>
      </c>
      <c r="M21" s="7"/>
      <c r="N21" s="7"/>
    </row>
    <row r="22" spans="1:14" x14ac:dyDescent="0.25">
      <c r="A22" t="str">
        <f>'Adjustment scenario'!C$3</f>
        <v>AT</v>
      </c>
      <c r="B22">
        <v>2041</v>
      </c>
      <c r="C22" s="7">
        <v>2.58487</v>
      </c>
      <c r="D22" s="7">
        <v>1</v>
      </c>
      <c r="E22" s="7">
        <v>1.1408088691600147E-6</v>
      </c>
      <c r="F22" s="7">
        <v>1.5829789999999955</v>
      </c>
      <c r="G22" s="7">
        <v>2.2275</v>
      </c>
      <c r="H22" s="7">
        <v>0</v>
      </c>
      <c r="I22" s="7">
        <v>0</v>
      </c>
      <c r="J22" s="7">
        <v>0.69053119999999979</v>
      </c>
      <c r="K22" s="7">
        <v>43.74639300194378</v>
      </c>
      <c r="L22" s="7">
        <v>3.116570593354127</v>
      </c>
      <c r="M22" s="7"/>
      <c r="N22" s="7"/>
    </row>
    <row r="23" spans="1:14" x14ac:dyDescent="0.25">
      <c r="N23" s="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customXml/itemProps2.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5379F7-D4E7-4A0C-87B7-761C7833B4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Criteria results</vt:lpstr>
      <vt:lpstr>Input data</vt:lpstr>
      <vt:lpstr>Baseline NFPC</vt:lpstr>
      <vt:lpstr>Adjustment scenario</vt:lpstr>
      <vt:lpstr>Adjust. no safeguard</vt:lpstr>
      <vt:lpstr>Financial stress</vt:lpstr>
      <vt:lpstr>Lower SPB</vt:lpstr>
      <vt:lpstr>Adverse (r-g)</vt:lpstr>
      <vt:lpstr>Stochastic</vt:lpstr>
      <vt:lpstr>FASTOP reporting</vt:lpstr>
      <vt:lpstr>Data_stochastic</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D'ELIA Angela (ECFIN)</cp:lastModifiedBy>
  <cp:revision/>
  <dcterms:created xsi:type="dcterms:W3CDTF">2013-04-12T08:50:12Z</dcterms:created>
  <dcterms:modified xsi:type="dcterms:W3CDTF">2024-12-19T08:05:00Z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