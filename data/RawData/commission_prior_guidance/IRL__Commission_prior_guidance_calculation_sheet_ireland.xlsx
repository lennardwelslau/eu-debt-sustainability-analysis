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U:\SUSTAINABILITY\EU Fiscal Framework - Technical guidance\Outputs\SF24\Excel spreadsheets\2024-06-19 prior guidance - calculation sheets\"/>
    </mc:Choice>
  </mc:AlternateContent>
  <xr:revisionPtr revIDLastSave="0" documentId="13_ncr:1_{1485EF34-BF6C-4E4F-9066-A07326D6EE6F}" xr6:coauthVersionLast="47" xr6:coauthVersionMax="47" xr10:uidLastSave="{00000000-0000-0000-0000-000000000000}"/>
  <bookViews>
    <workbookView xWindow="28680" yWindow="-120" windowWidth="29040" windowHeight="15990" tabRatio="788" xr2:uid="{00000000-000D-0000-FFFF-FFFF00000000}"/>
  </bookViews>
  <sheets>
    <sheet name="Read me" sheetId="37" r:id="rId1"/>
    <sheet name="Criteria results" sheetId="35" r:id="rId2"/>
    <sheet name="Input data" sheetId="8" r:id="rId3"/>
    <sheet name="Baseline NFPC" sheetId="9" r:id="rId4"/>
    <sheet name="Adjustment scenario" sheetId="21" r:id="rId5"/>
    <sheet name="Adjust. no safeguard" sheetId="40" r:id="rId6"/>
    <sheet name="FASTOP reporting" sheetId="44" r:id="rId7"/>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04" i="40" l="1"/>
  <c r="V104" i="40"/>
  <c r="U104" i="40"/>
  <c r="T104" i="40"/>
  <c r="S104" i="40"/>
  <c r="R104" i="40"/>
  <c r="Q104" i="40"/>
  <c r="P104" i="40"/>
  <c r="O104" i="40"/>
  <c r="N104" i="40"/>
  <c r="M104" i="40"/>
  <c r="L104" i="40"/>
  <c r="K104" i="40"/>
  <c r="J104" i="40"/>
  <c r="I104" i="40"/>
  <c r="H104" i="40"/>
  <c r="G104" i="40"/>
  <c r="F104" i="40"/>
  <c r="E104" i="40"/>
  <c r="C7" i="40"/>
  <c r="C6" i="40"/>
  <c r="C6" i="8"/>
  <c r="C6" i="9"/>
  <c r="U14" i="40" l="1"/>
  <c r="V14" i="40"/>
  <c r="W14" i="40"/>
  <c r="F53" i="44"/>
  <c r="F57" i="44"/>
  <c r="G57" i="44" s="1"/>
  <c r="H57" i="44" s="1"/>
  <c r="I57" i="44" s="1"/>
  <c r="J57" i="44" s="1"/>
  <c r="K57" i="44" s="1"/>
  <c r="L57" i="44" s="1"/>
  <c r="M57" i="44" s="1"/>
  <c r="N57" i="44" s="1"/>
  <c r="O57" i="44" s="1"/>
  <c r="P57" i="44" s="1"/>
  <c r="Q57" i="44" s="1"/>
  <c r="R57" i="44" s="1"/>
  <c r="S57" i="44" s="1"/>
  <c r="T57" i="44" s="1"/>
  <c r="U57" i="44" s="1"/>
  <c r="V57" i="44" s="1"/>
  <c r="W57" i="44" s="1"/>
  <c r="X57" i="44" s="1"/>
  <c r="F40" i="44"/>
  <c r="G40" i="44" s="1"/>
  <c r="H40" i="44" s="1"/>
  <c r="I40" i="44" s="1"/>
  <c r="J40" i="44" s="1"/>
  <c r="K40" i="44" s="1"/>
  <c r="L40" i="44" s="1"/>
  <c r="M40" i="44" s="1"/>
  <c r="N40" i="44" s="1"/>
  <c r="O40" i="44" s="1"/>
  <c r="P40" i="44" s="1"/>
  <c r="Q40" i="44" s="1"/>
  <c r="R40" i="44" s="1"/>
  <c r="S40" i="44" s="1"/>
  <c r="T40" i="44" s="1"/>
  <c r="U40" i="44" s="1"/>
  <c r="V40" i="44" s="1"/>
  <c r="W40" i="44" s="1"/>
  <c r="X40" i="44" s="1"/>
  <c r="F4" i="44"/>
  <c r="G4" i="44" s="1"/>
  <c r="H4" i="44" s="1"/>
  <c r="I4" i="44" s="1"/>
  <c r="J4" i="44" s="1"/>
  <c r="K4" i="44" s="1"/>
  <c r="L4" i="44" s="1"/>
  <c r="M4" i="44" s="1"/>
  <c r="N4" i="44" s="1"/>
  <c r="O4" i="44" s="1"/>
  <c r="P4" i="44" s="1"/>
  <c r="Q4" i="44" s="1"/>
  <c r="R4" i="44" s="1"/>
  <c r="S4" i="44" s="1"/>
  <c r="T4" i="44" s="1"/>
  <c r="U4" i="44" s="1"/>
  <c r="V4" i="44" s="1"/>
  <c r="W4" i="44" s="1"/>
  <c r="X4" i="44" s="1"/>
  <c r="B59" i="44"/>
  <c r="B60" i="44" s="1"/>
  <c r="B61" i="44" s="1"/>
  <c r="B62" i="44" s="1"/>
  <c r="E4" i="44" l="1"/>
  <c r="E22" i="44"/>
  <c r="E26" i="44"/>
  <c r="E29" i="44"/>
  <c r="E35" i="44" l="1"/>
  <c r="D51" i="40"/>
  <c r="C47" i="40"/>
  <c r="B17" i="40"/>
  <c r="W63" i="40"/>
  <c r="V63" i="40"/>
  <c r="U63" i="40"/>
  <c r="T14" i="40"/>
  <c r="T63" i="40" s="1"/>
  <c r="S14" i="40"/>
  <c r="S63" i="40" s="1"/>
  <c r="R14" i="40"/>
  <c r="R63" i="40" s="1"/>
  <c r="Q14" i="40"/>
  <c r="Q63" i="40" s="1"/>
  <c r="P14" i="40"/>
  <c r="P63" i="40" s="1"/>
  <c r="O14" i="40"/>
  <c r="O63" i="40" s="1"/>
  <c r="N14" i="40"/>
  <c r="N63" i="40" s="1"/>
  <c r="M14" i="40"/>
  <c r="M63" i="40" s="1"/>
  <c r="L14" i="40"/>
  <c r="L63" i="40" s="1"/>
  <c r="K14" i="40"/>
  <c r="K63" i="40" s="1"/>
  <c r="J14" i="40"/>
  <c r="J63" i="40" s="1"/>
  <c r="I14" i="40"/>
  <c r="I63" i="40" s="1"/>
  <c r="H14" i="40"/>
  <c r="H63" i="40" s="1"/>
  <c r="C5" i="40"/>
  <c r="D65" i="40" s="1"/>
  <c r="B5" i="40"/>
  <c r="J64" i="40" l="1"/>
  <c r="E65" i="40"/>
  <c r="F65" i="40"/>
  <c r="E64" i="40" l="1"/>
  <c r="J65" i="40"/>
  <c r="I65" i="40"/>
  <c r="H65" i="40"/>
  <c r="G65" i="40"/>
  <c r="I64" i="40"/>
  <c r="H64" i="40"/>
  <c r="G64" i="40"/>
  <c r="F64" i="40"/>
  <c r="D64" i="40"/>
  <c r="I11" i="35" l="1"/>
  <c r="B5" i="21" l="1"/>
  <c r="B5" i="9"/>
  <c r="I99" i="9" l="1"/>
  <c r="J99" i="9"/>
  <c r="K99" i="9"/>
  <c r="L99" i="9"/>
  <c r="M99" i="9"/>
  <c r="N99" i="9"/>
  <c r="O99" i="9"/>
  <c r="P99" i="9"/>
  <c r="Q99" i="9"/>
  <c r="R99" i="9"/>
  <c r="S99" i="9"/>
  <c r="T99" i="9"/>
  <c r="U99" i="9"/>
  <c r="V99" i="9"/>
  <c r="W99" i="9"/>
  <c r="H99" i="9"/>
  <c r="H62" i="9"/>
  <c r="E99" i="9" l="1"/>
  <c r="F99" i="9"/>
  <c r="G99" i="9"/>
  <c r="L14" i="21"/>
  <c r="M9" i="44" s="1"/>
  <c r="B17" i="21" l="1"/>
  <c r="B16" i="9"/>
  <c r="C27" i="40" l="1"/>
  <c r="C19" i="40"/>
  <c r="Q72" i="40"/>
  <c r="F15" i="40"/>
  <c r="F73" i="40" s="1"/>
  <c r="C57" i="40"/>
  <c r="D42" i="40"/>
  <c r="P72" i="40"/>
  <c r="U15" i="40"/>
  <c r="U73" i="40" s="1"/>
  <c r="E15" i="40"/>
  <c r="E73" i="40" s="1"/>
  <c r="O72" i="40"/>
  <c r="D15" i="40"/>
  <c r="D73" i="40" s="1"/>
  <c r="N72" i="40"/>
  <c r="C15" i="40"/>
  <c r="M72" i="40"/>
  <c r="Q15" i="40"/>
  <c r="Q73" i="40" s="1"/>
  <c r="F14" i="40"/>
  <c r="F63" i="40" s="1"/>
  <c r="O15" i="40"/>
  <c r="O73" i="40" s="1"/>
  <c r="D14" i="40"/>
  <c r="D63" i="40" s="1"/>
  <c r="N15" i="40"/>
  <c r="N73" i="40" s="1"/>
  <c r="I19" i="40"/>
  <c r="C24" i="40"/>
  <c r="F36" i="40"/>
  <c r="U72" i="40"/>
  <c r="C12" i="40"/>
  <c r="E36" i="40"/>
  <c r="C42" i="40"/>
  <c r="T15" i="40"/>
  <c r="T73" i="40" s="1"/>
  <c r="G37" i="40"/>
  <c r="S15" i="40"/>
  <c r="S73" i="40" s="1"/>
  <c r="F37" i="40"/>
  <c r="R15" i="40"/>
  <c r="R73" i="40" s="1"/>
  <c r="G14" i="40"/>
  <c r="G63" i="40" s="1"/>
  <c r="E37" i="40"/>
  <c r="L72" i="40"/>
  <c r="J19" i="40"/>
  <c r="M15" i="40"/>
  <c r="M73" i="40" s="1"/>
  <c r="L15" i="40"/>
  <c r="L73" i="40" s="1"/>
  <c r="V72" i="40"/>
  <c r="D12" i="40"/>
  <c r="G19" i="40"/>
  <c r="J15" i="40"/>
  <c r="J73" i="40" s="1"/>
  <c r="F19" i="40"/>
  <c r="O41" i="9"/>
  <c r="D37" i="40"/>
  <c r="C23" i="40"/>
  <c r="K72" i="40"/>
  <c r="P15" i="40"/>
  <c r="P73" i="40" s="1"/>
  <c r="E14" i="40"/>
  <c r="E63" i="40" s="1"/>
  <c r="J72" i="40"/>
  <c r="I72" i="40"/>
  <c r="C14" i="40"/>
  <c r="H72" i="40"/>
  <c r="D38" i="40"/>
  <c r="W72" i="40"/>
  <c r="H19" i="40"/>
  <c r="K15" i="40"/>
  <c r="K73" i="40" s="1"/>
  <c r="O37" i="40"/>
  <c r="E72" i="40"/>
  <c r="C48" i="40"/>
  <c r="F42" i="40"/>
  <c r="D36" i="40"/>
  <c r="C36" i="40"/>
  <c r="E19" i="40"/>
  <c r="R72" i="40"/>
  <c r="D71" i="9"/>
  <c r="W15" i="40"/>
  <c r="W73" i="40" s="1"/>
  <c r="I15" i="40"/>
  <c r="I73" i="40" s="1"/>
  <c r="T72" i="40"/>
  <c r="S72" i="40"/>
  <c r="D19" i="40"/>
  <c r="H15" i="40"/>
  <c r="H73" i="40" s="1"/>
  <c r="D79" i="40"/>
  <c r="C3" i="40"/>
  <c r="E42" i="40"/>
  <c r="P51" i="44" l="1"/>
  <c r="F79" i="40"/>
  <c r="E79" i="40"/>
  <c r="V15" i="40"/>
  <c r="V73" i="40" s="1"/>
  <c r="V74" i="40" s="1"/>
  <c r="E12" i="40"/>
  <c r="E52" i="40" s="1"/>
  <c r="D50" i="40"/>
  <c r="E51" i="40" s="1"/>
  <c r="O42" i="21"/>
  <c r="O42" i="40"/>
  <c r="D79" i="21"/>
  <c r="D78" i="9"/>
  <c r="L74" i="40"/>
  <c r="F79" i="21"/>
  <c r="F78" i="9"/>
  <c r="E79" i="21"/>
  <c r="E78" i="9"/>
  <c r="W74" i="40"/>
  <c r="K19" i="40"/>
  <c r="K65" i="40"/>
  <c r="L19" i="40"/>
  <c r="L65" i="40"/>
  <c r="C33" i="40"/>
  <c r="M19" i="40"/>
  <c r="M65" i="40"/>
  <c r="C30" i="40"/>
  <c r="E74" i="40"/>
  <c r="R74" i="40"/>
  <c r="U74" i="40"/>
  <c r="H74" i="40"/>
  <c r="D72" i="40"/>
  <c r="D74" i="40" s="1"/>
  <c r="I74" i="40"/>
  <c r="S74" i="40"/>
  <c r="P19" i="40"/>
  <c r="P65" i="40"/>
  <c r="G14" i="9"/>
  <c r="G15" i="40"/>
  <c r="G73" i="40" s="1"/>
  <c r="G36" i="40"/>
  <c r="O38" i="40"/>
  <c r="M74" i="40"/>
  <c r="F12" i="21"/>
  <c r="F12" i="40"/>
  <c r="G12" i="40" s="1"/>
  <c r="H12" i="40" s="1"/>
  <c r="I12" i="40" s="1"/>
  <c r="J12" i="40" s="1"/>
  <c r="K12" i="40" s="1"/>
  <c r="L12" i="40" s="1"/>
  <c r="M12" i="40" s="1"/>
  <c r="R19" i="40"/>
  <c r="R65" i="40"/>
  <c r="W19" i="40"/>
  <c r="W65" i="40"/>
  <c r="F71" i="9"/>
  <c r="F72" i="40"/>
  <c r="K74" i="40"/>
  <c r="S19" i="40"/>
  <c r="S65" i="40"/>
  <c r="G23" i="9"/>
  <c r="H50" i="44" s="1"/>
  <c r="N19" i="40"/>
  <c r="N65" i="40"/>
  <c r="U19" i="40"/>
  <c r="U65" i="40"/>
  <c r="P74" i="40"/>
  <c r="V19" i="40"/>
  <c r="V65" i="40"/>
  <c r="E37" i="9"/>
  <c r="F47" i="44" s="1"/>
  <c r="E38" i="40"/>
  <c r="F37" i="9"/>
  <c r="G47" i="44" s="1"/>
  <c r="F38" i="40"/>
  <c r="Q19" i="40"/>
  <c r="Q65" i="40"/>
  <c r="G71" i="9"/>
  <c r="G72" i="40"/>
  <c r="G37" i="9"/>
  <c r="H47" i="44" s="1"/>
  <c r="G38" i="40"/>
  <c r="H37" i="40"/>
  <c r="I37" i="40" s="1"/>
  <c r="J37" i="40" s="1"/>
  <c r="K37" i="40" s="1"/>
  <c r="L37" i="40" s="1"/>
  <c r="M37" i="40" s="1"/>
  <c r="N37" i="40" s="1"/>
  <c r="D60" i="40"/>
  <c r="Q74" i="40"/>
  <c r="J74" i="40"/>
  <c r="T19" i="40"/>
  <c r="T65" i="40"/>
  <c r="G42" i="40"/>
  <c r="O19" i="40"/>
  <c r="O65" i="40"/>
  <c r="T74" i="40"/>
  <c r="D27" i="40"/>
  <c r="E27" i="40" s="1"/>
  <c r="F27" i="40" s="1"/>
  <c r="G27" i="40" s="1"/>
  <c r="H27" i="40" s="1"/>
  <c r="I27" i="40" s="1"/>
  <c r="J27" i="40" s="1"/>
  <c r="K27" i="40" s="1"/>
  <c r="L27" i="40" s="1"/>
  <c r="M27" i="40" s="1"/>
  <c r="N27" i="40" s="1"/>
  <c r="O27" i="40" s="1"/>
  <c r="P27" i="40" s="1"/>
  <c r="Q27" i="40" s="1"/>
  <c r="R27" i="40" s="1"/>
  <c r="S27" i="40" s="1"/>
  <c r="T27" i="40" s="1"/>
  <c r="U27" i="40" s="1"/>
  <c r="V27" i="40" s="1"/>
  <c r="W27" i="40" s="1"/>
  <c r="C92" i="40"/>
  <c r="D70" i="40"/>
  <c r="O74" i="40"/>
  <c r="N74" i="40"/>
  <c r="D52" i="40"/>
  <c r="C58" i="8"/>
  <c r="V14" i="9"/>
  <c r="V15" i="21"/>
  <c r="L14" i="9"/>
  <c r="L15" i="21"/>
  <c r="W14" i="9"/>
  <c r="W15" i="21"/>
  <c r="M14" i="9"/>
  <c r="M15" i="21"/>
  <c r="N14" i="9"/>
  <c r="N15" i="21"/>
  <c r="Q14" i="9"/>
  <c r="Q15" i="21"/>
  <c r="T14" i="9"/>
  <c r="T15" i="21"/>
  <c r="K14" i="9"/>
  <c r="K15" i="21"/>
  <c r="J14" i="9"/>
  <c r="J15" i="21"/>
  <c r="S14" i="9"/>
  <c r="S15" i="21"/>
  <c r="U14" i="9"/>
  <c r="U15" i="21"/>
  <c r="R14" i="9"/>
  <c r="R15" i="21"/>
  <c r="H14" i="9"/>
  <c r="H72" i="9" s="1"/>
  <c r="H15" i="21"/>
  <c r="P14" i="9"/>
  <c r="P15" i="21"/>
  <c r="I14" i="9"/>
  <c r="I15" i="21"/>
  <c r="O14" i="9"/>
  <c r="O15" i="21"/>
  <c r="F37" i="21"/>
  <c r="G11" i="44" s="1"/>
  <c r="F36" i="9"/>
  <c r="G46" i="44" s="1"/>
  <c r="G38" i="21"/>
  <c r="H12" i="44" s="1"/>
  <c r="E37" i="21"/>
  <c r="F11" i="44" s="1"/>
  <c r="E36" i="9"/>
  <c r="F46" i="44" s="1"/>
  <c r="E38" i="21"/>
  <c r="F12" i="44" s="1"/>
  <c r="D38" i="21"/>
  <c r="F38" i="21"/>
  <c r="G12" i="44" s="1"/>
  <c r="G36" i="9"/>
  <c r="H46" i="44" s="1"/>
  <c r="G37" i="21"/>
  <c r="H11" i="44" s="1"/>
  <c r="D37" i="21"/>
  <c r="U41" i="9"/>
  <c r="V41" i="9"/>
  <c r="W41" i="9"/>
  <c r="G35" i="9"/>
  <c r="H48" i="44" s="1"/>
  <c r="Q41" i="9"/>
  <c r="R41" i="9"/>
  <c r="S41" i="9"/>
  <c r="T41" i="9"/>
  <c r="P41" i="9"/>
  <c r="O38" i="21"/>
  <c r="P12" i="44" s="1"/>
  <c r="O37" i="9"/>
  <c r="P47" i="44" s="1"/>
  <c r="G42" i="21"/>
  <c r="G41" i="9"/>
  <c r="G15" i="21"/>
  <c r="O37" i="21"/>
  <c r="P11" i="44" s="1"/>
  <c r="O36" i="9"/>
  <c r="P46" i="44" s="1"/>
  <c r="G14" i="21"/>
  <c r="H9" i="44" s="1"/>
  <c r="G13" i="9"/>
  <c r="G36" i="21"/>
  <c r="C5" i="9"/>
  <c r="F74" i="40" l="1"/>
  <c r="H13" i="44"/>
  <c r="E60" i="40"/>
  <c r="E50" i="40"/>
  <c r="F50" i="40" s="1"/>
  <c r="G7" i="44"/>
  <c r="P17" i="44"/>
  <c r="H17" i="44"/>
  <c r="H41" i="9"/>
  <c r="H51" i="44"/>
  <c r="P42" i="40"/>
  <c r="Q51" i="44"/>
  <c r="T42" i="40"/>
  <c r="U51" i="44"/>
  <c r="S42" i="40"/>
  <c r="T51" i="44"/>
  <c r="R42" i="40"/>
  <c r="S51" i="44"/>
  <c r="Q42" i="40"/>
  <c r="R51" i="44"/>
  <c r="W42" i="40"/>
  <c r="X51" i="44"/>
  <c r="V42" i="40"/>
  <c r="W51" i="44"/>
  <c r="U42" i="40"/>
  <c r="V51" i="44"/>
  <c r="H64" i="9"/>
  <c r="H38" i="40"/>
  <c r="I38" i="40" s="1"/>
  <c r="J38" i="40" s="1"/>
  <c r="K38" i="40" s="1"/>
  <c r="L38" i="40" s="1"/>
  <c r="M38" i="40" s="1"/>
  <c r="N38" i="40" s="1"/>
  <c r="F60" i="40"/>
  <c r="F52" i="40"/>
  <c r="G74" i="40"/>
  <c r="H37" i="9"/>
  <c r="G98" i="9"/>
  <c r="H37" i="21"/>
  <c r="F63" i="9"/>
  <c r="H36" i="9"/>
  <c r="H38" i="21"/>
  <c r="F64" i="9"/>
  <c r="V37" i="9"/>
  <c r="W37" i="9"/>
  <c r="U37" i="9"/>
  <c r="W36" i="9"/>
  <c r="U36" i="9"/>
  <c r="V36" i="9"/>
  <c r="S37" i="9"/>
  <c r="T37" i="9"/>
  <c r="Q37" i="9"/>
  <c r="P37" i="9"/>
  <c r="R37" i="9"/>
  <c r="Q36" i="9"/>
  <c r="R46" i="44" s="1"/>
  <c r="S36" i="9"/>
  <c r="T36" i="9"/>
  <c r="P36" i="9"/>
  <c r="R36" i="9"/>
  <c r="I41" i="9"/>
  <c r="N41" i="9"/>
  <c r="J41" i="9"/>
  <c r="K41" i="9"/>
  <c r="L41" i="9"/>
  <c r="M41" i="9"/>
  <c r="G32" i="9"/>
  <c r="H52" i="44" s="1"/>
  <c r="D23" i="9"/>
  <c r="D24" i="40" s="1"/>
  <c r="E23" i="9"/>
  <c r="F23" i="9"/>
  <c r="C3" i="9"/>
  <c r="H14" i="21"/>
  <c r="I9" i="44" s="1"/>
  <c r="I14" i="21"/>
  <c r="J9" i="44" s="1"/>
  <c r="J14" i="21"/>
  <c r="K9" i="44" s="1"/>
  <c r="K14" i="21"/>
  <c r="L9" i="44" s="1"/>
  <c r="M14" i="21"/>
  <c r="N9" i="44" s="1"/>
  <c r="N14" i="21"/>
  <c r="O9" i="44" s="1"/>
  <c r="O14" i="21"/>
  <c r="P9" i="44" s="1"/>
  <c r="P14" i="21"/>
  <c r="Q9" i="44" s="1"/>
  <c r="Q14" i="21"/>
  <c r="R9" i="44" s="1"/>
  <c r="R14" i="21"/>
  <c r="S9" i="44" s="1"/>
  <c r="S14" i="21"/>
  <c r="T9" i="44" s="1"/>
  <c r="T14" i="21"/>
  <c r="U9" i="44" s="1"/>
  <c r="U14" i="21"/>
  <c r="V9" i="44" s="1"/>
  <c r="V14" i="21"/>
  <c r="W9" i="44" s="1"/>
  <c r="W14" i="21"/>
  <c r="X9" i="44" s="1"/>
  <c r="O51" i="44" l="1"/>
  <c r="F51" i="40"/>
  <c r="N38" i="9"/>
  <c r="C43" i="40"/>
  <c r="D39" i="40"/>
  <c r="C39" i="40"/>
  <c r="G43" i="40"/>
  <c r="E43" i="40"/>
  <c r="D43" i="40"/>
  <c r="F43" i="40"/>
  <c r="R37" i="40"/>
  <c r="S46" i="44"/>
  <c r="U38" i="40"/>
  <c r="V47" i="44"/>
  <c r="P37" i="40"/>
  <c r="Q46" i="44"/>
  <c r="W38" i="40"/>
  <c r="X47" i="44"/>
  <c r="I37" i="9"/>
  <c r="I47" i="44"/>
  <c r="U37" i="40"/>
  <c r="V46" i="44"/>
  <c r="S37" i="40"/>
  <c r="T46" i="44"/>
  <c r="T37" i="40"/>
  <c r="U46" i="44"/>
  <c r="R38" i="40"/>
  <c r="S47" i="44"/>
  <c r="I36" i="9"/>
  <c r="I46" i="44"/>
  <c r="V38" i="40"/>
  <c r="W47" i="44"/>
  <c r="P38" i="40"/>
  <c r="Q47" i="44"/>
  <c r="Q38" i="40"/>
  <c r="R47" i="44"/>
  <c r="W37" i="40"/>
  <c r="X46" i="44"/>
  <c r="I42" i="40"/>
  <c r="J51" i="44"/>
  <c r="F24" i="40"/>
  <c r="F33" i="40" s="1"/>
  <c r="G50" i="44"/>
  <c r="T38" i="40"/>
  <c r="U47" i="44"/>
  <c r="M42" i="40"/>
  <c r="N51" i="44"/>
  <c r="S38" i="40"/>
  <c r="T47" i="44"/>
  <c r="L42" i="40"/>
  <c r="M51" i="44"/>
  <c r="K42" i="40"/>
  <c r="L51" i="44"/>
  <c r="E24" i="40"/>
  <c r="E33" i="40" s="1"/>
  <c r="F50" i="44"/>
  <c r="J42" i="40"/>
  <c r="K51" i="44"/>
  <c r="V37" i="40"/>
  <c r="W46" i="44"/>
  <c r="H42" i="40"/>
  <c r="I51" i="44"/>
  <c r="I38" i="21"/>
  <c r="I12" i="44"/>
  <c r="I37" i="21"/>
  <c r="I11" i="44"/>
  <c r="G51" i="40"/>
  <c r="D33" i="40"/>
  <c r="D68" i="40" s="1"/>
  <c r="N42" i="40"/>
  <c r="Q37" i="21"/>
  <c r="R11" i="44" s="1"/>
  <c r="Q37" i="40"/>
  <c r="G96" i="9"/>
  <c r="V38" i="9"/>
  <c r="V39" i="40" s="1"/>
  <c r="W38" i="9"/>
  <c r="W39" i="40" s="1"/>
  <c r="U38" i="9"/>
  <c r="O38" i="9"/>
  <c r="O39" i="40" s="1"/>
  <c r="P38" i="9"/>
  <c r="P39" i="40" s="1"/>
  <c r="P37" i="21"/>
  <c r="Q11" i="44" s="1"/>
  <c r="H42" i="21"/>
  <c r="N42" i="21"/>
  <c r="E24" i="21"/>
  <c r="F16" i="44" s="1"/>
  <c r="F24" i="21"/>
  <c r="D24" i="21"/>
  <c r="G79" i="40" l="1"/>
  <c r="G16" i="44"/>
  <c r="G38" i="9"/>
  <c r="G39" i="40" s="1"/>
  <c r="M38" i="9"/>
  <c r="M39" i="40" s="1"/>
  <c r="L38" i="9"/>
  <c r="L39" i="40" s="1"/>
  <c r="K38" i="9"/>
  <c r="K39" i="40" s="1"/>
  <c r="J38" i="9"/>
  <c r="I38" i="9"/>
  <c r="I39" i="40" s="1"/>
  <c r="H38" i="9"/>
  <c r="H39" i="40" s="1"/>
  <c r="I17" i="44"/>
  <c r="J37" i="9"/>
  <c r="J47" i="44"/>
  <c r="J36" i="9"/>
  <c r="J46" i="44"/>
  <c r="O17" i="44"/>
  <c r="J37" i="21"/>
  <c r="J11" i="44"/>
  <c r="J38" i="21"/>
  <c r="J12" i="44"/>
  <c r="G101" i="40"/>
  <c r="G101" i="9"/>
  <c r="D69" i="40"/>
  <c r="H43" i="21"/>
  <c r="H43" i="40"/>
  <c r="N39" i="40"/>
  <c r="E39" i="40"/>
  <c r="U39" i="21"/>
  <c r="U39" i="40"/>
  <c r="U43" i="21"/>
  <c r="U43" i="40"/>
  <c r="I43" i="21"/>
  <c r="I43" i="40"/>
  <c r="R43" i="21"/>
  <c r="R43" i="40"/>
  <c r="Q43" i="21"/>
  <c r="Q43" i="40"/>
  <c r="V43" i="21"/>
  <c r="V43" i="40"/>
  <c r="K43" i="21"/>
  <c r="K43" i="40"/>
  <c r="S43" i="21"/>
  <c r="S43" i="40"/>
  <c r="L43" i="21"/>
  <c r="L43" i="40"/>
  <c r="J43" i="21"/>
  <c r="J43" i="40"/>
  <c r="M43" i="21"/>
  <c r="M43" i="40"/>
  <c r="N43" i="21"/>
  <c r="N43" i="40"/>
  <c r="T43" i="21"/>
  <c r="T43" i="40"/>
  <c r="D78" i="40"/>
  <c r="W43" i="21"/>
  <c r="W43" i="40"/>
  <c r="O43" i="21"/>
  <c r="O43" i="40"/>
  <c r="P43" i="21"/>
  <c r="P43" i="40"/>
  <c r="F39" i="40"/>
  <c r="F43" i="21"/>
  <c r="G43" i="21"/>
  <c r="C39" i="21"/>
  <c r="E43" i="21"/>
  <c r="D39" i="21"/>
  <c r="C43" i="21"/>
  <c r="D43" i="21"/>
  <c r="G50" i="40" l="1"/>
  <c r="K36" i="9"/>
  <c r="K46" i="44"/>
  <c r="K37" i="9"/>
  <c r="K47" i="44"/>
  <c r="H79" i="40"/>
  <c r="K38" i="21"/>
  <c r="K12" i="44"/>
  <c r="K37" i="21"/>
  <c r="K11" i="44"/>
  <c r="G60" i="40"/>
  <c r="G25" i="35"/>
  <c r="G52" i="40"/>
  <c r="G13" i="40"/>
  <c r="J39" i="21"/>
  <c r="J39" i="40"/>
  <c r="H52" i="40" l="1"/>
  <c r="I79" i="40"/>
  <c r="H60" i="40"/>
  <c r="H25" i="35"/>
  <c r="H13" i="40"/>
  <c r="H50" i="40"/>
  <c r="L37" i="9"/>
  <c r="L47" i="44"/>
  <c r="L36" i="9"/>
  <c r="L46" i="44"/>
  <c r="L37" i="21"/>
  <c r="L11" i="44"/>
  <c r="L38" i="21"/>
  <c r="L12" i="44"/>
  <c r="S38" i="9"/>
  <c r="S39" i="40" s="1"/>
  <c r="Q38" i="9"/>
  <c r="Q39" i="40" s="1"/>
  <c r="R38" i="9"/>
  <c r="R39" i="40" s="1"/>
  <c r="T38" i="9"/>
  <c r="C36" i="21"/>
  <c r="D35" i="9"/>
  <c r="D36" i="21"/>
  <c r="E36" i="21"/>
  <c r="F13" i="44" s="1"/>
  <c r="F36" i="21"/>
  <c r="C12" i="21"/>
  <c r="C12" i="9"/>
  <c r="D12" i="21"/>
  <c r="D12" i="9"/>
  <c r="E12" i="21"/>
  <c r="E12" i="9"/>
  <c r="F12" i="9"/>
  <c r="G13" i="44" l="1"/>
  <c r="I52" i="40"/>
  <c r="I50" i="40"/>
  <c r="I13" i="40"/>
  <c r="I60" i="40"/>
  <c r="J79" i="40"/>
  <c r="D81" i="40" s="1"/>
  <c r="I25" i="35"/>
  <c r="F43" i="44"/>
  <c r="F7" i="44"/>
  <c r="D49" i="9"/>
  <c r="E49" i="9" s="1"/>
  <c r="F49" i="9" s="1"/>
  <c r="G43" i="44"/>
  <c r="M36" i="9"/>
  <c r="M46" i="44"/>
  <c r="M37" i="9"/>
  <c r="M47" i="44"/>
  <c r="M38" i="21"/>
  <c r="M12" i="44"/>
  <c r="M37" i="21"/>
  <c r="M11" i="44"/>
  <c r="T39" i="21"/>
  <c r="T39" i="40"/>
  <c r="D96" i="9"/>
  <c r="G12" i="9"/>
  <c r="G78" i="9" s="1"/>
  <c r="C35" i="9"/>
  <c r="C96" i="9" s="1"/>
  <c r="J27" i="35" l="1"/>
  <c r="J13" i="40"/>
  <c r="J50" i="40"/>
  <c r="J60" i="40"/>
  <c r="K79" i="40"/>
  <c r="J52" i="40"/>
  <c r="J25" i="35"/>
  <c r="H43" i="44"/>
  <c r="G49" i="9"/>
  <c r="N37" i="9"/>
  <c r="O47" i="44" s="1"/>
  <c r="N47" i="44"/>
  <c r="N36" i="9"/>
  <c r="O46" i="44" s="1"/>
  <c r="N46" i="44"/>
  <c r="N37" i="21"/>
  <c r="N11" i="44"/>
  <c r="N38" i="21"/>
  <c r="N12" i="44"/>
  <c r="C101" i="40"/>
  <c r="C106" i="40" s="1"/>
  <c r="D101" i="40"/>
  <c r="D106" i="40" s="1"/>
  <c r="H12" i="9"/>
  <c r="H78" i="9" s="1"/>
  <c r="K13" i="40" l="1"/>
  <c r="L79" i="40"/>
  <c r="K52" i="40"/>
  <c r="K50" i="40"/>
  <c r="K25" i="35"/>
  <c r="K60" i="40"/>
  <c r="H49" i="9"/>
  <c r="H59" i="9"/>
  <c r="I43" i="44"/>
  <c r="O12" i="44"/>
  <c r="O11" i="44"/>
  <c r="I12" i="9"/>
  <c r="I78" i="9" s="1"/>
  <c r="C47" i="21"/>
  <c r="C46" i="9"/>
  <c r="L13" i="40" l="1"/>
  <c r="L50" i="40"/>
  <c r="L52" i="40"/>
  <c r="L60" i="40"/>
  <c r="L25" i="35"/>
  <c r="M79" i="40"/>
  <c r="I49" i="9"/>
  <c r="J12" i="9"/>
  <c r="J78" i="9" s="1"/>
  <c r="J43" i="44"/>
  <c r="F51" i="9"/>
  <c r="G51" i="9"/>
  <c r="H51" i="9"/>
  <c r="D50" i="9"/>
  <c r="B18" i="9"/>
  <c r="M13" i="40" l="1"/>
  <c r="M25" i="35"/>
  <c r="M60" i="40"/>
  <c r="M27" i="35"/>
  <c r="N12" i="40"/>
  <c r="N79" i="40" s="1"/>
  <c r="J49" i="9"/>
  <c r="M50" i="40"/>
  <c r="M52" i="40"/>
  <c r="K12" i="9"/>
  <c r="K78" i="9" s="1"/>
  <c r="K43" i="44"/>
  <c r="E63" i="9"/>
  <c r="D64" i="9"/>
  <c r="D63" i="9"/>
  <c r="E64" i="9"/>
  <c r="N13" i="40" l="1"/>
  <c r="N50" i="40"/>
  <c r="N60" i="40"/>
  <c r="K49" i="9"/>
  <c r="N52" i="40"/>
  <c r="O12" i="40"/>
  <c r="O79" i="40" s="1"/>
  <c r="L12" i="9"/>
  <c r="L78" i="9" s="1"/>
  <c r="L43" i="44"/>
  <c r="D51" i="21"/>
  <c r="C5" i="21"/>
  <c r="C6" i="21" l="1"/>
  <c r="C7" i="21"/>
  <c r="L49" i="9"/>
  <c r="O50" i="40"/>
  <c r="P51" i="40" s="1"/>
  <c r="O52" i="40"/>
  <c r="O13" i="40"/>
  <c r="O60" i="40"/>
  <c r="P12" i="40"/>
  <c r="P79" i="40" s="1"/>
  <c r="D50" i="21"/>
  <c r="E50" i="21" s="1"/>
  <c r="F50" i="21" s="1"/>
  <c r="M12" i="9"/>
  <c r="M43" i="44"/>
  <c r="D65" i="21"/>
  <c r="F65" i="21"/>
  <c r="E65" i="21"/>
  <c r="M49" i="9" l="1"/>
  <c r="M78" i="9"/>
  <c r="P52" i="40"/>
  <c r="P60" i="40"/>
  <c r="P13" i="40"/>
  <c r="Q12" i="40"/>
  <c r="Q79" i="40" s="1"/>
  <c r="P50" i="40"/>
  <c r="N12" i="9"/>
  <c r="N43" i="44"/>
  <c r="I64" i="21"/>
  <c r="G64" i="21"/>
  <c r="H64" i="21"/>
  <c r="J64" i="21"/>
  <c r="F64" i="21"/>
  <c r="D64" i="21"/>
  <c r="N49" i="9" l="1"/>
  <c r="N78" i="9"/>
  <c r="Q13" i="40"/>
  <c r="R12" i="40"/>
  <c r="Q60" i="40"/>
  <c r="Q52" i="40"/>
  <c r="Q51" i="40"/>
  <c r="Q50" i="40"/>
  <c r="O12" i="9"/>
  <c r="O43" i="44"/>
  <c r="C48" i="21"/>
  <c r="C47" i="9"/>
  <c r="E35" i="9"/>
  <c r="F48" i="44" s="1"/>
  <c r="F35" i="9"/>
  <c r="G48" i="44" s="1"/>
  <c r="C3" i="21"/>
  <c r="R60" i="40" l="1"/>
  <c r="R79" i="40"/>
  <c r="O49" i="9"/>
  <c r="O78" i="9"/>
  <c r="R52" i="40"/>
  <c r="S12" i="40"/>
  <c r="R13" i="40"/>
  <c r="R50" i="40"/>
  <c r="R51" i="40"/>
  <c r="P12" i="9"/>
  <c r="P43" i="44"/>
  <c r="F98" i="9"/>
  <c r="E98" i="9"/>
  <c r="E96" i="9" s="1"/>
  <c r="C99" i="21"/>
  <c r="D99" i="21"/>
  <c r="C22" i="9"/>
  <c r="D22" i="9" s="1"/>
  <c r="D23" i="40" s="1"/>
  <c r="D30" i="40" s="1"/>
  <c r="D62" i="40" s="1"/>
  <c r="C23" i="21"/>
  <c r="C27" i="21"/>
  <c r="D27" i="21" s="1"/>
  <c r="E27" i="21" s="1"/>
  <c r="C26" i="9"/>
  <c r="G59" i="9"/>
  <c r="O51" i="9"/>
  <c r="J59" i="9"/>
  <c r="I59" i="9"/>
  <c r="L51" i="9"/>
  <c r="L59" i="9"/>
  <c r="D59" i="9"/>
  <c r="D51" i="9"/>
  <c r="E59" i="9"/>
  <c r="N59" i="9"/>
  <c r="F59" i="9"/>
  <c r="E51" i="9"/>
  <c r="M59" i="9"/>
  <c r="J51" i="9"/>
  <c r="K51" i="9"/>
  <c r="M51" i="9"/>
  <c r="O59" i="9"/>
  <c r="K59" i="9"/>
  <c r="I51" i="9"/>
  <c r="N51" i="9"/>
  <c r="C23" i="9"/>
  <c r="C24" i="21"/>
  <c r="S79" i="40" l="1"/>
  <c r="P49" i="9"/>
  <c r="P78" i="9"/>
  <c r="S52" i="40"/>
  <c r="S13" i="40"/>
  <c r="T12" i="40"/>
  <c r="S60" i="40"/>
  <c r="P51" i="9"/>
  <c r="P59" i="9"/>
  <c r="S50" i="40"/>
  <c r="S51" i="40"/>
  <c r="Q12" i="9"/>
  <c r="Q43" i="44"/>
  <c r="F27" i="21"/>
  <c r="F15" i="44"/>
  <c r="D59" i="40"/>
  <c r="D77" i="40" s="1"/>
  <c r="E101" i="40"/>
  <c r="E106" i="40" s="1"/>
  <c r="F96" i="9"/>
  <c r="D23" i="21"/>
  <c r="E22" i="9"/>
  <c r="E23" i="40" s="1"/>
  <c r="E30" i="40" s="1"/>
  <c r="E62" i="40" s="1"/>
  <c r="E59" i="40" s="1"/>
  <c r="D26" i="9"/>
  <c r="E26" i="9" s="1"/>
  <c r="M39" i="21"/>
  <c r="C29" i="9"/>
  <c r="F52" i="21"/>
  <c r="C30" i="21"/>
  <c r="F50" i="9"/>
  <c r="E50" i="9"/>
  <c r="G50" i="9"/>
  <c r="F60" i="21"/>
  <c r="E60" i="21"/>
  <c r="E52" i="21"/>
  <c r="D52" i="21"/>
  <c r="D60" i="21"/>
  <c r="U12" i="40" l="1"/>
  <c r="U60" i="40" s="1"/>
  <c r="T79" i="40"/>
  <c r="Q49" i="9"/>
  <c r="Q78" i="9"/>
  <c r="T60" i="40"/>
  <c r="T13" i="40"/>
  <c r="T52" i="40"/>
  <c r="T50" i="40"/>
  <c r="T51" i="40"/>
  <c r="F26" i="9"/>
  <c r="F49" i="44"/>
  <c r="R12" i="9"/>
  <c r="R43" i="44"/>
  <c r="Q51" i="9"/>
  <c r="Q59" i="9"/>
  <c r="G27" i="21"/>
  <c r="G15" i="44"/>
  <c r="F101" i="40"/>
  <c r="F106" i="40" s="1"/>
  <c r="F22" i="9"/>
  <c r="F23" i="40" s="1"/>
  <c r="E23" i="21"/>
  <c r="H39" i="21"/>
  <c r="V39" i="21"/>
  <c r="S39" i="21"/>
  <c r="L39" i="21"/>
  <c r="W39" i="21"/>
  <c r="E39" i="21"/>
  <c r="R39" i="21"/>
  <c r="Q39" i="21"/>
  <c r="P39" i="21"/>
  <c r="N39" i="21"/>
  <c r="G39" i="21"/>
  <c r="F39" i="21"/>
  <c r="K39" i="21"/>
  <c r="I39" i="21"/>
  <c r="O39" i="21"/>
  <c r="H65" i="21"/>
  <c r="I65" i="21"/>
  <c r="G65" i="21"/>
  <c r="E64" i="21"/>
  <c r="J65" i="21"/>
  <c r="E29" i="9"/>
  <c r="E61" i="9" s="1"/>
  <c r="F44" i="44" s="1"/>
  <c r="H50" i="9"/>
  <c r="D29" i="9"/>
  <c r="D61" i="9" s="1"/>
  <c r="F51" i="21"/>
  <c r="E51" i="21"/>
  <c r="V12" i="40" l="1"/>
  <c r="V79" i="40" s="1"/>
  <c r="U13" i="40"/>
  <c r="U79" i="40"/>
  <c r="U52" i="40"/>
  <c r="R49" i="9"/>
  <c r="R78" i="9"/>
  <c r="U51" i="40"/>
  <c r="U50" i="40"/>
  <c r="S12" i="9"/>
  <c r="S43" i="44"/>
  <c r="R59" i="9"/>
  <c r="R51" i="9"/>
  <c r="G26" i="9"/>
  <c r="G49" i="44"/>
  <c r="H27" i="21"/>
  <c r="H15" i="44"/>
  <c r="F30" i="40"/>
  <c r="F62" i="40" s="1"/>
  <c r="G23" i="40"/>
  <c r="G22" i="9"/>
  <c r="F23" i="21"/>
  <c r="I50" i="9"/>
  <c r="F29" i="9"/>
  <c r="F61" i="9" s="1"/>
  <c r="G44" i="44" s="1"/>
  <c r="E30" i="21"/>
  <c r="E62" i="21" s="1"/>
  <c r="F8" i="44" s="1"/>
  <c r="D30" i="21"/>
  <c r="D62" i="21" s="1"/>
  <c r="G51" i="21"/>
  <c r="V60" i="40" l="1"/>
  <c r="V13" i="40"/>
  <c r="V52" i="40"/>
  <c r="W12" i="40"/>
  <c r="W79" i="40" s="1"/>
  <c r="S49" i="9"/>
  <c r="S78" i="9"/>
  <c r="V50" i="40"/>
  <c r="V51" i="40"/>
  <c r="H26" i="9"/>
  <c r="H49" i="44"/>
  <c r="T12" i="9"/>
  <c r="T43" i="44"/>
  <c r="S59" i="9"/>
  <c r="S51" i="9"/>
  <c r="I27" i="21"/>
  <c r="I15" i="44"/>
  <c r="F59" i="40"/>
  <c r="G24" i="40"/>
  <c r="G30" i="40"/>
  <c r="H22" i="9"/>
  <c r="H23" i="9" s="1"/>
  <c r="G29" i="9"/>
  <c r="G61" i="9" s="1"/>
  <c r="H44" i="44" s="1"/>
  <c r="J50" i="9"/>
  <c r="F30" i="21"/>
  <c r="F62" i="21" s="1"/>
  <c r="G8" i="44" s="1"/>
  <c r="W13" i="40" l="1"/>
  <c r="W60" i="40"/>
  <c r="W52" i="40"/>
  <c r="T49" i="9"/>
  <c r="T78" i="9"/>
  <c r="W50" i="40"/>
  <c r="W51" i="40"/>
  <c r="U12" i="9"/>
  <c r="U43" i="44"/>
  <c r="T51" i="9"/>
  <c r="T59" i="9"/>
  <c r="H32" i="9"/>
  <c r="I52" i="44" s="1"/>
  <c r="I50" i="44"/>
  <c r="I26" i="9"/>
  <c r="I49" i="44"/>
  <c r="J27" i="21"/>
  <c r="J15" i="44"/>
  <c r="G106" i="40"/>
  <c r="G62" i="40"/>
  <c r="H51" i="40"/>
  <c r="H23" i="40" s="1"/>
  <c r="G33" i="40"/>
  <c r="H29" i="9"/>
  <c r="H61" i="9" s="1"/>
  <c r="I44" i="44" s="1"/>
  <c r="I22" i="9"/>
  <c r="I23" i="9" s="1"/>
  <c r="J50" i="44" s="1"/>
  <c r="K50" i="9"/>
  <c r="U49" i="9" l="1"/>
  <c r="U78" i="9"/>
  <c r="V43" i="44"/>
  <c r="V12" i="9"/>
  <c r="U59" i="9"/>
  <c r="U51" i="9"/>
  <c r="J49" i="44"/>
  <c r="J26" i="9"/>
  <c r="K27" i="21"/>
  <c r="K15" i="44"/>
  <c r="G59" i="40"/>
  <c r="H24" i="40"/>
  <c r="H30" i="40"/>
  <c r="J22" i="9"/>
  <c r="K22" i="9" s="1"/>
  <c r="I29" i="9"/>
  <c r="I61" i="9" s="1"/>
  <c r="J44" i="44" s="1"/>
  <c r="L50" i="9"/>
  <c r="V49" i="9" l="1"/>
  <c r="V78" i="9"/>
  <c r="H33" i="40"/>
  <c r="K26" i="9"/>
  <c r="K29" i="9" s="1"/>
  <c r="K61" i="9" s="1"/>
  <c r="L44" i="44" s="1"/>
  <c r="K49" i="44"/>
  <c r="V51" i="9"/>
  <c r="W43" i="44"/>
  <c r="W12" i="9"/>
  <c r="V59" i="9"/>
  <c r="L27" i="21"/>
  <c r="L15" i="44"/>
  <c r="H62" i="40"/>
  <c r="I51" i="40"/>
  <c r="I23" i="40" s="1"/>
  <c r="J23" i="9"/>
  <c r="K50" i="44" s="1"/>
  <c r="J29" i="9"/>
  <c r="J61" i="9" s="1"/>
  <c r="K44" i="44" s="1"/>
  <c r="K23" i="9"/>
  <c r="L50" i="44" s="1"/>
  <c r="M50" i="9"/>
  <c r="L22" i="9"/>
  <c r="W49" i="9" l="1"/>
  <c r="W78" i="9"/>
  <c r="X43" i="44"/>
  <c r="W51" i="9"/>
  <c r="W59" i="9"/>
  <c r="L26" i="9"/>
  <c r="L29" i="9" s="1"/>
  <c r="L61" i="9" s="1"/>
  <c r="M44" i="44" s="1"/>
  <c r="L49" i="44"/>
  <c r="M27" i="21"/>
  <c r="M15" i="44"/>
  <c r="H59" i="40"/>
  <c r="I24" i="40"/>
  <c r="I30" i="40"/>
  <c r="M22" i="9"/>
  <c r="N50" i="9"/>
  <c r="L23" i="9"/>
  <c r="M50" i="44" s="1"/>
  <c r="I33" i="40" l="1"/>
  <c r="M26" i="9"/>
  <c r="M29" i="9" s="1"/>
  <c r="M61" i="9" s="1"/>
  <c r="N44" i="44" s="1"/>
  <c r="M49" i="44"/>
  <c r="N27" i="21"/>
  <c r="N15" i="44"/>
  <c r="I62" i="40"/>
  <c r="I59" i="40" s="1"/>
  <c r="J51" i="40"/>
  <c r="J23" i="40" s="1"/>
  <c r="O50" i="9"/>
  <c r="N22" i="9"/>
  <c r="M23" i="9"/>
  <c r="N50" i="44" s="1"/>
  <c r="N26" i="9" l="1"/>
  <c r="N29" i="9" s="1"/>
  <c r="N61" i="9" s="1"/>
  <c r="O44" i="44" s="1"/>
  <c r="N49" i="44"/>
  <c r="O27" i="21"/>
  <c r="O15" i="44"/>
  <c r="J30" i="40"/>
  <c r="J24" i="40"/>
  <c r="O22" i="9"/>
  <c r="P50" i="9"/>
  <c r="N23" i="9"/>
  <c r="O50" i="44" s="1"/>
  <c r="J33" i="40" l="1"/>
  <c r="O26" i="9"/>
  <c r="O49" i="44"/>
  <c r="P27" i="21"/>
  <c r="P15" i="44"/>
  <c r="J62" i="40"/>
  <c r="J59" i="40" s="1"/>
  <c r="K51" i="40"/>
  <c r="K23" i="40" s="1"/>
  <c r="P22" i="9"/>
  <c r="Q50" i="9"/>
  <c r="O23" i="9"/>
  <c r="P50" i="44" s="1"/>
  <c r="O29" i="9"/>
  <c r="O61" i="9" s="1"/>
  <c r="P44" i="44" s="1"/>
  <c r="P26" i="9" l="1"/>
  <c r="P49" i="44"/>
  <c r="Q27" i="21"/>
  <c r="Q15" i="44"/>
  <c r="K30" i="40"/>
  <c r="K24" i="40"/>
  <c r="R50" i="9"/>
  <c r="Q22" i="9"/>
  <c r="P29" i="9"/>
  <c r="P61" i="9" s="1"/>
  <c r="Q44" i="44" s="1"/>
  <c r="P23" i="9"/>
  <c r="Q50" i="44" s="1"/>
  <c r="K33" i="40" l="1"/>
  <c r="Q26" i="9"/>
  <c r="Q49" i="44"/>
  <c r="R27" i="21"/>
  <c r="R15" i="44"/>
  <c r="K62" i="40"/>
  <c r="L51" i="40"/>
  <c r="L23" i="40" s="1"/>
  <c r="S50" i="9"/>
  <c r="R22" i="9"/>
  <c r="Q29" i="9"/>
  <c r="Q61" i="9" s="1"/>
  <c r="R44" i="44" s="1"/>
  <c r="Q23" i="9"/>
  <c r="R50" i="44" s="1"/>
  <c r="R26" i="9" l="1"/>
  <c r="R29" i="9" s="1"/>
  <c r="R61" i="9" s="1"/>
  <c r="S44" i="44" s="1"/>
  <c r="R49" i="44"/>
  <c r="S27" i="21"/>
  <c r="S15" i="44"/>
  <c r="L30" i="40"/>
  <c r="L24" i="40"/>
  <c r="L33" i="40" s="1"/>
  <c r="R23" i="9"/>
  <c r="S50" i="44" s="1"/>
  <c r="T50" i="9"/>
  <c r="S22" i="9"/>
  <c r="S26" i="9" l="1"/>
  <c r="S29" i="9" s="1"/>
  <c r="S61" i="9" s="1"/>
  <c r="T44" i="44" s="1"/>
  <c r="S49" i="44"/>
  <c r="T27" i="21"/>
  <c r="T15" i="44"/>
  <c r="L62" i="40"/>
  <c r="M51" i="40"/>
  <c r="M23" i="40" s="1"/>
  <c r="U50" i="9"/>
  <c r="S23" i="9"/>
  <c r="T50" i="44" s="1"/>
  <c r="T22" i="9"/>
  <c r="T26" i="9" l="1"/>
  <c r="T49" i="44"/>
  <c r="U15" i="44"/>
  <c r="U27" i="21"/>
  <c r="M30" i="40"/>
  <c r="M24" i="40"/>
  <c r="M33" i="40" s="1"/>
  <c r="V50" i="9"/>
  <c r="U22" i="9"/>
  <c r="U23" i="9" s="1"/>
  <c r="V50" i="44" s="1"/>
  <c r="T29" i="9"/>
  <c r="T61" i="9" s="1"/>
  <c r="U44" i="44" s="1"/>
  <c r="T23" i="9"/>
  <c r="U50" i="44" s="1"/>
  <c r="U26" i="9" l="1"/>
  <c r="U49" i="44"/>
  <c r="V27" i="21"/>
  <c r="V15" i="44"/>
  <c r="M62" i="40"/>
  <c r="N51" i="40"/>
  <c r="N23" i="40" s="1"/>
  <c r="O51" i="40"/>
  <c r="V22" i="9"/>
  <c r="V23" i="9" s="1"/>
  <c r="W50" i="44" s="1"/>
  <c r="W50" i="9"/>
  <c r="U29" i="9"/>
  <c r="U61" i="9" s="1"/>
  <c r="V44" i="44" s="1"/>
  <c r="V26" i="9" l="1"/>
  <c r="V29" i="9" s="1"/>
  <c r="V61" i="9" s="1"/>
  <c r="W44" i="44" s="1"/>
  <c r="V49" i="44"/>
  <c r="W27" i="21"/>
  <c r="X15" i="44" s="1"/>
  <c r="W15" i="44"/>
  <c r="O23" i="40"/>
  <c r="N24" i="40"/>
  <c r="N33" i="40" s="1"/>
  <c r="N30" i="40"/>
  <c r="N62" i="40" s="1"/>
  <c r="W22" i="9"/>
  <c r="W23" i="9" s="1"/>
  <c r="X50" i="44" s="1"/>
  <c r="W26" i="9" l="1"/>
  <c r="X49" i="44" s="1"/>
  <c r="W49" i="44"/>
  <c r="O24" i="40"/>
  <c r="O33" i="40" s="1"/>
  <c r="P23" i="40"/>
  <c r="O30" i="40"/>
  <c r="O62" i="40" s="1"/>
  <c r="W29" i="9" l="1"/>
  <c r="W61" i="9" s="1"/>
  <c r="X44" i="44" s="1"/>
  <c r="P30" i="40"/>
  <c r="P62" i="40" s="1"/>
  <c r="Q23" i="40"/>
  <c r="P24" i="40"/>
  <c r="P33" i="40" s="1"/>
  <c r="M72" i="21"/>
  <c r="N14" i="44" s="1"/>
  <c r="M71" i="9"/>
  <c r="R71" i="9"/>
  <c r="R72" i="21"/>
  <c r="S14" i="44" s="1"/>
  <c r="Q72" i="21"/>
  <c r="R14" i="44" s="1"/>
  <c r="Q71" i="9"/>
  <c r="J72" i="21"/>
  <c r="K14" i="44" s="1"/>
  <c r="J71" i="9"/>
  <c r="S72" i="21"/>
  <c r="T14" i="44" s="1"/>
  <c r="S71" i="9"/>
  <c r="P71" i="9"/>
  <c r="P72" i="21"/>
  <c r="Q14" i="44" s="1"/>
  <c r="G72" i="21"/>
  <c r="H14" i="44" s="1"/>
  <c r="K71" i="9"/>
  <c r="K72" i="21"/>
  <c r="L14" i="44" s="1"/>
  <c r="H71" i="9"/>
  <c r="H72" i="21"/>
  <c r="I14" i="44" s="1"/>
  <c r="U71" i="9"/>
  <c r="U72" i="21"/>
  <c r="V14" i="44" s="1"/>
  <c r="V71" i="9"/>
  <c r="V72" i="21"/>
  <c r="W14" i="44" s="1"/>
  <c r="I71" i="9"/>
  <c r="I72" i="21"/>
  <c r="J14" i="44" s="1"/>
  <c r="T72" i="21"/>
  <c r="U14" i="44" s="1"/>
  <c r="T71" i="9"/>
  <c r="N71" i="9"/>
  <c r="N72" i="21"/>
  <c r="O14" i="44" s="1"/>
  <c r="W72" i="21"/>
  <c r="X14" i="44" s="1"/>
  <c r="W71" i="9"/>
  <c r="O72" i="21"/>
  <c r="P14" i="44" s="1"/>
  <c r="O71" i="9"/>
  <c r="L72" i="21"/>
  <c r="M14" i="44" s="1"/>
  <c r="L71" i="9"/>
  <c r="Q24" i="40" l="1"/>
  <c r="Q33" i="40" s="1"/>
  <c r="Q30" i="40"/>
  <c r="Q62" i="40" s="1"/>
  <c r="R23" i="40"/>
  <c r="Q73" i="21"/>
  <c r="Q74" i="21" s="1"/>
  <c r="Q72" i="9"/>
  <c r="Q73" i="9" s="1"/>
  <c r="L73" i="21"/>
  <c r="L74" i="21" s="1"/>
  <c r="L72" i="9"/>
  <c r="L73" i="9" s="1"/>
  <c r="I63" i="21"/>
  <c r="I62" i="9"/>
  <c r="K73" i="21"/>
  <c r="K74" i="21" s="1"/>
  <c r="K72" i="9"/>
  <c r="K73" i="9" s="1"/>
  <c r="G72" i="9"/>
  <c r="G73" i="9" s="1"/>
  <c r="G73" i="21"/>
  <c r="G74" i="21" s="1"/>
  <c r="O72" i="9"/>
  <c r="O73" i="9" s="1"/>
  <c r="O73" i="21"/>
  <c r="O74" i="21" s="1"/>
  <c r="Q63" i="21"/>
  <c r="Q62" i="9"/>
  <c r="K63" i="21"/>
  <c r="K62" i="9"/>
  <c r="W63" i="21"/>
  <c r="W62" i="9"/>
  <c r="N62" i="9"/>
  <c r="N63" i="21"/>
  <c r="J72" i="9"/>
  <c r="J73" i="9" s="1"/>
  <c r="J73" i="21"/>
  <c r="J74" i="21" s="1"/>
  <c r="W73" i="21"/>
  <c r="W74" i="21" s="1"/>
  <c r="W72" i="9"/>
  <c r="W73" i="9" s="1"/>
  <c r="P72" i="9"/>
  <c r="P73" i="9" s="1"/>
  <c r="P73" i="21"/>
  <c r="P74" i="21" s="1"/>
  <c r="M72" i="9"/>
  <c r="M73" i="9" s="1"/>
  <c r="M73" i="21"/>
  <c r="M74" i="21" s="1"/>
  <c r="U62" i="9"/>
  <c r="U63" i="21"/>
  <c r="O63" i="21"/>
  <c r="O62" i="9"/>
  <c r="L62" i="9"/>
  <c r="L63" i="21"/>
  <c r="N72" i="9"/>
  <c r="N73" i="9" s="1"/>
  <c r="N73" i="21"/>
  <c r="N74" i="21" s="1"/>
  <c r="S72" i="9"/>
  <c r="S73" i="9" s="1"/>
  <c r="S73" i="21"/>
  <c r="S74" i="21" s="1"/>
  <c r="V73" i="21"/>
  <c r="V74" i="21" s="1"/>
  <c r="V72" i="9"/>
  <c r="V73" i="9" s="1"/>
  <c r="S63" i="21"/>
  <c r="S62" i="9"/>
  <c r="M63" i="21"/>
  <c r="M62" i="9"/>
  <c r="T72" i="9"/>
  <c r="T73" i="9" s="1"/>
  <c r="T73" i="21"/>
  <c r="T74" i="21" s="1"/>
  <c r="R63" i="21"/>
  <c r="R62" i="9"/>
  <c r="J62" i="9"/>
  <c r="J63" i="21"/>
  <c r="H63" i="21"/>
  <c r="G62" i="9"/>
  <c r="G63" i="21"/>
  <c r="U72" i="9"/>
  <c r="U73" i="9" s="1"/>
  <c r="U73" i="21"/>
  <c r="U74" i="21" s="1"/>
  <c r="T63" i="21"/>
  <c r="T62" i="9"/>
  <c r="V62" i="9"/>
  <c r="V63" i="21"/>
  <c r="H73" i="9"/>
  <c r="H73" i="21"/>
  <c r="H74" i="21" s="1"/>
  <c r="R72" i="9"/>
  <c r="R73" i="9" s="1"/>
  <c r="R73" i="21"/>
  <c r="R74" i="21" s="1"/>
  <c r="I73" i="21"/>
  <c r="I74" i="21" s="1"/>
  <c r="I72" i="9"/>
  <c r="I73" i="9" s="1"/>
  <c r="P62" i="9"/>
  <c r="P63" i="21"/>
  <c r="S23" i="40" l="1"/>
  <c r="R24" i="40"/>
  <c r="R33" i="40" s="1"/>
  <c r="R30" i="40"/>
  <c r="R62" i="40" s="1"/>
  <c r="S24" i="40" l="1"/>
  <c r="S33" i="40" s="1"/>
  <c r="T23" i="40"/>
  <c r="S30" i="40"/>
  <c r="S62" i="40" s="1"/>
  <c r="F72" i="21"/>
  <c r="G14" i="44" s="1"/>
  <c r="E71" i="9"/>
  <c r="E72" i="21"/>
  <c r="F14" i="44" s="1"/>
  <c r="D72" i="21"/>
  <c r="U23" i="40" l="1"/>
  <c r="T24" i="40"/>
  <c r="T30" i="40"/>
  <c r="T62" i="40" s="1"/>
  <c r="C20" i="8"/>
  <c r="W20" i="8"/>
  <c r="D20" i="8"/>
  <c r="U20" i="8"/>
  <c r="J20" i="8"/>
  <c r="T20" i="8"/>
  <c r="S20" i="8"/>
  <c r="D15" i="21"/>
  <c r="D73" i="21" s="1"/>
  <c r="D74" i="21" s="1"/>
  <c r="D14" i="9"/>
  <c r="D72" i="9" s="1"/>
  <c r="D73" i="9" s="1"/>
  <c r="Q20" i="8"/>
  <c r="J18" i="9"/>
  <c r="J64" i="9"/>
  <c r="J19" i="21"/>
  <c r="N20" i="8"/>
  <c r="M20" i="8"/>
  <c r="N32" i="9"/>
  <c r="O52" i="44" s="1"/>
  <c r="E20" i="8"/>
  <c r="E18" i="40" s="1"/>
  <c r="L18" i="9"/>
  <c r="L64" i="9"/>
  <c r="L19" i="21"/>
  <c r="L65" i="21"/>
  <c r="Q65" i="21"/>
  <c r="Q18" i="9"/>
  <c r="Q19" i="21"/>
  <c r="Q64" i="9"/>
  <c r="V20" i="8"/>
  <c r="K20" i="8"/>
  <c r="U18" i="9"/>
  <c r="U19" i="21"/>
  <c r="U64" i="9"/>
  <c r="U65" i="21"/>
  <c r="G20" i="8"/>
  <c r="G18" i="40" s="1"/>
  <c r="R20" i="8"/>
  <c r="H18" i="9"/>
  <c r="H19" i="21"/>
  <c r="R65" i="21"/>
  <c r="R64" i="9"/>
  <c r="R18" i="9"/>
  <c r="R19" i="21"/>
  <c r="C56" i="9"/>
  <c r="C57" i="21"/>
  <c r="G19" i="21"/>
  <c r="G64" i="9"/>
  <c r="G18" i="9"/>
  <c r="L20" i="8"/>
  <c r="P64" i="9"/>
  <c r="P19" i="21"/>
  <c r="P65" i="21"/>
  <c r="P18" i="9"/>
  <c r="D14" i="21"/>
  <c r="D63" i="21" s="1"/>
  <c r="D59" i="21" s="1"/>
  <c r="D13" i="9"/>
  <c r="D62" i="9" s="1"/>
  <c r="D58" i="9" s="1"/>
  <c r="S18" i="9"/>
  <c r="S19" i="21"/>
  <c r="S64" i="9"/>
  <c r="S65" i="21"/>
  <c r="K19" i="21"/>
  <c r="K65" i="21"/>
  <c r="K18" i="9"/>
  <c r="K64" i="9"/>
  <c r="H20" i="8"/>
  <c r="H18" i="40" s="1"/>
  <c r="D18" i="9"/>
  <c r="D19" i="21"/>
  <c r="I20" i="8"/>
  <c r="I18" i="40" s="1"/>
  <c r="I18" i="9"/>
  <c r="I64" i="9"/>
  <c r="I19" i="21"/>
  <c r="M18" i="9"/>
  <c r="M64" i="9"/>
  <c r="M65" i="21"/>
  <c r="M19" i="21"/>
  <c r="N64" i="9"/>
  <c r="N65" i="21"/>
  <c r="N18" i="9"/>
  <c r="N19" i="21"/>
  <c r="F41" i="9"/>
  <c r="F42" i="21"/>
  <c r="F14" i="21"/>
  <c r="G9" i="44" s="1"/>
  <c r="F13" i="9"/>
  <c r="F62" i="9" s="1"/>
  <c r="F58" i="9" s="1"/>
  <c r="W64" i="9"/>
  <c r="W19" i="21"/>
  <c r="W65" i="21"/>
  <c r="W18" i="9"/>
  <c r="E15" i="21"/>
  <c r="E73" i="21" s="1"/>
  <c r="E74" i="21" s="1"/>
  <c r="E14" i="9"/>
  <c r="E72" i="9" s="1"/>
  <c r="E73" i="9" s="1"/>
  <c r="F15" i="21"/>
  <c r="F73" i="21" s="1"/>
  <c r="F74" i="21" s="1"/>
  <c r="F14" i="9"/>
  <c r="F72" i="9" s="1"/>
  <c r="F73" i="9" s="1"/>
  <c r="P20" i="8"/>
  <c r="F20" i="8"/>
  <c r="F18" i="40" s="1"/>
  <c r="C15" i="21"/>
  <c r="C14" i="9"/>
  <c r="F18" i="9"/>
  <c r="F19" i="21"/>
  <c r="E14" i="21"/>
  <c r="E13" i="9"/>
  <c r="E62" i="9" s="1"/>
  <c r="E58" i="9" s="1"/>
  <c r="T19" i="21"/>
  <c r="T65" i="21"/>
  <c r="T18" i="9"/>
  <c r="T64" i="9"/>
  <c r="E19" i="21"/>
  <c r="E18" i="9"/>
  <c r="C14" i="21"/>
  <c r="C13" i="9"/>
  <c r="O65" i="21"/>
  <c r="O19" i="21"/>
  <c r="O18" i="9"/>
  <c r="O64" i="9"/>
  <c r="C19" i="21"/>
  <c r="C18" i="9"/>
  <c r="E41" i="9"/>
  <c r="E42" i="21"/>
  <c r="F17" i="44" s="1"/>
  <c r="C41" i="9"/>
  <c r="C101" i="9" s="1"/>
  <c r="C42" i="21"/>
  <c r="C103" i="21" s="1"/>
  <c r="O20" i="8"/>
  <c r="D42" i="21"/>
  <c r="D103" i="21" s="1"/>
  <c r="D41" i="9"/>
  <c r="D101" i="9" s="1"/>
  <c r="V65" i="21"/>
  <c r="V64" i="9"/>
  <c r="V19" i="21"/>
  <c r="V18" i="9"/>
  <c r="T33" i="40" l="1"/>
  <c r="F101" i="9"/>
  <c r="G51" i="44"/>
  <c r="E101" i="9"/>
  <c r="F51" i="44"/>
  <c r="F33" i="21"/>
  <c r="G18" i="44" s="1"/>
  <c r="G17" i="44"/>
  <c r="E63" i="21"/>
  <c r="E59" i="21" s="1"/>
  <c r="F9" i="44"/>
  <c r="F63" i="21"/>
  <c r="L18" i="40"/>
  <c r="L64" i="40"/>
  <c r="L59" i="40" s="1"/>
  <c r="K18" i="40"/>
  <c r="K64" i="40"/>
  <c r="M18" i="40"/>
  <c r="M64" i="40"/>
  <c r="M59" i="40" s="1"/>
  <c r="U24" i="40"/>
  <c r="U33" i="40" s="1"/>
  <c r="U30" i="40"/>
  <c r="U62" i="40" s="1"/>
  <c r="V23" i="40"/>
  <c r="N18" i="40"/>
  <c r="N64" i="40"/>
  <c r="N59" i="40" s="1"/>
  <c r="R18" i="40"/>
  <c r="R64" i="40"/>
  <c r="R59" i="40" s="1"/>
  <c r="V18" i="40"/>
  <c r="V64" i="40"/>
  <c r="S18" i="40"/>
  <c r="S64" i="40"/>
  <c r="S59" i="40" s="1"/>
  <c r="T18" i="40"/>
  <c r="T64" i="40"/>
  <c r="T59" i="40" s="1"/>
  <c r="J18" i="21"/>
  <c r="J18" i="40"/>
  <c r="U18" i="40"/>
  <c r="U64" i="40"/>
  <c r="D18" i="40"/>
  <c r="P18" i="40"/>
  <c r="P64" i="40"/>
  <c r="P59" i="40" s="1"/>
  <c r="O18" i="40"/>
  <c r="O64" i="40"/>
  <c r="O59" i="40" s="1"/>
  <c r="Q18" i="40"/>
  <c r="Q64" i="40"/>
  <c r="Q59" i="40" s="1"/>
  <c r="W18" i="40"/>
  <c r="W64" i="40"/>
  <c r="C18" i="40"/>
  <c r="H63" i="9"/>
  <c r="H58" i="9" s="1"/>
  <c r="K64" i="21"/>
  <c r="M64" i="21"/>
  <c r="N64" i="21"/>
  <c r="R64" i="21"/>
  <c r="L64" i="21"/>
  <c r="V64" i="21"/>
  <c r="S18" i="21"/>
  <c r="S64" i="21"/>
  <c r="T64" i="21"/>
  <c r="U64" i="21"/>
  <c r="P64" i="21"/>
  <c r="O64" i="21"/>
  <c r="Q64" i="21"/>
  <c r="W64" i="21"/>
  <c r="U17" i="9"/>
  <c r="G63" i="9"/>
  <c r="G58" i="9" s="1"/>
  <c r="C18" i="21"/>
  <c r="C17" i="9"/>
  <c r="W17" i="9"/>
  <c r="T17" i="9"/>
  <c r="S63" i="9"/>
  <c r="S58" i="9" s="1"/>
  <c r="T18" i="21"/>
  <c r="S17" i="9"/>
  <c r="J17" i="9"/>
  <c r="D17" i="9"/>
  <c r="D18" i="21"/>
  <c r="U18" i="21"/>
  <c r="W18" i="21"/>
  <c r="W63" i="9"/>
  <c r="W58" i="9" s="1"/>
  <c r="T63" i="9"/>
  <c r="T58" i="9" s="1"/>
  <c r="E32" i="9"/>
  <c r="F52" i="44" s="1"/>
  <c r="O63" i="9"/>
  <c r="O58" i="9" s="1"/>
  <c r="F17" i="9"/>
  <c r="F18" i="21"/>
  <c r="L18" i="21"/>
  <c r="L17" i="9"/>
  <c r="L63" i="9"/>
  <c r="L58" i="9" s="1"/>
  <c r="V42" i="21"/>
  <c r="V32" i="9"/>
  <c r="W52" i="44" s="1"/>
  <c r="O32" i="9"/>
  <c r="P52" i="44" s="1"/>
  <c r="D33" i="21"/>
  <c r="D69" i="21" s="1"/>
  <c r="R42" i="21"/>
  <c r="R32" i="9"/>
  <c r="S52" i="44" s="1"/>
  <c r="W42" i="21"/>
  <c r="W32" i="9"/>
  <c r="X52" i="44" s="1"/>
  <c r="V18" i="21"/>
  <c r="V17" i="9"/>
  <c r="V63" i="9"/>
  <c r="V58" i="9" s="1"/>
  <c r="C33" i="21"/>
  <c r="F32" i="9"/>
  <c r="G52" i="44" s="1"/>
  <c r="C90" i="21"/>
  <c r="D70" i="21"/>
  <c r="S42" i="21"/>
  <c r="S32" i="9"/>
  <c r="T52" i="44" s="1"/>
  <c r="P18" i="21"/>
  <c r="P63" i="9"/>
  <c r="P58" i="9" s="1"/>
  <c r="P17" i="9"/>
  <c r="I18" i="21"/>
  <c r="I17" i="9"/>
  <c r="I63" i="9"/>
  <c r="I58" i="9" s="1"/>
  <c r="U42" i="21"/>
  <c r="U32" i="9"/>
  <c r="V52" i="44" s="1"/>
  <c r="M17" i="9"/>
  <c r="M63" i="9"/>
  <c r="M58" i="9" s="1"/>
  <c r="M18" i="21"/>
  <c r="J63" i="9"/>
  <c r="J58" i="9" s="1"/>
  <c r="C32" i="9"/>
  <c r="C87" i="9"/>
  <c r="D69" i="9"/>
  <c r="R18" i="21"/>
  <c r="R17" i="9"/>
  <c r="R63" i="9"/>
  <c r="R58" i="9" s="1"/>
  <c r="Q32" i="9"/>
  <c r="R52" i="44" s="1"/>
  <c r="Q42" i="21"/>
  <c r="N63" i="9"/>
  <c r="N58" i="9" s="1"/>
  <c r="N17" i="9"/>
  <c r="N18" i="21"/>
  <c r="U63" i="9"/>
  <c r="U58" i="9" s="1"/>
  <c r="Q63" i="9"/>
  <c r="Q58" i="9" s="1"/>
  <c r="Q17" i="9"/>
  <c r="Q18" i="21"/>
  <c r="D32" i="9"/>
  <c r="D68" i="9" s="1"/>
  <c r="O17" i="9"/>
  <c r="O18" i="21"/>
  <c r="E33" i="21"/>
  <c r="F18" i="44" s="1"/>
  <c r="H17" i="9"/>
  <c r="H18" i="21"/>
  <c r="G17" i="9"/>
  <c r="G18" i="21"/>
  <c r="P42" i="21"/>
  <c r="P32" i="9"/>
  <c r="Q52" i="44" s="1"/>
  <c r="K63" i="9"/>
  <c r="K58" i="9" s="1"/>
  <c r="K17" i="9"/>
  <c r="K18" i="21"/>
  <c r="E18" i="21"/>
  <c r="E17" i="9"/>
  <c r="T32" i="9"/>
  <c r="U52" i="44" s="1"/>
  <c r="T42" i="21"/>
  <c r="X17" i="44" l="1"/>
  <c r="Q17" i="44"/>
  <c r="R17" i="44"/>
  <c r="V17" i="44"/>
  <c r="S17" i="44"/>
  <c r="W17" i="44"/>
  <c r="U17" i="44"/>
  <c r="T17" i="44"/>
  <c r="K59" i="40"/>
  <c r="U59" i="40"/>
  <c r="W23" i="40"/>
  <c r="V24" i="40"/>
  <c r="V33" i="40" s="1"/>
  <c r="V30" i="40"/>
  <c r="V62" i="40" s="1"/>
  <c r="V59" i="40" s="1"/>
  <c r="D68" i="21"/>
  <c r="D67" i="9"/>
  <c r="D66" i="9" s="1"/>
  <c r="L32" i="9"/>
  <c r="M52" i="44" s="1"/>
  <c r="L42" i="21"/>
  <c r="Q38" i="21"/>
  <c r="R12" i="44" s="1"/>
  <c r="R37" i="21"/>
  <c r="S11" i="44" s="1"/>
  <c r="K42" i="21"/>
  <c r="K32" i="9"/>
  <c r="L52" i="44" s="1"/>
  <c r="U37" i="21"/>
  <c r="V11" i="44" s="1"/>
  <c r="J42" i="21"/>
  <c r="J32" i="9"/>
  <c r="K52" i="44" s="1"/>
  <c r="W38" i="21"/>
  <c r="X12" i="44" s="1"/>
  <c r="S37" i="21"/>
  <c r="T11" i="44" s="1"/>
  <c r="V38" i="21"/>
  <c r="W12" i="44" s="1"/>
  <c r="U38" i="21"/>
  <c r="V12" i="44" s="1"/>
  <c r="V37" i="21"/>
  <c r="W11" i="44" s="1"/>
  <c r="M42" i="21"/>
  <c r="M32" i="9"/>
  <c r="N52" i="44" s="1"/>
  <c r="T38" i="21"/>
  <c r="U12" i="44" s="1"/>
  <c r="R38" i="21"/>
  <c r="S12" i="44" s="1"/>
  <c r="T37" i="21"/>
  <c r="U11" i="44" s="1"/>
  <c r="I32" i="9"/>
  <c r="J52" i="44" s="1"/>
  <c r="I42" i="21"/>
  <c r="S38" i="21"/>
  <c r="T12" i="44" s="1"/>
  <c r="P38" i="21"/>
  <c r="Q12" i="44" s="1"/>
  <c r="W37" i="21"/>
  <c r="X11" i="44" s="1"/>
  <c r="D71" i="40" l="1"/>
  <c r="D67" i="40" s="1"/>
  <c r="D58" i="40" s="1"/>
  <c r="D57" i="40" s="1"/>
  <c r="D71" i="21"/>
  <c r="D67" i="21" s="1"/>
  <c r="D58" i="21" s="1"/>
  <c r="D57" i="21" s="1"/>
  <c r="J17" i="44"/>
  <c r="K17" i="44"/>
  <c r="L17" i="44"/>
  <c r="N17" i="44"/>
  <c r="M17" i="44"/>
  <c r="W30" i="40"/>
  <c r="W62" i="40" s="1"/>
  <c r="W24" i="40"/>
  <c r="D77" i="21"/>
  <c r="D78" i="21"/>
  <c r="D76" i="9"/>
  <c r="D77" i="9"/>
  <c r="E68" i="40" l="1"/>
  <c r="E69" i="40"/>
  <c r="D92" i="40"/>
  <c r="E70" i="40"/>
  <c r="W33" i="40"/>
  <c r="W59" i="40"/>
  <c r="D57" i="9"/>
  <c r="D56" i="9" s="1"/>
  <c r="E68" i="21"/>
  <c r="E69" i="21"/>
  <c r="E70" i="21"/>
  <c r="D90" i="21"/>
  <c r="D95" i="40" l="1"/>
  <c r="D93" i="40"/>
  <c r="D87" i="40"/>
  <c r="D88" i="40" s="1"/>
  <c r="D94" i="40"/>
  <c r="D96" i="40"/>
  <c r="D97" i="40"/>
  <c r="E77" i="40"/>
  <c r="E78" i="40"/>
  <c r="F10" i="44"/>
  <c r="D85" i="21"/>
  <c r="D86" i="21" s="1"/>
  <c r="D87" i="9"/>
  <c r="E68" i="9"/>
  <c r="E67" i="9"/>
  <c r="E69" i="9"/>
  <c r="D92" i="21"/>
  <c r="D95" i="21"/>
  <c r="D94" i="21"/>
  <c r="D91" i="21"/>
  <c r="D93" i="21"/>
  <c r="E77" i="21"/>
  <c r="E78" i="21"/>
  <c r="F6" i="44" l="1"/>
  <c r="E102" i="40"/>
  <c r="E103" i="40" s="1"/>
  <c r="F45" i="44"/>
  <c r="E100" i="21"/>
  <c r="E101" i="21" s="1"/>
  <c r="E76" i="9"/>
  <c r="E77" i="9"/>
  <c r="D88" i="9"/>
  <c r="D89" i="9"/>
  <c r="D90" i="9"/>
  <c r="D92" i="9"/>
  <c r="D91" i="9"/>
  <c r="D83" i="9"/>
  <c r="D84" i="9" s="1"/>
  <c r="E66" i="9" l="1"/>
  <c r="E57" i="9" s="1"/>
  <c r="E56" i="9" s="1"/>
  <c r="E71" i="21"/>
  <c r="E67" i="21" s="1"/>
  <c r="E58" i="21" s="1"/>
  <c r="E57" i="21" s="1"/>
  <c r="E71" i="40"/>
  <c r="E67" i="40" s="1"/>
  <c r="E58" i="40" s="1"/>
  <c r="E57" i="40" s="1"/>
  <c r="F42" i="44"/>
  <c r="D94" i="9"/>
  <c r="E97" i="9"/>
  <c r="F41" i="44" l="1"/>
  <c r="E87" i="9"/>
  <c r="F67" i="9"/>
  <c r="F76" i="9" s="1"/>
  <c r="F68" i="9"/>
  <c r="F69" i="9"/>
  <c r="F68" i="40"/>
  <c r="F69" i="40"/>
  <c r="F70" i="40"/>
  <c r="E92" i="40"/>
  <c r="F5" i="44"/>
  <c r="F68" i="21"/>
  <c r="F69" i="21"/>
  <c r="F70" i="21"/>
  <c r="E90" i="21"/>
  <c r="G45" i="44"/>
  <c r="E83" i="9"/>
  <c r="E92" i="9" s="1"/>
  <c r="D99" i="40"/>
  <c r="D97" i="21"/>
  <c r="D93" i="9"/>
  <c r="F77" i="9" l="1"/>
  <c r="E87" i="40"/>
  <c r="E97" i="40" s="1"/>
  <c r="E85" i="21"/>
  <c r="E94" i="21" s="1"/>
  <c r="G10" i="44"/>
  <c r="F77" i="40"/>
  <c r="F78" i="40"/>
  <c r="G42" i="44"/>
  <c r="E91" i="9"/>
  <c r="E84" i="9"/>
  <c r="E89" i="9" s="1"/>
  <c r="D98" i="40"/>
  <c r="D96" i="21"/>
  <c r="F71" i="40" l="1"/>
  <c r="F67" i="40" s="1"/>
  <c r="F58" i="40" s="1"/>
  <c r="F57" i="40" s="1"/>
  <c r="F71" i="21"/>
  <c r="F67" i="21" s="1"/>
  <c r="F66" i="9"/>
  <c r="F57" i="9" s="1"/>
  <c r="F56" i="9" s="1"/>
  <c r="E88" i="40"/>
  <c r="E94" i="40" s="1"/>
  <c r="E96" i="40"/>
  <c r="E95" i="21"/>
  <c r="G69" i="40"/>
  <c r="G70" i="40"/>
  <c r="F92" i="40"/>
  <c r="G68" i="40"/>
  <c r="E86" i="21"/>
  <c r="E93" i="21" s="1"/>
  <c r="E90" i="9"/>
  <c r="E88" i="9" s="1"/>
  <c r="E93" i="9" s="1"/>
  <c r="G41" i="44"/>
  <c r="E95" i="40"/>
  <c r="F99" i="21"/>
  <c r="G67" i="9" l="1"/>
  <c r="G71" i="40" s="1"/>
  <c r="G67" i="40" s="1"/>
  <c r="G58" i="40" s="1"/>
  <c r="G57" i="40" s="1"/>
  <c r="G69" i="9"/>
  <c r="G68" i="9"/>
  <c r="F87" i="9"/>
  <c r="E92" i="21"/>
  <c r="E91" i="21" s="1"/>
  <c r="F61" i="44"/>
  <c r="F103" i="21"/>
  <c r="G78" i="40"/>
  <c r="G26" i="35" s="1"/>
  <c r="G77" i="40"/>
  <c r="F87" i="40"/>
  <c r="F96" i="40" s="1"/>
  <c r="E93" i="40"/>
  <c r="E99" i="40" s="1"/>
  <c r="F97" i="9"/>
  <c r="E94" i="9"/>
  <c r="G77" i="9"/>
  <c r="H45" i="44" l="1"/>
  <c r="G76" i="9"/>
  <c r="H42" i="44" s="1"/>
  <c r="G71" i="21"/>
  <c r="G66" i="9"/>
  <c r="G57" i="9" s="1"/>
  <c r="G56" i="9" s="1"/>
  <c r="F100" i="21"/>
  <c r="F101" i="21" s="1"/>
  <c r="F58" i="44"/>
  <c r="F60" i="44"/>
  <c r="F59" i="44"/>
  <c r="H70" i="40"/>
  <c r="H69" i="40"/>
  <c r="G92" i="40"/>
  <c r="F97" i="40"/>
  <c r="E98" i="40"/>
  <c r="F88" i="40" s="1"/>
  <c r="F95" i="40" s="1"/>
  <c r="F102" i="40"/>
  <c r="F103" i="40" s="1"/>
  <c r="E96" i="21"/>
  <c r="F62" i="44" s="1"/>
  <c r="E97" i="21"/>
  <c r="F83" i="9"/>
  <c r="F94" i="40" l="1"/>
  <c r="F93" i="40" s="1"/>
  <c r="G87" i="40"/>
  <c r="G97" i="40" s="1"/>
  <c r="G87" i="9"/>
  <c r="H41" i="44"/>
  <c r="H69" i="9"/>
  <c r="H68" i="9"/>
  <c r="F91" i="9"/>
  <c r="F84" i="9"/>
  <c r="F89" i="9" s="1"/>
  <c r="F92" i="9"/>
  <c r="F99" i="40" l="1"/>
  <c r="F98" i="40"/>
  <c r="G102" i="40"/>
  <c r="G103" i="40" s="1"/>
  <c r="G96" i="40"/>
  <c r="F90" i="9"/>
  <c r="F88" i="9" s="1"/>
  <c r="G88" i="40" l="1"/>
  <c r="F94" i="9"/>
  <c r="G99" i="21"/>
  <c r="G94" i="40" l="1"/>
  <c r="G95" i="40"/>
  <c r="F93" i="9"/>
  <c r="G97" i="9"/>
  <c r="G83" i="9"/>
  <c r="G91" i="9" s="1"/>
  <c r="G93" i="40" l="1"/>
  <c r="G92" i="9"/>
  <c r="G84" i="9"/>
  <c r="G90" i="9" s="1"/>
  <c r="E99" i="21"/>
  <c r="E103" i="21" s="1"/>
  <c r="H102" i="40" l="1"/>
  <c r="H103" i="40" s="1"/>
  <c r="H101" i="40" s="1"/>
  <c r="G98" i="40"/>
  <c r="G99" i="40"/>
  <c r="G89" i="9"/>
  <c r="H36" i="40" l="1"/>
  <c r="H68" i="40" s="1"/>
  <c r="H67" i="40" s="1"/>
  <c r="H58" i="40" s="1"/>
  <c r="H57" i="40" s="1"/>
  <c r="H106" i="40"/>
  <c r="H92" i="40" s="1"/>
  <c r="G88" i="9"/>
  <c r="F78" i="21"/>
  <c r="G12" i="21" s="1"/>
  <c r="F59" i="21"/>
  <c r="F77" i="21" s="1"/>
  <c r="G79" i="21" l="1"/>
  <c r="H77" i="40"/>
  <c r="H78" i="40"/>
  <c r="H26" i="35" s="1"/>
  <c r="I70" i="40"/>
  <c r="I69" i="40"/>
  <c r="H87" i="40"/>
  <c r="H88" i="40" s="1"/>
  <c r="H94" i="40" s="1"/>
  <c r="G6" i="44"/>
  <c r="G93" i="9"/>
  <c r="G94" i="9"/>
  <c r="H97" i="9"/>
  <c r="H98" i="9" s="1"/>
  <c r="F58" i="21"/>
  <c r="F57" i="21" s="1"/>
  <c r="H96" i="40" l="1"/>
  <c r="H95" i="40"/>
  <c r="H93" i="40" s="1"/>
  <c r="H97" i="40"/>
  <c r="G5" i="44"/>
  <c r="H7" i="44"/>
  <c r="G50" i="21"/>
  <c r="G13" i="21"/>
  <c r="G18" i="35"/>
  <c r="F90" i="21"/>
  <c r="G70" i="21"/>
  <c r="H98" i="40" l="1"/>
  <c r="H99" i="40"/>
  <c r="I102" i="40"/>
  <c r="I103" i="40" s="1"/>
  <c r="I101" i="40" s="1"/>
  <c r="F85" i="21"/>
  <c r="F86" i="21" s="1"/>
  <c r="G60" i="21"/>
  <c r="G52" i="21"/>
  <c r="I106" i="40" l="1"/>
  <c r="I92" i="40" s="1"/>
  <c r="I36" i="40"/>
  <c r="I68" i="40" s="1"/>
  <c r="F92" i="21"/>
  <c r="F93" i="21"/>
  <c r="F95" i="21"/>
  <c r="F94" i="21"/>
  <c r="G23" i="21"/>
  <c r="G24" i="21" s="1"/>
  <c r="I67" i="40" l="1"/>
  <c r="I58" i="40" s="1"/>
  <c r="I57" i="40" s="1"/>
  <c r="I78" i="40"/>
  <c r="I26" i="35" s="1"/>
  <c r="I77" i="40"/>
  <c r="I87" i="40"/>
  <c r="I88" i="40" s="1"/>
  <c r="I94" i="40" s="1"/>
  <c r="G61" i="44"/>
  <c r="H16" i="44"/>
  <c r="G103" i="21"/>
  <c r="F91" i="21"/>
  <c r="G30" i="21"/>
  <c r="G62" i="21" s="1"/>
  <c r="G33" i="21"/>
  <c r="G59" i="44" l="1"/>
  <c r="G58" i="44"/>
  <c r="I97" i="40"/>
  <c r="I95" i="40"/>
  <c r="I96" i="40"/>
  <c r="J70" i="40"/>
  <c r="J69" i="40"/>
  <c r="G60" i="44"/>
  <c r="G68" i="21"/>
  <c r="H10" i="44" s="1"/>
  <c r="H18" i="44"/>
  <c r="G59" i="21"/>
  <c r="H8" i="44"/>
  <c r="G100" i="21"/>
  <c r="G101" i="21" s="1"/>
  <c r="F97" i="21"/>
  <c r="F96" i="21"/>
  <c r="G62" i="44" s="1"/>
  <c r="H51" i="21"/>
  <c r="G69" i="21"/>
  <c r="I93" i="40" l="1"/>
  <c r="I98" i="40" s="1"/>
  <c r="G77" i="21"/>
  <c r="G78" i="21"/>
  <c r="H12" i="21" s="1"/>
  <c r="G67" i="21"/>
  <c r="G58" i="21" s="1"/>
  <c r="G57" i="21" s="1"/>
  <c r="H79" i="21" l="1"/>
  <c r="H6" i="44"/>
  <c r="J102" i="40"/>
  <c r="J103" i="40" s="1"/>
  <c r="J101" i="40" s="1"/>
  <c r="I99" i="40"/>
  <c r="G19" i="35"/>
  <c r="H5" i="44"/>
  <c r="H70" i="21"/>
  <c r="G90" i="21"/>
  <c r="H13" i="21" l="1"/>
  <c r="J36" i="40"/>
  <c r="J68" i="40" s="1"/>
  <c r="J106" i="40"/>
  <c r="J92" i="40" s="1"/>
  <c r="H18" i="35"/>
  <c r="I7" i="44"/>
  <c r="H50" i="21"/>
  <c r="G85" i="21"/>
  <c r="G86" i="21" s="1"/>
  <c r="H60" i="21"/>
  <c r="H52" i="21"/>
  <c r="J87" i="40" l="1"/>
  <c r="J88" i="40" s="1"/>
  <c r="J95" i="40" s="1"/>
  <c r="J78" i="40"/>
  <c r="J26" i="35" s="1"/>
  <c r="J67" i="40"/>
  <c r="J58" i="40" s="1"/>
  <c r="J57" i="40" s="1"/>
  <c r="J77" i="40"/>
  <c r="H23" i="21"/>
  <c r="H24" i="21" s="1"/>
  <c r="G94" i="21"/>
  <c r="G92" i="21"/>
  <c r="G95" i="21"/>
  <c r="G93" i="21"/>
  <c r="J94" i="40" l="1"/>
  <c r="J93" i="40" s="1"/>
  <c r="J97" i="40"/>
  <c r="J96" i="40"/>
  <c r="K70" i="40"/>
  <c r="K69" i="40"/>
  <c r="H30" i="21"/>
  <c r="H62" i="21" s="1"/>
  <c r="H61" i="44"/>
  <c r="G91" i="21"/>
  <c r="I16" i="44"/>
  <c r="H33" i="21"/>
  <c r="I18" i="44" s="1"/>
  <c r="H59" i="44" l="1"/>
  <c r="H58" i="44"/>
  <c r="K102" i="40"/>
  <c r="K103" i="40" s="1"/>
  <c r="K101" i="40" s="1"/>
  <c r="K106" i="40" s="1"/>
  <c r="K92" i="40" s="1"/>
  <c r="I51" i="21"/>
  <c r="J98" i="40"/>
  <c r="J99" i="40"/>
  <c r="H100" i="21"/>
  <c r="H101" i="21" s="1"/>
  <c r="H99" i="21" s="1"/>
  <c r="G97" i="21"/>
  <c r="G96" i="21"/>
  <c r="H62" i="44" s="1"/>
  <c r="H60" i="44"/>
  <c r="H59" i="21"/>
  <c r="I8" i="44"/>
  <c r="H69" i="21"/>
  <c r="K36" i="40" l="1"/>
  <c r="K68" i="40" s="1"/>
  <c r="K77" i="40" s="1"/>
  <c r="H36" i="21"/>
  <c r="K87" i="40"/>
  <c r="K88" i="40" s="1"/>
  <c r="K94" i="40" s="1"/>
  <c r="H103" i="21"/>
  <c r="H90" i="21" s="1"/>
  <c r="K78" i="40" l="1"/>
  <c r="K26" i="35" s="1"/>
  <c r="K67" i="40"/>
  <c r="K58" i="40" s="1"/>
  <c r="K57" i="40" s="1"/>
  <c r="H68" i="21"/>
  <c r="H77" i="21" s="1"/>
  <c r="I13" i="44"/>
  <c r="K95" i="40"/>
  <c r="K93" i="40" s="1"/>
  <c r="K96" i="40"/>
  <c r="K97" i="40"/>
  <c r="H85" i="21"/>
  <c r="H86" i="21" s="1"/>
  <c r="H93" i="21" s="1"/>
  <c r="H67" i="21" l="1"/>
  <c r="H58" i="21" s="1"/>
  <c r="H57" i="21" s="1"/>
  <c r="H78" i="21"/>
  <c r="I12" i="21" s="1"/>
  <c r="I10" i="44"/>
  <c r="L69" i="40"/>
  <c r="K83" i="40"/>
  <c r="L70" i="40"/>
  <c r="H95" i="21"/>
  <c r="H94" i="21"/>
  <c r="I61" i="44" s="1"/>
  <c r="H92" i="21"/>
  <c r="H91" i="21" s="1"/>
  <c r="K98" i="40"/>
  <c r="L102" i="40"/>
  <c r="L103" i="40" s="1"/>
  <c r="L101" i="40" s="1"/>
  <c r="K99" i="40"/>
  <c r="I6" i="44"/>
  <c r="I5" i="44" l="1"/>
  <c r="I70" i="21"/>
  <c r="I79" i="21"/>
  <c r="H19" i="35"/>
  <c r="H97" i="21"/>
  <c r="I58" i="44"/>
  <c r="L106" i="40"/>
  <c r="L92" i="40" s="1"/>
  <c r="L87" i="40" s="1"/>
  <c r="L88" i="40" s="1"/>
  <c r="L94" i="40" s="1"/>
  <c r="L36" i="40"/>
  <c r="L68" i="40" s="1"/>
  <c r="I60" i="44"/>
  <c r="I59" i="44"/>
  <c r="I100" i="21"/>
  <c r="I101" i="21" s="1"/>
  <c r="I99" i="21" s="1"/>
  <c r="H96" i="21"/>
  <c r="I62" i="44" s="1"/>
  <c r="J7" i="44" l="1"/>
  <c r="I60" i="21"/>
  <c r="I13" i="21"/>
  <c r="I50" i="21"/>
  <c r="I52" i="21"/>
  <c r="I18" i="35"/>
  <c r="L96" i="40"/>
  <c r="L97" i="40"/>
  <c r="L77" i="40"/>
  <c r="L78" i="40"/>
  <c r="L26" i="35" s="1"/>
  <c r="L67" i="40"/>
  <c r="L58" i="40" s="1"/>
  <c r="L57" i="40" s="1"/>
  <c r="L95" i="40"/>
  <c r="L93" i="40" s="1"/>
  <c r="I36" i="21"/>
  <c r="I23" i="21" l="1"/>
  <c r="I30" i="21" s="1"/>
  <c r="J51" i="21" s="1"/>
  <c r="J13" i="44"/>
  <c r="L83" i="40"/>
  <c r="M69" i="40"/>
  <c r="M70" i="40"/>
  <c r="M102" i="40"/>
  <c r="M103" i="40" s="1"/>
  <c r="M101" i="40" s="1"/>
  <c r="L99" i="40"/>
  <c r="L98" i="40"/>
  <c r="I24" i="21" l="1"/>
  <c r="I62" i="21"/>
  <c r="J8" i="44" s="1"/>
  <c r="M106" i="40"/>
  <c r="M92" i="40" s="1"/>
  <c r="M36" i="40"/>
  <c r="I33" i="21" l="1"/>
  <c r="I103" i="21"/>
  <c r="I90" i="21" s="1"/>
  <c r="J16" i="44"/>
  <c r="I59" i="21"/>
  <c r="I69" i="21"/>
  <c r="M68" i="40"/>
  <c r="M78" i="40" s="1"/>
  <c r="M26" i="35" s="1"/>
  <c r="M87" i="40"/>
  <c r="M88" i="40" s="1"/>
  <c r="I68" i="21" l="1"/>
  <c r="I67" i="21" s="1"/>
  <c r="I58" i="21" s="1"/>
  <c r="I57" i="21" s="1"/>
  <c r="J18" i="44"/>
  <c r="I85" i="21"/>
  <c r="I86" i="21" s="1"/>
  <c r="I92" i="21" s="1"/>
  <c r="M67" i="40"/>
  <c r="M58" i="40" s="1"/>
  <c r="M57" i="40" s="1"/>
  <c r="N70" i="40" s="1"/>
  <c r="M77" i="40"/>
  <c r="M95" i="40"/>
  <c r="M94" i="40"/>
  <c r="M97" i="40"/>
  <c r="M96" i="40"/>
  <c r="I95" i="21" l="1"/>
  <c r="J5" i="44"/>
  <c r="I94" i="21"/>
  <c r="J61" i="44" s="1"/>
  <c r="I78" i="21"/>
  <c r="J12" i="21" s="1"/>
  <c r="K12" i="21" s="1"/>
  <c r="L12" i="21" s="1"/>
  <c r="M12" i="21" s="1"/>
  <c r="J10" i="44"/>
  <c r="J70" i="21"/>
  <c r="I93" i="21"/>
  <c r="I91" i="21" s="1"/>
  <c r="I77" i="21"/>
  <c r="J58" i="44"/>
  <c r="J59" i="44"/>
  <c r="N69" i="40"/>
  <c r="M83" i="40"/>
  <c r="M93" i="40"/>
  <c r="M99" i="40" s="1"/>
  <c r="J60" i="44" l="1"/>
  <c r="I97" i="21"/>
  <c r="J100" i="21"/>
  <c r="J101" i="21" s="1"/>
  <c r="J99" i="21" s="1"/>
  <c r="J36" i="21" s="1"/>
  <c r="J6" i="44"/>
  <c r="I19" i="35"/>
  <c r="I96" i="21"/>
  <c r="J62" i="44" s="1"/>
  <c r="K13" i="44"/>
  <c r="N102" i="40"/>
  <c r="N103" i="40" s="1"/>
  <c r="N101" i="40" s="1"/>
  <c r="N106" i="40" s="1"/>
  <c r="N92" i="40" s="1"/>
  <c r="M98" i="40"/>
  <c r="J18" i="35" l="1"/>
  <c r="N36" i="40"/>
  <c r="N87" i="40"/>
  <c r="K7" i="44" l="1"/>
  <c r="J13" i="21"/>
  <c r="J60" i="21"/>
  <c r="J52" i="21"/>
  <c r="J20" i="35"/>
  <c r="J50" i="21"/>
  <c r="J79" i="21"/>
  <c r="D81" i="21" s="1"/>
  <c r="N68" i="40"/>
  <c r="N77" i="40" s="1"/>
  <c r="N97" i="40"/>
  <c r="N96" i="40"/>
  <c r="N88" i="40"/>
  <c r="N94" i="40" s="1"/>
  <c r="J23" i="21" l="1"/>
  <c r="J24" i="21" s="1"/>
  <c r="K16" i="44"/>
  <c r="N67" i="40"/>
  <c r="N58" i="40" s="1"/>
  <c r="N57" i="40" s="1"/>
  <c r="N83" i="40" s="1"/>
  <c r="N78" i="40"/>
  <c r="N95" i="40"/>
  <c r="J30" i="21" l="1"/>
  <c r="K51" i="21" s="1"/>
  <c r="J103" i="21"/>
  <c r="J33" i="21"/>
  <c r="K18" i="44" s="1"/>
  <c r="O70" i="40"/>
  <c r="O69" i="40"/>
  <c r="N93" i="40"/>
  <c r="O102" i="40" s="1"/>
  <c r="O103" i="40" s="1"/>
  <c r="O101" i="40" s="1"/>
  <c r="O106" i="40" s="1"/>
  <c r="O92" i="40" s="1"/>
  <c r="J62" i="21" l="1"/>
  <c r="J90" i="21" s="1"/>
  <c r="J85" i="21" s="1"/>
  <c r="J86" i="21" s="1"/>
  <c r="J69" i="21"/>
  <c r="J68" i="21"/>
  <c r="K10" i="44" s="1"/>
  <c r="K8" i="44"/>
  <c r="N98" i="40"/>
  <c r="N99" i="40"/>
  <c r="O36" i="40"/>
  <c r="O68" i="40" s="1"/>
  <c r="O78" i="40" s="1"/>
  <c r="O87" i="40"/>
  <c r="J59" i="21" l="1"/>
  <c r="J77" i="21" s="1"/>
  <c r="J78" i="21"/>
  <c r="J67" i="21"/>
  <c r="J92" i="21"/>
  <c r="J93" i="21"/>
  <c r="J95" i="21"/>
  <c r="J94" i="21"/>
  <c r="K61" i="44" s="1"/>
  <c r="O77" i="40"/>
  <c r="O67" i="40"/>
  <c r="O58" i="40" s="1"/>
  <c r="O57" i="40" s="1"/>
  <c r="O83" i="40" s="1"/>
  <c r="O88" i="40"/>
  <c r="O95" i="40" s="1"/>
  <c r="O97" i="40"/>
  <c r="O96" i="40"/>
  <c r="K6" i="44" l="1"/>
  <c r="J58" i="21"/>
  <c r="J57" i="21" s="1"/>
  <c r="K5" i="44"/>
  <c r="J19" i="35"/>
  <c r="K70" i="21"/>
  <c r="J91" i="21"/>
  <c r="J96" i="21" s="1"/>
  <c r="K62" i="44" s="1"/>
  <c r="P69" i="40"/>
  <c r="P70" i="40"/>
  <c r="K60" i="44"/>
  <c r="K59" i="44"/>
  <c r="O94" i="40"/>
  <c r="O93" i="40" s="1"/>
  <c r="O99" i="40" s="1"/>
  <c r="J97" i="21" l="1"/>
  <c r="K100" i="21"/>
  <c r="K101" i="21" s="1"/>
  <c r="K99" i="21" s="1"/>
  <c r="K58" i="44"/>
  <c r="P102" i="40"/>
  <c r="P103" i="40" s="1"/>
  <c r="P101" i="40" s="1"/>
  <c r="P106" i="40" s="1"/>
  <c r="P92" i="40" s="1"/>
  <c r="P87" i="40" s="1"/>
  <c r="O98" i="40"/>
  <c r="K36" i="21" l="1"/>
  <c r="P36" i="40"/>
  <c r="P68" i="40" s="1"/>
  <c r="P78" i="40" s="1"/>
  <c r="P97" i="40"/>
  <c r="P88" i="40"/>
  <c r="P95" i="40" s="1"/>
  <c r="P96" i="40"/>
  <c r="K79" i="21" l="1"/>
  <c r="K60" i="21"/>
  <c r="L13" i="44"/>
  <c r="K52" i="21"/>
  <c r="K13" i="21"/>
  <c r="L7" i="44"/>
  <c r="K50" i="21"/>
  <c r="K18" i="35"/>
  <c r="P67" i="40"/>
  <c r="P58" i="40" s="1"/>
  <c r="P57" i="40" s="1"/>
  <c r="P83" i="40" s="1"/>
  <c r="P77" i="40"/>
  <c r="P94" i="40"/>
  <c r="P93" i="40" s="1"/>
  <c r="K23" i="21" l="1"/>
  <c r="K30" i="21" s="1"/>
  <c r="K62" i="21" s="1"/>
  <c r="K59" i="21" s="1"/>
  <c r="Q69" i="40"/>
  <c r="Q70" i="40"/>
  <c r="P99" i="40"/>
  <c r="Q102" i="40"/>
  <c r="Q103" i="40" s="1"/>
  <c r="Q101" i="40" s="1"/>
  <c r="P98" i="40"/>
  <c r="L51" i="21"/>
  <c r="L8" i="44" l="1"/>
  <c r="K24" i="21"/>
  <c r="Q106" i="40"/>
  <c r="Q92" i="40" s="1"/>
  <c r="Q36" i="40"/>
  <c r="Q68" i="40" s="1"/>
  <c r="K103" i="21" l="1"/>
  <c r="K90" i="21" s="1"/>
  <c r="K33" i="21"/>
  <c r="K68" i="21" s="1"/>
  <c r="K77" i="21" s="1"/>
  <c r="L16" i="44"/>
  <c r="K85" i="21"/>
  <c r="K86" i="21" s="1"/>
  <c r="L18" i="44"/>
  <c r="Q78" i="40"/>
  <c r="Q77" i="40"/>
  <c r="Q67" i="40"/>
  <c r="Q58" i="40" s="1"/>
  <c r="Q57" i="40" s="1"/>
  <c r="Q83" i="40" s="1"/>
  <c r="Q87" i="40"/>
  <c r="Q88" i="40" s="1"/>
  <c r="K95" i="21"/>
  <c r="K94" i="21"/>
  <c r="L61" i="44" s="1"/>
  <c r="K92" i="21" l="1"/>
  <c r="K93" i="21"/>
  <c r="K91" i="21" s="1"/>
  <c r="K69" i="21"/>
  <c r="K67" i="21" s="1"/>
  <c r="K58" i="21" s="1"/>
  <c r="K57" i="21" s="1"/>
  <c r="L6" i="44"/>
  <c r="K78" i="21"/>
  <c r="L10" i="44"/>
  <c r="Q95" i="40"/>
  <c r="Q97" i="40"/>
  <c r="Q94" i="40"/>
  <c r="R69" i="40"/>
  <c r="R70" i="40"/>
  <c r="Q96" i="40"/>
  <c r="K97" i="21" l="1"/>
  <c r="L58" i="44"/>
  <c r="L60" i="44"/>
  <c r="L59" i="44"/>
  <c r="L70" i="21"/>
  <c r="L5" i="44"/>
  <c r="K19" i="35"/>
  <c r="K96" i="21"/>
  <c r="L62" i="44" s="1"/>
  <c r="L100" i="21"/>
  <c r="L101" i="21" s="1"/>
  <c r="L99" i="21" s="1"/>
  <c r="Q93" i="40"/>
  <c r="R102" i="40" s="1"/>
  <c r="R103" i="40" s="1"/>
  <c r="R101" i="40" s="1"/>
  <c r="Q99" i="40" l="1"/>
  <c r="Q98" i="40"/>
  <c r="L36" i="21"/>
  <c r="R106" i="40"/>
  <c r="R92" i="40" s="1"/>
  <c r="R36" i="40"/>
  <c r="R68" i="40" s="1"/>
  <c r="M13" i="44" l="1"/>
  <c r="R78" i="40"/>
  <c r="R77" i="40"/>
  <c r="R67" i="40"/>
  <c r="R58" i="40" s="1"/>
  <c r="R57" i="40" s="1"/>
  <c r="R83" i="40" s="1"/>
  <c r="R87" i="40"/>
  <c r="R88" i="40" s="1"/>
  <c r="R95" i="40" s="1"/>
  <c r="R94" i="40" l="1"/>
  <c r="R93" i="40" s="1"/>
  <c r="R96" i="40"/>
  <c r="R97" i="40"/>
  <c r="S70" i="40"/>
  <c r="S69" i="40"/>
  <c r="M7" i="44" l="1"/>
  <c r="L13" i="21"/>
  <c r="L52" i="21"/>
  <c r="L60" i="21"/>
  <c r="L18" i="35"/>
  <c r="L50" i="21"/>
  <c r="L23" i="21" s="1"/>
  <c r="L30" i="21" s="1"/>
  <c r="L79" i="21"/>
  <c r="S102" i="40"/>
  <c r="S103" i="40" s="1"/>
  <c r="S101" i="40" s="1"/>
  <c r="S36" i="40" s="1"/>
  <c r="S68" i="40" s="1"/>
  <c r="R98" i="40"/>
  <c r="R99" i="40"/>
  <c r="S106" i="40" l="1"/>
  <c r="S92" i="40" s="1"/>
  <c r="S87" i="40" s="1"/>
  <c r="S88" i="40" s="1"/>
  <c r="L24" i="21"/>
  <c r="L62" i="21"/>
  <c r="M51" i="21"/>
  <c r="S67" i="40"/>
  <c r="S58" i="40" s="1"/>
  <c r="S57" i="40" s="1"/>
  <c r="S83" i="40" s="1"/>
  <c r="S77" i="40"/>
  <c r="S78" i="40"/>
  <c r="L59" i="21" l="1"/>
  <c r="M8" i="44"/>
  <c r="M16" i="44"/>
  <c r="L33" i="21"/>
  <c r="L103" i="21"/>
  <c r="L90" i="21" s="1"/>
  <c r="S95" i="40"/>
  <c r="S97" i="40"/>
  <c r="S96" i="40"/>
  <c r="S94" i="40"/>
  <c r="T70" i="40"/>
  <c r="T69" i="40"/>
  <c r="L85" i="21" l="1"/>
  <c r="L95" i="21" s="1"/>
  <c r="L68" i="21"/>
  <c r="L77" i="21" s="1"/>
  <c r="M18" i="44"/>
  <c r="S93" i="40"/>
  <c r="S98" i="40" s="1"/>
  <c r="L69" i="21"/>
  <c r="L94" i="21" l="1"/>
  <c r="L86" i="21"/>
  <c r="L93" i="21" s="1"/>
  <c r="L67" i="21"/>
  <c r="L58" i="21" s="1"/>
  <c r="L57" i="21" s="1"/>
  <c r="S99" i="40"/>
  <c r="M6" i="44"/>
  <c r="L78" i="21"/>
  <c r="M10" i="44"/>
  <c r="T102" i="40"/>
  <c r="T103" i="40" s="1"/>
  <c r="T101" i="40" s="1"/>
  <c r="T106" i="40" s="1"/>
  <c r="T92" i="40" s="1"/>
  <c r="T87" i="40" s="1"/>
  <c r="T97" i="40" s="1"/>
  <c r="L92" i="21"/>
  <c r="M61" i="44" l="1"/>
  <c r="M5" i="44"/>
  <c r="M70" i="21"/>
  <c r="L91" i="21"/>
  <c r="T36" i="40"/>
  <c r="L19" i="35"/>
  <c r="T96" i="40"/>
  <c r="T88" i="40"/>
  <c r="L96" i="21" l="1"/>
  <c r="M62" i="44" s="1"/>
  <c r="M58" i="44"/>
  <c r="M59" i="44"/>
  <c r="M60" i="44"/>
  <c r="T68" i="40"/>
  <c r="T78" i="40" s="1"/>
  <c r="L97" i="21"/>
  <c r="M100" i="21"/>
  <c r="M101" i="21" s="1"/>
  <c r="M99" i="21" s="1"/>
  <c r="M36" i="21" s="1"/>
  <c r="T94" i="40"/>
  <c r="T95" i="40"/>
  <c r="T67" i="40" l="1"/>
  <c r="T58" i="40" s="1"/>
  <c r="T57" i="40" s="1"/>
  <c r="T83" i="40" s="1"/>
  <c r="T77" i="40"/>
  <c r="H13" i="35" s="1"/>
  <c r="N13" i="44"/>
  <c r="T93" i="40"/>
  <c r="T98" i="40" s="1"/>
  <c r="U69" i="40" l="1"/>
  <c r="U70" i="40"/>
  <c r="M79" i="21"/>
  <c r="I13" i="35"/>
  <c r="K13" i="35" s="1"/>
  <c r="N7" i="44"/>
  <c r="T99" i="40"/>
  <c r="U102" i="40"/>
  <c r="U103" i="40" s="1"/>
  <c r="U101" i="40" s="1"/>
  <c r="U106" i="40" s="1"/>
  <c r="U92" i="40" s="1"/>
  <c r="U87" i="40" s="1"/>
  <c r="U96" i="40" s="1"/>
  <c r="M20" i="35"/>
  <c r="M13" i="21" l="1"/>
  <c r="M52" i="21"/>
  <c r="M60" i="21"/>
  <c r="M18" i="35"/>
  <c r="J12" i="35" s="1"/>
  <c r="N12" i="21"/>
  <c r="N79" i="21" s="1"/>
  <c r="M50" i="21"/>
  <c r="N50" i="21" s="1"/>
  <c r="U36" i="40"/>
  <c r="U68" i="40" s="1"/>
  <c r="U77" i="40" s="1"/>
  <c r="U88" i="40"/>
  <c r="U94" i="40" s="1"/>
  <c r="U97" i="40"/>
  <c r="N60" i="21"/>
  <c r="N52" i="21" l="1"/>
  <c r="O7" i="44"/>
  <c r="N13" i="21"/>
  <c r="M23" i="21"/>
  <c r="M24" i="21" s="1"/>
  <c r="O12" i="21"/>
  <c r="O79" i="21" s="1"/>
  <c r="U67" i="40"/>
  <c r="U58" i="40" s="1"/>
  <c r="U57" i="40" s="1"/>
  <c r="U83" i="40" s="1"/>
  <c r="U78" i="40"/>
  <c r="N16" i="44"/>
  <c r="U95" i="40"/>
  <c r="U93" i="40" s="1"/>
  <c r="V102" i="40" s="1"/>
  <c r="V103" i="40" s="1"/>
  <c r="V101" i="40" s="1"/>
  <c r="M103" i="21" l="1"/>
  <c r="O60" i="21"/>
  <c r="O52" i="21"/>
  <c r="M33" i="21"/>
  <c r="M68" i="21" s="1"/>
  <c r="P7" i="44"/>
  <c r="P12" i="21"/>
  <c r="P79" i="21" s="1"/>
  <c r="M30" i="21"/>
  <c r="O51" i="21" s="1"/>
  <c r="O13" i="21"/>
  <c r="O50" i="21"/>
  <c r="P50" i="21" s="1"/>
  <c r="V70" i="40"/>
  <c r="V69" i="40"/>
  <c r="N18" i="44"/>
  <c r="U98" i="40"/>
  <c r="U99" i="40"/>
  <c r="M69" i="21"/>
  <c r="V36" i="40"/>
  <c r="V68" i="40" s="1"/>
  <c r="V106" i="40"/>
  <c r="N51" i="21" l="1"/>
  <c r="N23" i="21" s="1"/>
  <c r="M62" i="21"/>
  <c r="M59" i="21" s="1"/>
  <c r="M77" i="21" s="1"/>
  <c r="Q12" i="21"/>
  <c r="Q79" i="21" s="1"/>
  <c r="Q7" i="44"/>
  <c r="P13" i="21"/>
  <c r="O23" i="21"/>
  <c r="O24" i="21" s="1"/>
  <c r="M67" i="21"/>
  <c r="N30" i="21"/>
  <c r="N62" i="21" s="1"/>
  <c r="O8" i="44" s="1"/>
  <c r="N24" i="21"/>
  <c r="Q50" i="21"/>
  <c r="N8" i="44"/>
  <c r="R7" i="44"/>
  <c r="M78" i="21"/>
  <c r="N10" i="44"/>
  <c r="Q13" i="21"/>
  <c r="M90" i="21"/>
  <c r="V92" i="40"/>
  <c r="V78" i="40"/>
  <c r="V67" i="40"/>
  <c r="V58" i="40" s="1"/>
  <c r="V57" i="40" s="1"/>
  <c r="V77" i="40"/>
  <c r="R12" i="21" l="1"/>
  <c r="R79" i="21" s="1"/>
  <c r="O30" i="21"/>
  <c r="O16" i="44"/>
  <c r="N33" i="21"/>
  <c r="O18" i="44" s="1"/>
  <c r="N59" i="21"/>
  <c r="M58" i="21"/>
  <c r="M57" i="21" s="1"/>
  <c r="S7" i="44"/>
  <c r="M85" i="21"/>
  <c r="M86" i="21" s="1"/>
  <c r="M93" i="21" s="1"/>
  <c r="S12" i="21"/>
  <c r="S79" i="21" s="1"/>
  <c r="R13" i="21"/>
  <c r="M19" i="35"/>
  <c r="P16" i="44"/>
  <c r="N6" i="44"/>
  <c r="V83" i="40"/>
  <c r="V87" i="40"/>
  <c r="V88" i="40" s="1"/>
  <c r="V95" i="40" s="1"/>
  <c r="W69" i="40"/>
  <c r="W70" i="40"/>
  <c r="O62" i="21"/>
  <c r="P51" i="21"/>
  <c r="O33" i="21"/>
  <c r="P18" i="44" s="1"/>
  <c r="R50" i="21" l="1"/>
  <c r="T12" i="21"/>
  <c r="T79" i="21" s="1"/>
  <c r="N70" i="21"/>
  <c r="M94" i="21"/>
  <c r="M95" i="21"/>
  <c r="S50" i="21"/>
  <c r="N5" i="44"/>
  <c r="M92" i="21"/>
  <c r="N69" i="21"/>
  <c r="S13" i="21"/>
  <c r="T7" i="44"/>
  <c r="O59" i="21"/>
  <c r="P8" i="44"/>
  <c r="V96" i="40"/>
  <c r="V94" i="40"/>
  <c r="V93" i="40" s="1"/>
  <c r="V97" i="40"/>
  <c r="N61" i="44" l="1"/>
  <c r="U7" i="44"/>
  <c r="T13" i="21"/>
  <c r="U12" i="21"/>
  <c r="U79" i="21" s="1"/>
  <c r="T50" i="21"/>
  <c r="M91" i="21"/>
  <c r="V99" i="40"/>
  <c r="W102" i="40"/>
  <c r="W103" i="40" s="1"/>
  <c r="W101" i="40" s="1"/>
  <c r="V98" i="40"/>
  <c r="U13" i="21" l="1"/>
  <c r="V12" i="21"/>
  <c r="V79" i="21" s="1"/>
  <c r="V7" i="44"/>
  <c r="M97" i="21"/>
  <c r="N58" i="44"/>
  <c r="U50" i="21"/>
  <c r="N60" i="44"/>
  <c r="M96" i="21"/>
  <c r="N62" i="44" s="1"/>
  <c r="N59" i="44"/>
  <c r="N100" i="21"/>
  <c r="N101" i="21" s="1"/>
  <c r="N99" i="21" s="1"/>
  <c r="N103" i="21" s="1"/>
  <c r="N90" i="21" s="1"/>
  <c r="W36" i="40"/>
  <c r="W106" i="40"/>
  <c r="W92" i="40" s="1"/>
  <c r="W87" i="40" s="1"/>
  <c r="W96" i="40" s="1"/>
  <c r="P52" i="21"/>
  <c r="P60" i="21"/>
  <c r="V13" i="21" l="1"/>
  <c r="W12" i="21"/>
  <c r="W79" i="21" s="1"/>
  <c r="W7" i="44"/>
  <c r="V50" i="21"/>
  <c r="N85" i="21"/>
  <c r="N95" i="21" s="1"/>
  <c r="N36" i="21"/>
  <c r="W68" i="40"/>
  <c r="W67" i="40" s="1"/>
  <c r="W58" i="40" s="1"/>
  <c r="W57" i="40" s="1"/>
  <c r="W83" i="40" s="1"/>
  <c r="W88" i="40"/>
  <c r="W95" i="40" s="1"/>
  <c r="W97" i="40"/>
  <c r="P23" i="21"/>
  <c r="X7" i="44" l="1"/>
  <c r="W13" i="21"/>
  <c r="W50" i="21"/>
  <c r="O13" i="44"/>
  <c r="N68" i="21"/>
  <c r="N67" i="21" s="1"/>
  <c r="N58" i="21" s="1"/>
  <c r="N57" i="21" s="1"/>
  <c r="N94" i="21"/>
  <c r="N86" i="21"/>
  <c r="N93" i="21" s="1"/>
  <c r="W77" i="40"/>
  <c r="W78" i="40"/>
  <c r="W94" i="40"/>
  <c r="P24" i="21"/>
  <c r="P30" i="21"/>
  <c r="O10" i="44" l="1"/>
  <c r="N77" i="21"/>
  <c r="N78" i="21"/>
  <c r="N92" i="21"/>
  <c r="O5" i="44"/>
  <c r="O69" i="21"/>
  <c r="O70" i="21"/>
  <c r="Q16" i="44"/>
  <c r="W93" i="40"/>
  <c r="W99" i="40" s="1"/>
  <c r="P62" i="21"/>
  <c r="Q51" i="21"/>
  <c r="P33" i="21"/>
  <c r="Q18" i="44" s="1"/>
  <c r="O6" i="44" l="1"/>
  <c r="O61" i="44"/>
  <c r="N91" i="21"/>
  <c r="P59" i="21"/>
  <c r="Q8" i="44"/>
  <c r="W98" i="40"/>
  <c r="O59" i="44" l="1"/>
  <c r="O58" i="44"/>
  <c r="O60" i="44"/>
  <c r="N96" i="21"/>
  <c r="O62" i="44" s="1"/>
  <c r="O100" i="21"/>
  <c r="O101" i="21" s="1"/>
  <c r="O99" i="21" s="1"/>
  <c r="N97" i="21"/>
  <c r="O36" i="21" l="1"/>
  <c r="O103" i="21"/>
  <c r="O90" i="21" s="1"/>
  <c r="Q60" i="21"/>
  <c r="Q52" i="21"/>
  <c r="O85" i="21" l="1"/>
  <c r="O94" i="21" s="1"/>
  <c r="O68" i="21"/>
  <c r="P13" i="44"/>
  <c r="Q23" i="21"/>
  <c r="P10" i="44" l="1"/>
  <c r="O67" i="21"/>
  <c r="O58" i="21" s="1"/>
  <c r="O57" i="21" s="1"/>
  <c r="O78" i="21"/>
  <c r="O77" i="21"/>
  <c r="O95" i="21"/>
  <c r="O86" i="21"/>
  <c r="Q30" i="21"/>
  <c r="Q24" i="21"/>
  <c r="O92" i="21" l="1"/>
  <c r="O93" i="21"/>
  <c r="P6" i="44"/>
  <c r="P69" i="21"/>
  <c r="P70" i="21"/>
  <c r="P5" i="44"/>
  <c r="R16" i="44"/>
  <c r="Q62" i="21"/>
  <c r="R51" i="21"/>
  <c r="Q33" i="21"/>
  <c r="R18" i="44" s="1"/>
  <c r="P61" i="44" l="1"/>
  <c r="O91" i="21"/>
  <c r="Q59" i="21"/>
  <c r="R8" i="44"/>
  <c r="O96" i="21" l="1"/>
  <c r="P62" i="44" s="1"/>
  <c r="P58" i="44"/>
  <c r="P60" i="44"/>
  <c r="P59" i="44"/>
  <c r="P100" i="21"/>
  <c r="P101" i="21" s="1"/>
  <c r="P99" i="21" s="1"/>
  <c r="P103" i="21" s="1"/>
  <c r="P90" i="21" s="1"/>
  <c r="O97" i="21"/>
  <c r="P36" i="21" l="1"/>
  <c r="P85" i="21"/>
  <c r="P95" i="21" s="1"/>
  <c r="R52" i="21"/>
  <c r="R60" i="21"/>
  <c r="Q13" i="44" l="1"/>
  <c r="P68" i="21"/>
  <c r="P67" i="21" s="1"/>
  <c r="P58" i="21" s="1"/>
  <c r="P57" i="21" s="1"/>
  <c r="P94" i="21"/>
  <c r="P86" i="21"/>
  <c r="P92" i="21" s="1"/>
  <c r="R23" i="21"/>
  <c r="Q10" i="44" l="1"/>
  <c r="P78" i="21"/>
  <c r="P77" i="21"/>
  <c r="P93" i="21"/>
  <c r="Q61" i="44" s="1"/>
  <c r="Q69" i="21"/>
  <c r="Q5" i="44"/>
  <c r="Q70" i="21"/>
  <c r="R24" i="21"/>
  <c r="R30" i="21"/>
  <c r="Q6" i="44" l="1"/>
  <c r="P91" i="21"/>
  <c r="S16" i="44"/>
  <c r="R62" i="21"/>
  <c r="S51" i="21"/>
  <c r="R33" i="21"/>
  <c r="S18" i="44" s="1"/>
  <c r="Q60" i="44" l="1"/>
  <c r="Q58" i="44"/>
  <c r="Q59" i="44"/>
  <c r="Q100" i="21"/>
  <c r="Q101" i="21" s="1"/>
  <c r="Q99" i="21" s="1"/>
  <c r="Q103" i="21" s="1"/>
  <c r="Q90" i="21" s="1"/>
  <c r="P96" i="21"/>
  <c r="Q62" i="44" s="1"/>
  <c r="P97" i="21"/>
  <c r="R59" i="21"/>
  <c r="S8" i="44"/>
  <c r="Q36" i="21" l="1"/>
  <c r="Q85" i="21"/>
  <c r="R13" i="44" l="1"/>
  <c r="Q68" i="21"/>
  <c r="Q78" i="21" s="1"/>
  <c r="Q95" i="21"/>
  <c r="Q94" i="21"/>
  <c r="Q86" i="21"/>
  <c r="Q93" i="21" s="1"/>
  <c r="R10" i="44"/>
  <c r="Q67" i="21"/>
  <c r="Q58" i="21" s="1"/>
  <c r="Q57" i="21" s="1"/>
  <c r="S52" i="21"/>
  <c r="S60" i="21"/>
  <c r="Q77" i="21" l="1"/>
  <c r="Q92" i="21"/>
  <c r="R70" i="21"/>
  <c r="R5" i="44"/>
  <c r="R69" i="21"/>
  <c r="S23" i="21"/>
  <c r="R6" i="44" l="1"/>
  <c r="R61" i="44"/>
  <c r="Q91" i="21"/>
  <c r="S30" i="21"/>
  <c r="S24" i="21"/>
  <c r="R59" i="44" l="1"/>
  <c r="R58" i="44"/>
  <c r="R60" i="44"/>
  <c r="R100" i="21"/>
  <c r="R101" i="21" s="1"/>
  <c r="R99" i="21" s="1"/>
  <c r="Q96" i="21"/>
  <c r="R62" i="44" s="1"/>
  <c r="Q97" i="21"/>
  <c r="T16" i="44"/>
  <c r="S62" i="21"/>
  <c r="T51" i="21"/>
  <c r="S33" i="21"/>
  <c r="T18" i="44" s="1"/>
  <c r="R103" i="21" l="1"/>
  <c r="R90" i="21" s="1"/>
  <c r="R36" i="21"/>
  <c r="S59" i="21"/>
  <c r="T8" i="44"/>
  <c r="S13" i="44" l="1"/>
  <c r="R68" i="21"/>
  <c r="R85" i="21"/>
  <c r="R86" i="21" l="1"/>
  <c r="R93" i="21" s="1"/>
  <c r="R94" i="21"/>
  <c r="S10" i="44"/>
  <c r="R78" i="21"/>
  <c r="R77" i="21"/>
  <c r="R67" i="21"/>
  <c r="R58" i="21" s="1"/>
  <c r="R57" i="21" s="1"/>
  <c r="R95" i="21"/>
  <c r="T52" i="21"/>
  <c r="T60" i="21"/>
  <c r="R92" i="21" l="1"/>
  <c r="S60" i="44" s="1"/>
  <c r="S61" i="44"/>
  <c r="S6" i="44"/>
  <c r="S70" i="21"/>
  <c r="S5" i="44"/>
  <c r="S69" i="21"/>
  <c r="T23" i="21"/>
  <c r="R91" i="21" l="1"/>
  <c r="T24" i="21"/>
  <c r="T30" i="21"/>
  <c r="R97" i="21" l="1"/>
  <c r="S58" i="44"/>
  <c r="S59" i="44"/>
  <c r="R96" i="21"/>
  <c r="S62" i="44" s="1"/>
  <c r="S100" i="21"/>
  <c r="S101" i="21" s="1"/>
  <c r="S99" i="21" s="1"/>
  <c r="S36" i="21" s="1"/>
  <c r="U16" i="44"/>
  <c r="T62" i="21"/>
  <c r="U51" i="21"/>
  <c r="T33" i="21"/>
  <c r="S68" i="21" l="1"/>
  <c r="S67" i="21" s="1"/>
  <c r="S58" i="21" s="1"/>
  <c r="S57" i="21" s="1"/>
  <c r="T69" i="21" s="1"/>
  <c r="T13" i="44"/>
  <c r="S103" i="21"/>
  <c r="S90" i="21" s="1"/>
  <c r="T10" i="44"/>
  <c r="T59" i="21"/>
  <c r="U8" i="44"/>
  <c r="U18" i="44"/>
  <c r="S77" i="21" l="1"/>
  <c r="T6" i="44" s="1"/>
  <c r="S78" i="21"/>
  <c r="S85" i="21"/>
  <c r="S86" i="21" s="1"/>
  <c r="S93" i="21" s="1"/>
  <c r="T70" i="21"/>
  <c r="T5" i="44"/>
  <c r="S92" i="21" l="1"/>
  <c r="S91" i="21" s="1"/>
  <c r="T58" i="44" s="1"/>
  <c r="S95" i="21"/>
  <c r="S94" i="21"/>
  <c r="T61" i="44" s="1"/>
  <c r="T60" i="44"/>
  <c r="U60" i="21"/>
  <c r="U52" i="21"/>
  <c r="T59" i="44" l="1"/>
  <c r="S97" i="21"/>
  <c r="T100" i="21"/>
  <c r="T101" i="21" s="1"/>
  <c r="T99" i="21" s="1"/>
  <c r="T62" i="44"/>
  <c r="S96" i="21"/>
  <c r="U23" i="21"/>
  <c r="T103" i="21" l="1"/>
  <c r="T90" i="21" s="1"/>
  <c r="T85" i="21" s="1"/>
  <c r="T86" i="21" s="1"/>
  <c r="T36" i="21"/>
  <c r="U13" i="44"/>
  <c r="U30" i="21"/>
  <c r="U24" i="21"/>
  <c r="T68" i="21" l="1"/>
  <c r="T67" i="21" s="1"/>
  <c r="T58" i="21" s="1"/>
  <c r="T57" i="21" s="1"/>
  <c r="T93" i="21"/>
  <c r="T94" i="21"/>
  <c r="U61" i="44" s="1"/>
  <c r="T92" i="21"/>
  <c r="T95" i="21"/>
  <c r="U10" i="44"/>
  <c r="V16" i="44"/>
  <c r="U62" i="21"/>
  <c r="V51" i="21"/>
  <c r="U33" i="21"/>
  <c r="T77" i="21" l="1"/>
  <c r="T78" i="21"/>
  <c r="H12" i="35"/>
  <c r="T91" i="21"/>
  <c r="T96" i="21" s="1"/>
  <c r="U62" i="44" s="1"/>
  <c r="U6" i="44"/>
  <c r="U60" i="44"/>
  <c r="U70" i="21"/>
  <c r="U5" i="44"/>
  <c r="V18" i="44"/>
  <c r="U59" i="21"/>
  <c r="V8" i="44"/>
  <c r="U69" i="21"/>
  <c r="U100" i="21" l="1"/>
  <c r="U101" i="21" s="1"/>
  <c r="U99" i="21" s="1"/>
  <c r="T97" i="21"/>
  <c r="U59" i="44"/>
  <c r="U58" i="44"/>
  <c r="U36" i="21"/>
  <c r="U103" i="21"/>
  <c r="U90" i="21" s="1"/>
  <c r="U85" i="21" s="1"/>
  <c r="U86" i="21" s="1"/>
  <c r="U92" i="21" s="1"/>
  <c r="V13" i="44" l="1"/>
  <c r="U68" i="21"/>
  <c r="U93" i="21"/>
  <c r="U91" i="21" s="1"/>
  <c r="V59" i="44" s="1"/>
  <c r="U95" i="21"/>
  <c r="U94" i="21"/>
  <c r="V52" i="21"/>
  <c r="V60" i="21"/>
  <c r="V58" i="44" l="1"/>
  <c r="V61" i="44"/>
  <c r="V10" i="44"/>
  <c r="U78" i="21"/>
  <c r="U77" i="21"/>
  <c r="U67" i="21"/>
  <c r="U58" i="21" s="1"/>
  <c r="U57" i="21" s="1"/>
  <c r="V60" i="44"/>
  <c r="V100" i="21"/>
  <c r="V101" i="21" s="1"/>
  <c r="U97" i="21"/>
  <c r="V23" i="21"/>
  <c r="U96" i="21"/>
  <c r="V62" i="44" s="1"/>
  <c r="V70" i="21" l="1"/>
  <c r="V5" i="44"/>
  <c r="V6" i="44"/>
  <c r="V99" i="21"/>
  <c r="V24" i="21"/>
  <c r="V30" i="21"/>
  <c r="V36" i="21" l="1"/>
  <c r="W16" i="44"/>
  <c r="V103" i="21"/>
  <c r="V62" i="21"/>
  <c r="W51" i="21"/>
  <c r="V33" i="21"/>
  <c r="W13" i="44" l="1"/>
  <c r="V68" i="21"/>
  <c r="W10" i="44" s="1"/>
  <c r="W18" i="44"/>
  <c r="V59" i="21"/>
  <c r="W8" i="44"/>
  <c r="V90" i="21"/>
  <c r="V69" i="21"/>
  <c r="V67" i="21" l="1"/>
  <c r="V78" i="21"/>
  <c r="V77" i="21"/>
  <c r="V58" i="21"/>
  <c r="V57" i="21" s="1"/>
  <c r="W5" i="44" s="1"/>
  <c r="V85" i="21"/>
  <c r="V86" i="21" s="1"/>
  <c r="V93" i="21" s="1"/>
  <c r="W6" i="44" l="1"/>
  <c r="W70" i="21"/>
  <c r="V94" i="21"/>
  <c r="V95" i="21"/>
  <c r="V92" i="21"/>
  <c r="W60" i="21"/>
  <c r="W52" i="21"/>
  <c r="W61" i="44" l="1"/>
  <c r="V91" i="21"/>
  <c r="W23" i="21"/>
  <c r="W30" i="21" s="1"/>
  <c r="W62" i="21" s="1"/>
  <c r="X8" i="44" s="1"/>
  <c r="V96" i="21" l="1"/>
  <c r="W62" i="44" s="1"/>
  <c r="W58" i="44"/>
  <c r="W100" i="21"/>
  <c r="W101" i="21" s="1"/>
  <c r="W99" i="21" s="1"/>
  <c r="W60" i="44"/>
  <c r="W59" i="44"/>
  <c r="V97" i="21"/>
  <c r="W24" i="21"/>
  <c r="W59" i="21"/>
  <c r="W36" i="21" l="1"/>
  <c r="X16" i="44"/>
  <c r="W103" i="21"/>
  <c r="W90" i="21" s="1"/>
  <c r="W33" i="21"/>
  <c r="X13" i="44" l="1"/>
  <c r="W85" i="21"/>
  <c r="W86" i="21" s="1"/>
  <c r="W93" i="21" s="1"/>
  <c r="W68" i="21"/>
  <c r="W77" i="21" s="1"/>
  <c r="X18" i="44"/>
  <c r="W69" i="21"/>
  <c r="W95" i="21" l="1"/>
  <c r="W92" i="21"/>
  <c r="W91" i="21" s="1"/>
  <c r="W94" i="21"/>
  <c r="X61" i="44" s="1"/>
  <c r="W67" i="21"/>
  <c r="W58" i="21" s="1"/>
  <c r="W57" i="21" s="1"/>
  <c r="I12" i="35" s="1"/>
  <c r="K12" i="35" s="1"/>
  <c r="X6" i="44"/>
  <c r="W78" i="21"/>
  <c r="X10" i="44"/>
  <c r="X5" i="44" l="1"/>
  <c r="W97" i="21"/>
  <c r="X58" i="44"/>
  <c r="X60" i="44"/>
  <c r="X59" i="44"/>
  <c r="W96" i="21"/>
  <c r="X62" i="44" s="1"/>
  <c r="H96" i="9" l="1"/>
  <c r="H101" i="9" s="1"/>
  <c r="H87" i="9" s="1"/>
  <c r="H35" i="9" l="1"/>
  <c r="H67" i="9" l="1"/>
  <c r="H77" i="9" s="1"/>
  <c r="I48" i="44"/>
  <c r="H83" i="9"/>
  <c r="H84" i="9" s="1"/>
  <c r="H90" i="9" s="1"/>
  <c r="H91" i="9" l="1"/>
  <c r="H66" i="9"/>
  <c r="H57" i="9" s="1"/>
  <c r="H56" i="9" s="1"/>
  <c r="I41" i="44" s="1"/>
  <c r="H92" i="9"/>
  <c r="H76" i="9"/>
  <c r="I42" i="44" s="1"/>
  <c r="I45" i="44"/>
  <c r="H89" i="9"/>
  <c r="H88" i="9" s="1"/>
  <c r="H94" i="9" l="1"/>
  <c r="I68" i="9"/>
  <c r="I69" i="9"/>
  <c r="H93" i="9"/>
  <c r="I97" i="9"/>
  <c r="I98" i="9" s="1"/>
  <c r="I96" i="9" l="1"/>
  <c r="I101" i="9" l="1"/>
  <c r="I87" i="9" s="1"/>
  <c r="I35" i="9"/>
  <c r="I67" i="9" l="1"/>
  <c r="J45" i="44" s="1"/>
  <c r="J48" i="44"/>
  <c r="I83" i="9"/>
  <c r="I84" i="9" s="1"/>
  <c r="I89" i="9" s="1"/>
  <c r="I77" i="9" l="1"/>
  <c r="I76" i="9"/>
  <c r="J42" i="44" s="1"/>
  <c r="I66" i="9"/>
  <c r="I57" i="9" s="1"/>
  <c r="I56" i="9" s="1"/>
  <c r="J68" i="9" s="1"/>
  <c r="I90" i="9"/>
  <c r="I88" i="9" s="1"/>
  <c r="I92" i="9"/>
  <c r="I91" i="9"/>
  <c r="J41" i="44"/>
  <c r="J69" i="9" l="1"/>
  <c r="J97" i="9"/>
  <c r="J98" i="9" s="1"/>
  <c r="J96" i="9" s="1"/>
  <c r="J101" i="9" s="1"/>
  <c r="J87" i="9" s="1"/>
  <c r="I94" i="9"/>
  <c r="I93" i="9"/>
  <c r="J35" i="9" l="1"/>
  <c r="J67" i="9" s="1"/>
  <c r="J77" i="9" s="1"/>
  <c r="J83" i="9"/>
  <c r="J84" i="9" s="1"/>
  <c r="J90" i="9" s="1"/>
  <c r="K48" i="44" l="1"/>
  <c r="J66" i="9"/>
  <c r="J57" i="9" s="1"/>
  <c r="J56" i="9" s="1"/>
  <c r="K41" i="44" s="1"/>
  <c r="J76" i="9"/>
  <c r="K42" i="44" s="1"/>
  <c r="K45" i="44"/>
  <c r="J92" i="9"/>
  <c r="J89" i="9"/>
  <c r="J88" i="9" s="1"/>
  <c r="J91" i="9"/>
  <c r="K69" i="9"/>
  <c r="K68" i="9" l="1"/>
  <c r="K97" i="9"/>
  <c r="K98" i="9" s="1"/>
  <c r="K96" i="9" s="1"/>
  <c r="J93" i="9"/>
  <c r="J94" i="9"/>
  <c r="K101" i="9" l="1"/>
  <c r="K87" i="9" s="1"/>
  <c r="K35" i="9"/>
  <c r="K67" i="9" l="1"/>
  <c r="K77" i="9" s="1"/>
  <c r="L48" i="44"/>
  <c r="K83" i="9"/>
  <c r="K84" i="9" s="1"/>
  <c r="K89" i="9" s="1"/>
  <c r="K66" i="9"/>
  <c r="K57" i="9" s="1"/>
  <c r="K56" i="9" s="1"/>
  <c r="L41" i="44" s="1"/>
  <c r="K76" i="9" l="1"/>
  <c r="L42" i="44" s="1"/>
  <c r="L45" i="44"/>
  <c r="K92" i="9"/>
  <c r="K91" i="9"/>
  <c r="K90" i="9"/>
  <c r="K88" i="9" s="1"/>
  <c r="L68" i="9"/>
  <c r="L69" i="9"/>
  <c r="L97" i="9" l="1"/>
  <c r="L98" i="9" s="1"/>
  <c r="L96" i="9" s="1"/>
  <c r="L101" i="9" s="1"/>
  <c r="L87" i="9" s="1"/>
  <c r="K94" i="9"/>
  <c r="K93" i="9"/>
  <c r="L35" i="9" l="1"/>
  <c r="L67" i="9" l="1"/>
  <c r="L77" i="9" s="1"/>
  <c r="M48" i="44"/>
  <c r="L83" i="9"/>
  <c r="L84" i="9" s="1"/>
  <c r="L66" i="9" l="1"/>
  <c r="L57" i="9" s="1"/>
  <c r="L56" i="9" s="1"/>
  <c r="M41" i="44" s="1"/>
  <c r="L76" i="9"/>
  <c r="M42" i="44" s="1"/>
  <c r="M45" i="44"/>
  <c r="L92" i="9"/>
  <c r="L90" i="9"/>
  <c r="L89" i="9"/>
  <c r="L91" i="9"/>
  <c r="M68" i="9" l="1"/>
  <c r="M69" i="9"/>
  <c r="L88" i="9"/>
  <c r="L94" i="9" s="1"/>
  <c r="L93" i="9" l="1"/>
  <c r="M97" i="9"/>
  <c r="M98" i="9" s="1"/>
  <c r="M96" i="9" s="1"/>
  <c r="M101" i="9" l="1"/>
  <c r="M87" i="9" s="1"/>
  <c r="M35" i="9"/>
  <c r="M67" i="9" l="1"/>
  <c r="M77" i="9" s="1"/>
  <c r="N48" i="44"/>
  <c r="M83" i="9"/>
  <c r="M84" i="9" s="1"/>
  <c r="M89" i="9" s="1"/>
  <c r="M66" i="9" l="1"/>
  <c r="M57" i="9" s="1"/>
  <c r="M56" i="9" s="1"/>
  <c r="M76" i="9"/>
  <c r="N42" i="44" s="1"/>
  <c r="N45" i="44"/>
  <c r="M92" i="9"/>
  <c r="M91" i="9"/>
  <c r="M90" i="9"/>
  <c r="M88" i="9" s="1"/>
  <c r="N69" i="9"/>
  <c r="N68" i="9"/>
  <c r="N41" i="44" l="1"/>
  <c r="N97" i="9"/>
  <c r="N98" i="9" s="1"/>
  <c r="M94" i="9"/>
  <c r="M93" i="9"/>
  <c r="N96" i="9" l="1"/>
  <c r="N101" i="9" s="1"/>
  <c r="N87" i="9" s="1"/>
  <c r="N35" i="9" l="1"/>
  <c r="N67" i="9" l="1"/>
  <c r="O45" i="44" s="1"/>
  <c r="O48" i="44"/>
  <c r="N83" i="9"/>
  <c r="N66" i="9" l="1"/>
  <c r="N57" i="9" s="1"/>
  <c r="N56" i="9" s="1"/>
  <c r="N77" i="9"/>
  <c r="N76" i="9"/>
  <c r="O42" i="44" s="1"/>
  <c r="N92" i="9"/>
  <c r="N91" i="9"/>
  <c r="N84" i="9"/>
  <c r="N90" i="9" s="1"/>
  <c r="O41" i="44" l="1"/>
  <c r="O69" i="9"/>
  <c r="O68" i="9"/>
  <c r="N89" i="9"/>
  <c r="N88" i="9" l="1"/>
  <c r="N94" i="9" s="1"/>
  <c r="O97" i="9" l="1"/>
  <c r="O98" i="9" s="1"/>
  <c r="O96" i="9" s="1"/>
  <c r="N93" i="9"/>
  <c r="O35" i="9" l="1"/>
  <c r="O101" i="9"/>
  <c r="O87" i="9" s="1"/>
  <c r="O67" i="9" l="1"/>
  <c r="O66" i="9" s="1"/>
  <c r="O57" i="9" s="1"/>
  <c r="O56" i="9" s="1"/>
  <c r="P69" i="9" s="1"/>
  <c r="P48" i="44"/>
  <c r="O83" i="9"/>
  <c r="O84" i="9" s="1"/>
  <c r="O76" i="9" l="1"/>
  <c r="P42" i="44" s="1"/>
  <c r="P41" i="44"/>
  <c r="O77" i="9"/>
  <c r="P45" i="44"/>
  <c r="P68" i="9"/>
  <c r="O92" i="9"/>
  <c r="O89" i="9"/>
  <c r="O91" i="9"/>
  <c r="O90" i="9"/>
  <c r="O88" i="9" l="1"/>
  <c r="O94" i="9" s="1"/>
  <c r="O93" i="9" l="1"/>
  <c r="P97" i="9"/>
  <c r="P98" i="9" s="1"/>
  <c r="P96" i="9" s="1"/>
  <c r="P101" i="9" s="1"/>
  <c r="P87" i="9" s="1"/>
  <c r="P35" i="9" l="1"/>
  <c r="P83" i="9"/>
  <c r="P84" i="9" s="1"/>
  <c r="P90" i="9" s="1"/>
  <c r="P67" i="9" l="1"/>
  <c r="P66" i="9" s="1"/>
  <c r="P57" i="9" s="1"/>
  <c r="P56" i="9" s="1"/>
  <c r="Q48" i="44"/>
  <c r="P91" i="9"/>
  <c r="P92" i="9"/>
  <c r="P89" i="9"/>
  <c r="P88" i="9" s="1"/>
  <c r="P77" i="9" l="1"/>
  <c r="Q68" i="9"/>
  <c r="Q41" i="44"/>
  <c r="P76" i="9"/>
  <c r="Q42" i="44" s="1"/>
  <c r="Q45" i="44"/>
  <c r="Q69" i="9"/>
  <c r="P94" i="9"/>
  <c r="P93" i="9"/>
  <c r="Q97" i="9"/>
  <c r="Q98" i="9" s="1"/>
  <c r="Q96" i="9" s="1"/>
  <c r="Q101" i="9" s="1"/>
  <c r="Q87" i="9" s="1"/>
  <c r="Q35" i="9" l="1"/>
  <c r="Q67" i="9" l="1"/>
  <c r="R45" i="44" s="1"/>
  <c r="R48" i="44"/>
  <c r="Q83" i="9"/>
  <c r="Q84" i="9" s="1"/>
  <c r="Q76" i="9" l="1"/>
  <c r="R42" i="44" s="1"/>
  <c r="Q66" i="9"/>
  <c r="Q57" i="9" s="1"/>
  <c r="Q56" i="9" s="1"/>
  <c r="Q77" i="9"/>
  <c r="Q90" i="9"/>
  <c r="Q91" i="9"/>
  <c r="Q92" i="9"/>
  <c r="Q89" i="9"/>
  <c r="R69" i="9" l="1"/>
  <c r="R41" i="44"/>
  <c r="R68" i="9"/>
  <c r="Q88" i="9"/>
  <c r="Q93" i="9" s="1"/>
  <c r="Q94" i="9" l="1"/>
  <c r="R97" i="9"/>
  <c r="R98" i="9" s="1"/>
  <c r="R96" i="9" s="1"/>
  <c r="R101" i="9" s="1"/>
  <c r="R87" i="9" s="1"/>
  <c r="R35" i="9" l="1"/>
  <c r="R67" i="9" l="1"/>
  <c r="S45" i="44" s="1"/>
  <c r="S48" i="44"/>
  <c r="R83" i="9"/>
  <c r="R84" i="9" s="1"/>
  <c r="R77" i="9" l="1"/>
  <c r="R76" i="9"/>
  <c r="S42" i="44" s="1"/>
  <c r="R66" i="9"/>
  <c r="R57" i="9" s="1"/>
  <c r="R56" i="9" s="1"/>
  <c r="S41" i="44"/>
  <c r="R92" i="9"/>
  <c r="R90" i="9"/>
  <c r="R91" i="9"/>
  <c r="R89" i="9"/>
  <c r="S68" i="9" l="1"/>
  <c r="S69" i="9"/>
  <c r="R88" i="9"/>
  <c r="R94" i="9" s="1"/>
  <c r="S97" i="9" l="1"/>
  <c r="S98" i="9" s="1"/>
  <c r="S96" i="9" s="1"/>
  <c r="R93" i="9"/>
  <c r="S35" i="9" l="1"/>
  <c r="S101" i="9"/>
  <c r="S87" i="9" s="1"/>
  <c r="S67" i="9" l="1"/>
  <c r="S76" i="9" s="1"/>
  <c r="T42" i="44" s="1"/>
  <c r="T48" i="44"/>
  <c r="S83" i="9"/>
  <c r="S84" i="9" s="1"/>
  <c r="S77" i="9" l="1"/>
  <c r="S66" i="9"/>
  <c r="S57" i="9" s="1"/>
  <c r="S56" i="9" s="1"/>
  <c r="T45" i="44"/>
  <c r="S89" i="9"/>
  <c r="S92" i="9"/>
  <c r="S91" i="9"/>
  <c r="S90" i="9"/>
  <c r="T41" i="44" l="1"/>
  <c r="T68" i="9"/>
  <c r="T69" i="9"/>
  <c r="S88" i="9"/>
  <c r="S94" i="9" s="1"/>
  <c r="S93" i="9" l="1"/>
  <c r="T97" i="9"/>
  <c r="T98" i="9" s="1"/>
  <c r="T96" i="9" s="1"/>
  <c r="T35" i="9" s="1"/>
  <c r="T67" i="9" l="1"/>
  <c r="T66" i="9" s="1"/>
  <c r="T57" i="9" s="1"/>
  <c r="T56" i="9" s="1"/>
  <c r="U48" i="44"/>
  <c r="T101" i="9"/>
  <c r="T87" i="9" s="1"/>
  <c r="T77" i="9" l="1"/>
  <c r="T83" i="9"/>
  <c r="T84" i="9" s="1"/>
  <c r="T90" i="9" s="1"/>
  <c r="U41" i="44"/>
  <c r="T76" i="9"/>
  <c r="U42" i="44" s="1"/>
  <c r="U45" i="44"/>
  <c r="U69" i="9"/>
  <c r="U68" i="9"/>
  <c r="T92" i="9" l="1"/>
  <c r="T91" i="9"/>
  <c r="T89" i="9"/>
  <c r="T88" i="9" s="1"/>
  <c r="T93" i="9" l="1"/>
  <c r="T94" i="9"/>
  <c r="U97" i="9"/>
  <c r="U98" i="9" s="1"/>
  <c r="U96" i="9" s="1"/>
  <c r="U101" i="9" s="1"/>
  <c r="U87" i="9" s="1"/>
  <c r="U35" i="9" l="1"/>
  <c r="U83" i="9"/>
  <c r="U84" i="9" s="1"/>
  <c r="U67" i="9" l="1"/>
  <c r="U77" i="9" s="1"/>
  <c r="V48" i="44"/>
  <c r="U91" i="9"/>
  <c r="U92" i="9"/>
  <c r="U89" i="9"/>
  <c r="U90" i="9"/>
  <c r="U76" i="9" l="1"/>
  <c r="V42" i="44" s="1"/>
  <c r="U66" i="9"/>
  <c r="U57" i="9" s="1"/>
  <c r="U56" i="9" s="1"/>
  <c r="V45" i="44"/>
  <c r="U88" i="9"/>
  <c r="U93" i="9" s="1"/>
  <c r="V41" i="44" l="1"/>
  <c r="V69" i="9"/>
  <c r="V68" i="9"/>
  <c r="U94" i="9"/>
  <c r="V97" i="9"/>
  <c r="V98" i="9" s="1"/>
  <c r="V96" i="9" s="1"/>
  <c r="V35" i="9" l="1"/>
  <c r="V101" i="9"/>
  <c r="V87" i="9" s="1"/>
  <c r="V67" i="9" l="1"/>
  <c r="V77" i="9" s="1"/>
  <c r="W48" i="44"/>
  <c r="V83" i="9"/>
  <c r="V84" i="9" s="1"/>
  <c r="V66" i="9" l="1"/>
  <c r="V57" i="9" s="1"/>
  <c r="V56" i="9" s="1"/>
  <c r="W69" i="9" s="1"/>
  <c r="V76" i="9"/>
  <c r="W42" i="44" s="1"/>
  <c r="W45" i="44"/>
  <c r="V92" i="9"/>
  <c r="V91" i="9"/>
  <c r="V89" i="9"/>
  <c r="V90" i="9"/>
  <c r="W68" i="9" l="1"/>
  <c r="W41" i="44"/>
  <c r="V88" i="9"/>
  <c r="V93" i="9" s="1"/>
  <c r="W97" i="9" l="1"/>
  <c r="W98" i="9" s="1"/>
  <c r="W96" i="9" s="1"/>
  <c r="W101" i="9" s="1"/>
  <c r="V94" i="9"/>
  <c r="W35" i="9" l="1"/>
  <c r="W87" i="9"/>
  <c r="W67" i="9" l="1"/>
  <c r="W76" i="9" s="1"/>
  <c r="X42" i="44" s="1"/>
  <c r="X48" i="44"/>
  <c r="W83" i="9"/>
  <c r="W84" i="9" s="1"/>
  <c r="W77" i="9" l="1"/>
  <c r="W66" i="9"/>
  <c r="W57" i="9" s="1"/>
  <c r="W56" i="9" s="1"/>
  <c r="X45" i="44"/>
  <c r="W91" i="9"/>
  <c r="W90" i="9"/>
  <c r="W89" i="9"/>
  <c r="W92" i="9"/>
  <c r="X41" i="44" l="1"/>
  <c r="W88" i="9"/>
  <c r="W94" i="9" s="1"/>
  <c r="W93" i="9" l="1"/>
</calcChain>
</file>

<file path=xl/sharedStrings.xml><?xml version="1.0" encoding="utf-8"?>
<sst xmlns="http://schemas.openxmlformats.org/spreadsheetml/2006/main" count="482" uniqueCount="211">
  <si>
    <t>European Commission</t>
  </si>
  <si>
    <t>Directorate-General for Economic and Financial Affairs</t>
  </si>
  <si>
    <t>Unit C2  - Sustainability of public finances</t>
  </si>
  <si>
    <t>ECFIN-Secretariat-C2@ec.europa.eu</t>
  </si>
  <si>
    <t>FILE DESCRIPTION</t>
  </si>
  <si>
    <t>HOW TO USE THIS TOOL TO CALCULATE NEW DEBT PROJECTIONS</t>
  </si>
  <si>
    <t>The spreadsheet is composed of the following elements:</t>
  </si>
  <si>
    <t>Coloured cells indicate data sources as follows (this colour-coding holds in the other spreadsheets):</t>
  </si>
  <si>
    <r>
      <t xml:space="preserve">Cells in </t>
    </r>
    <r>
      <rPr>
        <i/>
        <sz val="11"/>
        <color rgb="FF0070C0"/>
        <rFont val="Calibri"/>
        <family val="2"/>
        <scheme val="minor"/>
      </rPr>
      <t>light orange</t>
    </r>
    <r>
      <rPr>
        <sz val="11"/>
        <color rgb="FF0070C0"/>
        <rFont val="Calibri"/>
        <family val="2"/>
        <scheme val="minor"/>
      </rPr>
      <t xml:space="preserve"> provide parameters needed to compute the decomposition of government debt according to its maturity structure (i.e. short-term and long-term debt, maturing, rolled-over and non-maturing debt). </t>
    </r>
    <r>
      <rPr>
        <b/>
        <u/>
        <sz val="11"/>
        <color rgb="FF0070C0"/>
        <rFont val="Calibri"/>
        <family val="2"/>
        <scheme val="minor"/>
      </rPr>
      <t>These are fixed shares which the user cannot change.</t>
    </r>
  </si>
  <si>
    <r>
      <t xml:space="preserve">Cells in </t>
    </r>
    <r>
      <rPr>
        <i/>
        <sz val="11"/>
        <color rgb="FF0070C0"/>
        <rFont val="Calibri"/>
        <family val="2"/>
        <scheme val="minor"/>
      </rPr>
      <t>dark orange</t>
    </r>
    <r>
      <rPr>
        <sz val="11"/>
        <color rgb="FF0070C0"/>
        <rFont val="Calibri"/>
        <family val="2"/>
        <scheme val="minor"/>
      </rPr>
      <t xml:space="preserve"> indicate financial market prices.</t>
    </r>
  </si>
  <si>
    <t>WHERE ARE THE MAIN RESULTS LOCATED?</t>
  </si>
  <si>
    <t>Country</t>
  </si>
  <si>
    <t>Financial stress scenario</t>
  </si>
  <si>
    <t>Lower SPB scenario</t>
  </si>
  <si>
    <r>
      <t xml:space="preserve">Annual adjustment </t>
    </r>
    <r>
      <rPr>
        <sz val="10"/>
        <rFont val="Arial"/>
        <family val="2"/>
      </rPr>
      <t>(change in SPB)</t>
    </r>
  </si>
  <si>
    <t>Net primary expenditure growth</t>
  </si>
  <si>
    <t>Key years</t>
  </si>
  <si>
    <t>Last year of no-fiscal-policy-change projections</t>
  </si>
  <si>
    <t>Structural primary balance</t>
  </si>
  <si>
    <t>Headline balance</t>
  </si>
  <si>
    <t>Structural balance</t>
  </si>
  <si>
    <t>Debt</t>
  </si>
  <si>
    <t>Last year of adjustment</t>
  </si>
  <si>
    <t>Key assumptions</t>
  </si>
  <si>
    <t>Fiscal assumptions (% of GDP)</t>
  </si>
  <si>
    <t/>
  </si>
  <si>
    <t>Structural primary balance ('+' means 'surplus')</t>
  </si>
  <si>
    <t>One-off and other temporary measures</t>
  </si>
  <si>
    <t>Stock-flow adjustments (without exchange rate effect)</t>
  </si>
  <si>
    <t>Stock-flow adjustment (total)</t>
  </si>
  <si>
    <t>Total ageing cost (net of taxes on pensions)</t>
  </si>
  <si>
    <t>of which: Public pensions expenditure</t>
  </si>
  <si>
    <t xml:space="preserve">            Health care expenditure</t>
  </si>
  <si>
    <t xml:space="preserve">            Long-term care expenditure</t>
  </si>
  <si>
    <t xml:space="preserve">            Education &amp; unemployment benefits expenditure</t>
  </si>
  <si>
    <t xml:space="preserve">           Taxes on pensions</t>
  </si>
  <si>
    <t>Property income</t>
  </si>
  <si>
    <t>Actual GDP</t>
  </si>
  <si>
    <t>Growth rate</t>
  </si>
  <si>
    <t>Level</t>
  </si>
  <si>
    <t>Potential GDP</t>
  </si>
  <si>
    <t>Nominal implicit interest rate on debt</t>
  </si>
  <si>
    <t>Short-term nominal interest rate</t>
  </si>
  <si>
    <t>Long-term nominal interest rate</t>
  </si>
  <si>
    <t>GDP deflator (national currency)</t>
  </si>
  <si>
    <t>Additional parameters</t>
  </si>
  <si>
    <t>Fiscal multiplier</t>
  </si>
  <si>
    <t xml:space="preserve">Carnot, N. and de Castro, F. (2015), “The Discretionary Fiscal Effort: an Assessment of Fiscal Policy and its Output Effect”, European Economy, Economic Papers, No. 543. </t>
  </si>
  <si>
    <t>Mourre, G. et al. (2019), "The Semi-Elasticities Underlying the Cyclically-Adjusted Budget Balance: An Update and Further Analysis", European Economy, Discussion Paper, No. 098.</t>
  </si>
  <si>
    <t>Bloomberg data, country-specific forward market rates.</t>
  </si>
  <si>
    <t>DSM 2023</t>
  </si>
  <si>
    <t>Share of short-term debt in total government debt</t>
  </si>
  <si>
    <t>Share of long-term debt in total government debt</t>
  </si>
  <si>
    <t>Bloomberg data, inflation swaps.</t>
  </si>
  <si>
    <t>Central bank inflation target</t>
  </si>
  <si>
    <t>Share of outstanding debt in total debt in 2022</t>
  </si>
  <si>
    <t>Derived from the model and made consistent with the short-term forecast.</t>
  </si>
  <si>
    <t>Share of new long-term debt in 2022</t>
  </si>
  <si>
    <t>Share of new short-term debt in 2022</t>
  </si>
  <si>
    <t>Stock flow adjustments (without exchange rate effect)</t>
  </si>
  <si>
    <t>GDP growth assumptions</t>
  </si>
  <si>
    <t>Actual GDP (real)</t>
  </si>
  <si>
    <t xml:space="preserve">Potential GDP (real) </t>
  </si>
  <si>
    <t>Output gap</t>
  </si>
  <si>
    <t>Actual GDP (nominal, national currency)</t>
  </si>
  <si>
    <t>Interest rate</t>
  </si>
  <si>
    <t>Long-term interest rate</t>
  </si>
  <si>
    <t>Short-term interest rate</t>
  </si>
  <si>
    <t>Share of long-term debt that matures every year</t>
  </si>
  <si>
    <t>Inflation and exchange rate</t>
  </si>
  <si>
    <t>Exchange rate composite change (weighted by share of debt in each currency)</t>
  </si>
  <si>
    <t>Intermediate calculations (growth rate equation)</t>
  </si>
  <si>
    <t>Auxiliary variable to control the closure of the output gap</t>
  </si>
  <si>
    <t>OG intermediate auxiliary value</t>
  </si>
  <si>
    <t>GDP intermediate growth rate - only feedback effect and no closure of the OG</t>
  </si>
  <si>
    <t>Debt projections</t>
  </si>
  <si>
    <t xml:space="preserve">Gross debt </t>
  </si>
  <si>
    <t>Change in debt (-1+2+3)</t>
  </si>
  <si>
    <t>(1) Primary balance (1.1 + 1.2 - 1.3 -1.4 -1.5 - 1.6 -1.7)</t>
  </si>
  <si>
    <t>(1.1) Structural primary balance (before ageing cost)</t>
  </si>
  <si>
    <t>(1.2) Cumulated budgetary effort (in terms of primary balance)</t>
  </si>
  <si>
    <t>(1.3) Cyclical component</t>
  </si>
  <si>
    <t>(1.4) One-off and other temporary measures</t>
  </si>
  <si>
    <t>(1.5) Cost of ageing</t>
  </si>
  <si>
    <t>(1.6) Property incomes</t>
  </si>
  <si>
    <t>(1.7) Revenues</t>
  </si>
  <si>
    <t>(2) Snowball effect (2.1 + 2.2 + 2.3)</t>
  </si>
  <si>
    <t>(2.1) Interest expenditure</t>
  </si>
  <si>
    <t>(2.2) Growth effect</t>
  </si>
  <si>
    <t>(2.3) Inflation effect</t>
  </si>
  <si>
    <t>(2.4) Exchange rate effect linked to the interest rate</t>
  </si>
  <si>
    <t>(3 ) Stock flow adjustments (3.1 + 3.2)</t>
  </si>
  <si>
    <t>(3.1) Base</t>
  </si>
  <si>
    <t>(3.2) Adjustment due to the exchange rate effect linked to debt value</t>
  </si>
  <si>
    <t>Other budgetary variables</t>
  </si>
  <si>
    <t>Net expenditure growth</t>
  </si>
  <si>
    <t>Debt decomposition and IIR</t>
  </si>
  <si>
    <t>Auxiliary variable identifying whether debt is increasing</t>
  </si>
  <si>
    <t>Auxiliary variable identifying whether some debt is rolled over even though debt is decreasing</t>
  </si>
  <si>
    <r>
      <rPr>
        <i/>
        <sz val="8"/>
        <color theme="1"/>
        <rFont val="Arial"/>
        <family val="2"/>
      </rPr>
      <t>Of which</t>
    </r>
    <r>
      <rPr>
        <sz val="8"/>
        <color theme="1"/>
        <rFont val="Arial"/>
        <family val="2"/>
      </rPr>
      <t xml:space="preserve"> Outstanding debt</t>
    </r>
  </si>
  <si>
    <t>Rolled over long-term debt</t>
  </si>
  <si>
    <t>Rolled over short-term debt</t>
  </si>
  <si>
    <t>New long-term debt</t>
  </si>
  <si>
    <t>New short-term debt</t>
  </si>
  <si>
    <t>IIR</t>
  </si>
  <si>
    <t>Long-term implicit interest rate</t>
  </si>
  <si>
    <r>
      <t>Nominal implicit interest rate on debt (</t>
    </r>
    <r>
      <rPr>
        <b/>
        <sz val="8"/>
        <color theme="1"/>
        <rFont val="Arial"/>
        <family val="2"/>
      </rPr>
      <t>Excel approximation</t>
    </r>
    <r>
      <rPr>
        <sz val="8"/>
        <color theme="1"/>
        <rFont val="Arial"/>
        <family val="2"/>
      </rPr>
      <t>)</t>
    </r>
  </si>
  <si>
    <t>Diff. STATA</t>
  </si>
  <si>
    <t>Per memo - STATA results</t>
  </si>
  <si>
    <t>CY</t>
  </si>
  <si>
    <t>EL</t>
  </si>
  <si>
    <t>IE</t>
  </si>
  <si>
    <t>PT</t>
  </si>
  <si>
    <t>Interest rates</t>
  </si>
  <si>
    <t>GDP deflator (National currency)</t>
  </si>
  <si>
    <t>Average net primary expenditure growth</t>
  </si>
  <si>
    <r>
      <rPr>
        <i/>
        <sz val="11"/>
        <color rgb="FF0070C0"/>
        <rFont val="Calibri"/>
        <family val="2"/>
        <scheme val="minor"/>
      </rPr>
      <t>Dark grey</t>
    </r>
    <r>
      <rPr>
        <sz val="11"/>
        <color rgb="FF0070C0"/>
        <rFont val="Calibri"/>
        <family val="2"/>
        <scheme val="minor"/>
      </rPr>
      <t xml:space="preserve"> indicates the period in which the SPB, net of changes in cost of ageing, remains constant at its value of end of adjustment.</t>
    </r>
  </si>
  <si>
    <t>Table 1 - Adjustment input data</t>
  </si>
  <si>
    <r>
      <t xml:space="preserve">Cells in </t>
    </r>
    <r>
      <rPr>
        <i/>
        <sz val="11"/>
        <color rgb="FF0070C0"/>
        <rFont val="Calibri"/>
        <family val="2"/>
        <scheme val="minor"/>
      </rPr>
      <t>light grey</t>
    </r>
    <r>
      <rPr>
        <sz val="11"/>
        <color rgb="FF0070C0"/>
        <rFont val="Calibri"/>
        <family val="2"/>
        <scheme val="minor"/>
      </rPr>
      <t xml:space="preserve"> indicate Commission forecast (available in the AMECO database)</t>
    </r>
  </si>
  <si>
    <t>Last year before the adjustment</t>
  </si>
  <si>
    <t>SPB at the end of the adjustment</t>
  </si>
  <si>
    <t>Deficit below 
3% of GDP</t>
  </si>
  <si>
    <t>DSA-based criteria</t>
  </si>
  <si>
    <t>Table 2 - DSA-based criteria and deficit resilience safeguard</t>
  </si>
  <si>
    <r>
      <rPr>
        <i/>
        <sz val="11"/>
        <color rgb="FF0070C0"/>
        <rFont val="Calibri"/>
        <family val="2"/>
        <scheme val="minor"/>
      </rPr>
      <t>Light grey</t>
    </r>
    <r>
      <rPr>
        <sz val="11"/>
        <color rgb="FF0070C0"/>
        <rFont val="Calibri"/>
        <family val="2"/>
        <scheme val="minor"/>
      </rPr>
      <t xml:space="preserve"> indicates the pre-plan period, corresponding to the EC forecast</t>
    </r>
  </si>
  <si>
    <t>Annual adjustment (with safeguard)</t>
  </si>
  <si>
    <t>Annual adjustment (without safeguard)</t>
  </si>
  <si>
    <t>Table 4 - Main fiscal variables without automatic deficit resilience safeguard</t>
  </si>
  <si>
    <t>Sources</t>
  </si>
  <si>
    <t>Eurostat, average shares over the 3 last available years.</t>
  </si>
  <si>
    <t>ECB, country-specific historical average shares over the 6 last available years. For post-programme countries (CY, El , IE and PT), the redemption profile of official loans has been taken into account for the computation of the share of long-term debt that matures every year. For these countries, changing this parameter would not affect debt projections.</t>
  </si>
  <si>
    <t>Share of rolled-over long-term debt in 2022</t>
  </si>
  <si>
    <t>Share of rolled-over short-term debt in 2022</t>
  </si>
  <si>
    <t>IIR difference STATA - Excel</t>
  </si>
  <si>
    <t>(i - g)</t>
  </si>
  <si>
    <r>
      <t xml:space="preserve">The sheet "Input data" in light blue presents the </t>
    </r>
    <r>
      <rPr>
        <b/>
        <sz val="11"/>
        <color rgb="FF0070C0"/>
        <rFont val="Calibri"/>
        <family val="2"/>
        <scheme val="minor"/>
      </rPr>
      <t>input data</t>
    </r>
    <r>
      <rPr>
        <sz val="11"/>
        <color rgb="FF0070C0"/>
        <rFont val="Calibri"/>
        <family val="2"/>
        <scheme val="minor"/>
      </rPr>
      <t>, including fiscal and GDP growth assumptions as well as additional fiscal parameters. Unless stated otherwise below,</t>
    </r>
    <r>
      <rPr>
        <b/>
        <u/>
        <sz val="11"/>
        <color rgb="FF0070C0"/>
        <rFont val="Calibri"/>
        <family val="2"/>
        <scheme val="minor"/>
      </rPr>
      <t xml:space="preserve"> the user can change all values in this tab.</t>
    </r>
  </si>
  <si>
    <r>
      <rPr>
        <i/>
        <sz val="11"/>
        <color rgb="FF0070C0"/>
        <rFont val="Calibri"/>
        <family val="2"/>
        <scheme val="minor"/>
      </rPr>
      <t>Mild grey</t>
    </r>
    <r>
      <rPr>
        <sz val="11"/>
        <color rgb="FF0070C0"/>
        <rFont val="Calibri"/>
        <family val="2"/>
        <scheme val="minor"/>
      </rPr>
      <t xml:space="preserve"> indicates the period during which the SPB adjusts according to the path set in sheet "</t>
    </r>
    <r>
      <rPr>
        <b/>
        <sz val="11"/>
        <color rgb="FF0070C0"/>
        <rFont val="Calibri"/>
        <family val="2"/>
        <scheme val="minor"/>
      </rPr>
      <t>Criteria results</t>
    </r>
    <r>
      <rPr>
        <sz val="11"/>
        <color rgb="FF0070C0"/>
        <rFont val="Calibri"/>
        <family val="2"/>
        <scheme val="minor"/>
      </rPr>
      <t>"</t>
    </r>
  </si>
  <si>
    <t xml:space="preserve">The sheet in orange presents the scenario that automatically corrects the yearly adjustment path to account for the deficit resillience safeguard. </t>
  </si>
  <si>
    <t>Annual change in SPB</t>
  </si>
  <si>
    <t>Table 3 - Main fiscal variables with automatic deficit resilience safeguard *</t>
  </si>
  <si>
    <t>* The structural balance is flagged in red if it is below -1.5% of GDP.</t>
  </si>
  <si>
    <t>The sheet in green presents the adjustment scenarios without the deficit resilience safeguard. This scenario is computed automatically based on the yearly adjustment path set in "Criteria results" (see above).</t>
  </si>
  <si>
    <t>Within the orange sheet and each green sheet, the background of the SPB line has three colours. Each colour corresponds to a specific period of the projections:</t>
  </si>
  <si>
    <t xml:space="preserve">The next spreadsheets present the no-fiscal-policy-change baseline and the adjustment scenario, with and without the impact of the deficit resilience safeguard. Each deterministic projection provides a single path for debt until 2038 or 2041 under certain assumptions for budgetary, macroeconomic and financial variables. 
</t>
  </si>
  <si>
    <t>Deficit resilience 
safeguard</t>
  </si>
  <si>
    <t>Level (billions, national currency)</t>
  </si>
  <si>
    <t>Debt decreasing? (For criterion 1)</t>
  </si>
  <si>
    <t>Table 7a: Debt and headline balance projections and key underlying assumptions (under the planned fiscal path)</t>
  </si>
  <si>
    <t>Gross debt</t>
  </si>
  <si>
    <t>(% GDP)</t>
  </si>
  <si>
    <t>General government balance</t>
  </si>
  <si>
    <t>(% pot. GDP)</t>
  </si>
  <si>
    <t>Cyclical component</t>
  </si>
  <si>
    <t>One-off measures</t>
  </si>
  <si>
    <t>Interest expenditure</t>
  </si>
  <si>
    <t>(%)</t>
  </si>
  <si>
    <t>Implicit average interest rate</t>
  </si>
  <si>
    <t>Stock-flow adjustment</t>
  </si>
  <si>
    <t>(growth rate)</t>
  </si>
  <si>
    <t>Real GDP</t>
  </si>
  <si>
    <t>GDP deflator</t>
  </si>
  <si>
    <t>Nominal GDP</t>
  </si>
  <si>
    <t>Table 7b: Debt projections and key stressed variables, deterministic scenarios and stochastic simulations</t>
  </si>
  <si>
    <t>Adverse 'r-g' scenario</t>
  </si>
  <si>
    <t>Stochastic simulations</t>
  </si>
  <si>
    <t>Probability of debt being below its value in T+4/7</t>
  </si>
  <si>
    <t>Table 7c: Debt and headline balance projections and underlying assumptions (under 'no-fiscal-policy-change' baseline)</t>
  </si>
  <si>
    <t>Table 7d: Debt projections and additional assumptions (under the planned fiscal path)</t>
  </si>
  <si>
    <t>line</t>
  </si>
  <si>
    <t>approximation</t>
  </si>
  <si>
    <t>SF24</t>
  </si>
  <si>
    <t>Real GDP growth assumptions (based on SF 2024 T+10 projections and AR 2024 projections)</t>
  </si>
  <si>
    <r>
      <t>This file contains a simplified version of the EC model used to calculate the general governement debt ratio dynamics for EU countries under different scenarios. A detailed description of the EC's general govern</t>
    </r>
    <r>
      <rPr>
        <strike/>
        <sz val="11"/>
        <color rgb="FF0070C0"/>
        <rFont val="Calibri"/>
        <family val="2"/>
        <scheme val="minor"/>
      </rPr>
      <t>e</t>
    </r>
    <r>
      <rPr>
        <sz val="11"/>
        <color rgb="FF0070C0"/>
        <rFont val="Calibri"/>
        <family val="2"/>
        <scheme val="minor"/>
      </rPr>
      <t>ment debt projections can be found</t>
    </r>
    <r>
      <rPr>
        <b/>
        <sz val="11"/>
        <color rgb="FF0070C0"/>
        <rFont val="Calibri"/>
        <family val="2"/>
        <scheme val="minor"/>
      </rPr>
      <t xml:space="preserve"> in the "</t>
    </r>
    <r>
      <rPr>
        <b/>
        <u/>
        <sz val="11"/>
        <color rgb="FF0070C0"/>
        <rFont val="Calibri"/>
        <family val="2"/>
        <scheme val="minor"/>
      </rPr>
      <t>Debt Sustainability Monitor 2023" (DSM, March 2024)</t>
    </r>
    <r>
      <rPr>
        <b/>
        <sz val="11"/>
        <color rgb="FF0070C0"/>
        <rFont val="Calibri"/>
        <family val="2"/>
        <scheme val="minor"/>
      </rPr>
      <t xml:space="preserve">. </t>
    </r>
  </si>
  <si>
    <r>
      <t xml:space="preserve">Cells in </t>
    </r>
    <r>
      <rPr>
        <i/>
        <sz val="11"/>
        <color rgb="FF0070C0"/>
        <rFont val="Calibri"/>
        <family val="2"/>
        <scheme val="minor"/>
      </rPr>
      <t>light blue</t>
    </r>
    <r>
      <rPr>
        <sz val="11"/>
        <color rgb="FF0070C0"/>
        <rFont val="Calibri"/>
        <family val="2"/>
        <scheme val="minor"/>
      </rPr>
      <t xml:space="preserve"> indicate values from the Ageing Report 2024</t>
    </r>
  </si>
  <si>
    <t>Non coloured parameters in cells C50:C70 were calibrated based on different data sources. Data sources are given in corresponding cells of column E.</t>
  </si>
  <si>
    <t xml:space="preserve">Share of primary expenditure in GDP in 2024 </t>
  </si>
  <si>
    <t>Long-term nominal interest rate (T+10 convergence value)</t>
  </si>
  <si>
    <t>Short-term nominal interest rate (T+10 convergence value)</t>
  </si>
  <si>
    <t>Long-term nominal interest rate (T+30 convergence value)</t>
  </si>
  <si>
    <t>Short-term nominal interest rate (T+30 convergence value)</t>
  </si>
  <si>
    <t>Share of long-term debt that matures every year (T+10 convergence value)</t>
  </si>
  <si>
    <t>GDP deflator (national currency) (T+10 convergence value)</t>
  </si>
  <si>
    <t>GDP deflator (national currency) (T+30 convergence value)</t>
  </si>
  <si>
    <r>
      <t xml:space="preserve">Data reported in this file are based on the </t>
    </r>
    <r>
      <rPr>
        <i/>
        <sz val="11"/>
        <color rgb="FF0070C0"/>
        <rFont val="Calibri"/>
        <family val="2"/>
        <scheme val="minor"/>
      </rPr>
      <t>European Commission (EC) 2024 spring forecast</t>
    </r>
    <r>
      <rPr>
        <sz val="11"/>
        <color rgb="FF0070C0"/>
        <rFont val="Calibri"/>
        <family val="2"/>
        <scheme val="minor"/>
      </rPr>
      <t xml:space="preserve"> </t>
    </r>
    <r>
      <rPr>
        <i/>
        <sz val="11"/>
        <color rgb="FF0070C0"/>
        <rFont val="Calibri"/>
        <family val="2"/>
        <scheme val="minor"/>
      </rPr>
      <t>(SF 2024)</t>
    </r>
    <r>
      <rPr>
        <sz val="11"/>
        <color rgb="FF0070C0"/>
        <rFont val="Calibri"/>
        <family val="2"/>
        <scheme val="minor"/>
      </rPr>
      <t xml:space="preserve"> and macroeconomic and budgetary projections from the joint </t>
    </r>
    <r>
      <rPr>
        <i/>
        <sz val="11"/>
        <color rgb="FF0070C0"/>
        <rFont val="Calibri"/>
        <family val="2"/>
        <scheme val="minor"/>
      </rPr>
      <t>EC-EPC Ageing Report 2024 (AR 2024)</t>
    </r>
    <r>
      <rPr>
        <sz val="11"/>
        <color rgb="FF0070C0"/>
        <rFont val="Calibri"/>
        <family val="2"/>
        <scheme val="minor"/>
      </rPr>
      <t xml:space="preserve">. </t>
    </r>
    <r>
      <rPr>
        <b/>
        <sz val="11"/>
        <color rgb="FF0070C0"/>
        <rFont val="Calibri"/>
        <family val="2"/>
        <scheme val="minor"/>
      </rPr>
      <t xml:space="preserve">
</t>
    </r>
  </si>
  <si>
    <t>1.</t>
  </si>
  <si>
    <t>2.</t>
  </si>
  <si>
    <t>Interest rates (SF 2024, %)</t>
  </si>
  <si>
    <t>Inflation (SF 2024, %)</t>
  </si>
  <si>
    <t>Net primary expenditure growth (SF 2024, %)</t>
  </si>
  <si>
    <t>Budget balance semi-elasticity</t>
  </si>
  <si>
    <t>Cost of ageing and selected public revenue (based on the Commission-Council 2024 Ageing Report ("AR 2024"))</t>
  </si>
  <si>
    <t>Number of years of adjustment</t>
  </si>
  <si>
    <r>
      <t xml:space="preserve">Cells with a </t>
    </r>
    <r>
      <rPr>
        <i/>
        <sz val="11"/>
        <color rgb="FF0070C0"/>
        <rFont val="Calibri"/>
        <family val="2"/>
        <scheme val="minor"/>
      </rPr>
      <t>yellow background and a red frame</t>
    </r>
    <r>
      <rPr>
        <sz val="11"/>
        <color rgb="FF0070C0"/>
        <rFont val="Calibri"/>
        <family val="2"/>
        <scheme val="minor"/>
      </rPr>
      <t xml:space="preserve"> can be modified to see the impact of a different duration or pace of adjustment.</t>
    </r>
  </si>
  <si>
    <t>Subject to an excessive deficit procedure (EDP) (0-no/1-yes)</t>
  </si>
  <si>
    <t>Key fiscal variables (based on the Commission 2024 spring forecast ("SF 2024") T+2 forecast and the June 2024 report prepared under Art. 126(3) of the Treaty)</t>
  </si>
  <si>
    <r>
      <t>This tool can be used to calculate debt projections under different macroeconomic and structural primary balance adjustment assumptions. Debt projections for each scenario will update automatically with changes in the macroeconomic assumptions or the adjustment parameters. The fulfilment of DSA-based criteria, the safeguards and the benchmark will be automatically calculated in the sheet "</t>
    </r>
    <r>
      <rPr>
        <b/>
        <sz val="11"/>
        <color rgb="FF0070C0"/>
        <rFont val="Calibri"/>
        <family val="2"/>
        <scheme val="minor"/>
      </rPr>
      <t>Criteria results</t>
    </r>
    <r>
      <rPr>
        <sz val="11"/>
        <color rgb="FF0070C0"/>
        <rFont val="Calibri"/>
        <family val="2"/>
        <scheme val="minor"/>
      </rPr>
      <t>".
Formulas are fully visible. To assess the impact of alternative fiscal paths or to check the robustness of underlying macroeconomic assumptions, the user can modify the content of key cells in the sheets "</t>
    </r>
    <r>
      <rPr>
        <b/>
        <sz val="11"/>
        <color rgb="FF0070C0"/>
        <rFont val="Calibri"/>
        <family val="2"/>
        <scheme val="minor"/>
      </rPr>
      <t>Criteria results</t>
    </r>
    <r>
      <rPr>
        <sz val="11"/>
        <color rgb="FF0070C0"/>
        <rFont val="Calibri"/>
        <family val="2"/>
        <scheme val="minor"/>
      </rPr>
      <t>" and "</t>
    </r>
    <r>
      <rPr>
        <b/>
        <sz val="11"/>
        <color rgb="FF0070C0"/>
        <rFont val="Calibri"/>
        <family val="2"/>
        <scheme val="minor"/>
      </rPr>
      <t>Input data</t>
    </r>
    <r>
      <rPr>
        <sz val="11"/>
        <color rgb="FF0070C0"/>
        <rFont val="Calibri"/>
        <family val="2"/>
        <scheme val="minor"/>
      </rPr>
      <t>" (see below).
Note that, for a proper functioning of the file, you should make sure that Excel is in "Automatic" computation mode, i.e. in the File menu, Option tab, click on "Formulas", "Calculation Options" and "Automatic".</t>
    </r>
  </si>
  <si>
    <r>
      <t xml:space="preserve">Cells with a </t>
    </r>
    <r>
      <rPr>
        <i/>
        <sz val="11"/>
        <color rgb="FF0070C0"/>
        <rFont val="Calibri"/>
        <family val="2"/>
        <scheme val="minor"/>
      </rPr>
      <t xml:space="preserve">white or pale red (in case the deficit resilience safeguard is binding) background </t>
    </r>
    <r>
      <rPr>
        <sz val="11"/>
        <color rgb="FF0070C0"/>
        <rFont val="Calibri"/>
        <family val="2"/>
        <scheme val="minor"/>
      </rPr>
      <t>provide results obtained with the adjustment chosen in the yellow cells. To replicate the Commission's calculations, the underlying formulas should not be modified.</t>
    </r>
  </si>
  <si>
    <r>
      <t>The fullfilment of the criteria is checked in the sheet "</t>
    </r>
    <r>
      <rPr>
        <b/>
        <sz val="11"/>
        <color rgb="FF0070C0"/>
        <rFont val="Calibri"/>
        <family val="2"/>
        <scheme val="minor"/>
      </rPr>
      <t>Criteria results</t>
    </r>
    <r>
      <rPr>
        <sz val="11"/>
        <color rgb="FF0070C0"/>
        <rFont val="Calibri"/>
        <family val="2"/>
        <scheme val="minor"/>
      </rPr>
      <t xml:space="preserve">".
Debt projections can be found in line 57 of each scenario. </t>
    </r>
  </si>
  <si>
    <t>The 'FASTOP reporting' sheet in violet provides help for preparing reporting tables. It readily provides all the tables foreseen by the guidance notice on the "Information Requirements for the Medium-Term Fiscal-Structural Plans" once the parameters are set in the rest of this file.
This sheet is meant to be an assistance. The need for a thorough scrutiny of the figures before submitting such tables remains.</t>
  </si>
  <si>
    <t>* Under a plan without (with) extension, an adjustment of 0.40 pp. (0.25 pp.) of GDP in SPB terms is applied if the structural deficit in the previous year exceeds 1.5% of GDP.</t>
  </si>
  <si>
    <t>Table 2 "DSA-based criteria and deficit resilience safeguard" reports whether the chosen adjustment fulfils the DSA-based criteria (cells H12:I13) and whether the deficit resillience safeguard is binding.</t>
  </si>
  <si>
    <r>
      <t xml:space="preserve">Table 3 "Main fiscal variables with automatic deficit resilience safeguard" reports the annual adjustment over the adjustment period, in terms of change in SPB (line 18), level of the structural balance (line 19) and SPB level at the end of the adjustment (line 20). This table reports the results for the scenario that </t>
    </r>
    <r>
      <rPr>
        <i/>
        <sz val="11"/>
        <color rgb="FF0070C0"/>
        <rFont val="Calibri"/>
        <family val="2"/>
        <scheme val="minor"/>
      </rPr>
      <t>automatically applies the deficit resillience safeguard</t>
    </r>
    <r>
      <rPr>
        <sz val="11"/>
        <color rgb="FF0070C0"/>
        <rFont val="Calibri"/>
        <family val="2"/>
        <scheme val="minor"/>
      </rPr>
      <t>. For this reason, the SB is highlighted in red if it is lower than -1.5% of GDP.</t>
    </r>
  </si>
  <si>
    <r>
      <t xml:space="preserve">Table 4 "Main fiscal variables without automatic deficit resilience safeguard" reports the annual adjustment over the adjustment period, in terms of change in SPB (line 25), level of the structural balance (line 26) and SPB level at the end of the adjustment (line 27). This table reports the results for the scenario </t>
    </r>
    <r>
      <rPr>
        <i/>
        <sz val="11"/>
        <color rgb="FF0070C0"/>
        <rFont val="Calibri"/>
        <family val="2"/>
        <scheme val="minor"/>
      </rPr>
      <t>without the deficit resillience safeguard</t>
    </r>
    <r>
      <rPr>
        <sz val="11"/>
        <color rgb="FF0070C0"/>
        <rFont val="Calibri"/>
        <family val="2"/>
        <scheme val="minor"/>
      </rPr>
      <t>.</t>
    </r>
  </si>
  <si>
    <r>
      <t>"</t>
    </r>
    <r>
      <rPr>
        <b/>
        <sz val="11"/>
        <color rgb="FF0070C0"/>
        <rFont val="Calibri"/>
        <family val="2"/>
        <scheme val="minor"/>
      </rPr>
      <t>Criteria results</t>
    </r>
    <r>
      <rPr>
        <sz val="11"/>
        <color rgb="FF0070C0"/>
        <rFont val="Calibri"/>
        <family val="2"/>
        <scheme val="minor"/>
      </rPr>
      <t xml:space="preserve">" contains five tables.
Table 1 "Adjustment input data": the user can set the duration of the plan in cell F5 (4 years without extension or 7 years with extension), the yearly adjustment pace under the scenario that does not take into account the deficit resilience safeguard (F7) and for the scenario that automatically applies that safeguard (F6). Note that the country cell (F4) cannot be changed. 
</t>
    </r>
  </si>
  <si>
    <t>The adjustement in F7 needs to be selected first so that the message on line 13 signals that the two DSA-based criteria are fulfilled. As a second step, the adjustment in F6 can be selected (and cannot be lower than in F7) so that line 12 reports compliance with the requirements.</t>
  </si>
  <si>
    <t>Adjustment scenario with automatic deficit resilience safeguard *
(sheet "Adjustment scenario")</t>
  </si>
  <si>
    <t>Adjustment scenario without deficit resilience safeguard
(sheet "Adjust. no safeguard")</t>
  </si>
  <si>
    <t>No extension (annual adjustment of -0.8)</t>
  </si>
  <si>
    <t>Extension (annual adjustment of -0.44)</t>
  </si>
  <si>
    <r>
      <t>The grey sheet "</t>
    </r>
    <r>
      <rPr>
        <b/>
        <sz val="11"/>
        <color rgb="FF0070C0"/>
        <rFont val="Calibri"/>
        <family val="2"/>
        <scheme val="minor"/>
      </rPr>
      <t>Criteria results</t>
    </r>
    <r>
      <rPr>
        <sz val="11"/>
        <color rgb="FF0070C0"/>
        <rFont val="Calibri"/>
        <family val="2"/>
        <scheme val="minor"/>
      </rPr>
      <t>" contains two main types of cells identified by different colours:</t>
    </r>
  </si>
  <si>
    <t>The sheet in blue provides, as a reference, the baseline no-fiscal-policy-change scenario. The background colour coding is the same as in the sheet "Input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</si>
</sst>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
    <numFmt numFmtId="166" formatCode="0.000"/>
    <numFmt numFmtId="167" formatCode="0.00000"/>
    <numFmt numFmtId="168" formatCode="0.000000"/>
    <numFmt numFmtId="169" formatCode="0.0000000"/>
    <numFmt numFmtId="170" formatCode="0.00000000"/>
  </numFmts>
  <fonts count="44"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i/>
      <sz val="8"/>
      <color theme="1"/>
      <name val="Arial"/>
      <family val="2"/>
    </font>
    <font>
      <b/>
      <sz val="8"/>
      <color theme="1"/>
      <name val="Arial"/>
      <family val="2"/>
    </font>
    <font>
      <b/>
      <sz val="8"/>
      <name val="Arial"/>
      <family val="2"/>
    </font>
    <font>
      <i/>
      <sz val="8"/>
      <name val="Arial"/>
      <family val="2"/>
    </font>
    <font>
      <b/>
      <i/>
      <sz val="8"/>
      <name val="Arial"/>
      <family val="2"/>
    </font>
    <font>
      <sz val="8"/>
      <name val="Arial"/>
      <family val="2"/>
    </font>
    <font>
      <b/>
      <sz val="8"/>
      <color rgb="FF002060"/>
      <name val="Arial"/>
      <family val="2"/>
    </font>
    <font>
      <b/>
      <sz val="10"/>
      <color theme="1"/>
      <name val="Arial"/>
      <family val="2"/>
    </font>
    <font>
      <u/>
      <sz val="11"/>
      <color theme="10"/>
      <name val="Calibri"/>
      <family val="2"/>
      <scheme val="minor"/>
    </font>
    <font>
      <b/>
      <sz val="10"/>
      <color theme="0"/>
      <name val="Arial"/>
      <family val="2"/>
    </font>
    <font>
      <b/>
      <sz val="8"/>
      <color rgb="FF0070C0"/>
      <name val="Arial"/>
      <family val="2"/>
    </font>
    <font>
      <sz val="8"/>
      <color theme="0"/>
      <name val="Arial"/>
      <family val="2"/>
    </font>
    <font>
      <sz val="10"/>
      <color theme="0"/>
      <name val="Arial"/>
      <family val="2"/>
    </font>
    <font>
      <i/>
      <sz val="10"/>
      <color theme="1"/>
      <name val="Arial"/>
      <family val="2"/>
    </font>
    <font>
      <sz val="8"/>
      <color rgb="FF002060"/>
      <name val="Arial"/>
      <family val="2"/>
    </font>
    <font>
      <b/>
      <i/>
      <sz val="10"/>
      <color theme="0"/>
      <name val="Arial"/>
      <family val="2"/>
    </font>
    <font>
      <b/>
      <sz val="11"/>
      <color theme="0"/>
      <name val="Calibri"/>
      <family val="2"/>
      <scheme val="minor"/>
    </font>
    <font>
      <sz val="11"/>
      <color rgb="FF0070C0"/>
      <name val="Calibri"/>
      <family val="2"/>
      <scheme val="minor"/>
    </font>
    <font>
      <b/>
      <sz val="11"/>
      <color rgb="FF0070C0"/>
      <name val="Calibri"/>
      <family val="2"/>
      <scheme val="minor"/>
    </font>
    <font>
      <u/>
      <sz val="11"/>
      <color rgb="FF0070C0"/>
      <name val="Calibri"/>
      <family val="2"/>
      <scheme val="minor"/>
    </font>
    <font>
      <i/>
      <sz val="11"/>
      <color rgb="FF0070C0"/>
      <name val="Calibri"/>
      <family val="2"/>
      <scheme val="minor"/>
    </font>
    <font>
      <strike/>
      <sz val="11"/>
      <color rgb="FF0070C0"/>
      <name val="Calibri"/>
      <family val="2"/>
      <scheme val="minor"/>
    </font>
    <font>
      <b/>
      <u/>
      <sz val="11"/>
      <color rgb="FF0070C0"/>
      <name val="Calibri"/>
      <family val="2"/>
      <scheme val="minor"/>
    </font>
    <font>
      <sz val="8"/>
      <color rgb="FF0070C0"/>
      <name val="Arial"/>
      <family val="2"/>
    </font>
    <font>
      <sz val="11"/>
      <color rgb="FF000000"/>
      <name val="Calibri"/>
      <family val="2"/>
    </font>
    <font>
      <b/>
      <sz val="10"/>
      <color rgb="FFFF0000"/>
      <name val="Arial"/>
      <family val="2"/>
    </font>
    <font>
      <sz val="10"/>
      <name val="Arial"/>
      <family val="2"/>
    </font>
    <font>
      <b/>
      <sz val="10"/>
      <name val="Arial"/>
      <family val="2"/>
    </font>
    <font>
      <i/>
      <sz val="8"/>
      <color theme="0" tint="-0.34998626667073579"/>
      <name val="Arial"/>
      <family val="2"/>
    </font>
    <font>
      <i/>
      <sz val="8"/>
      <color theme="0" tint="-0.499984740745262"/>
      <name val="Arial"/>
      <family val="2"/>
    </font>
    <font>
      <b/>
      <sz val="10"/>
      <color rgb="FFFFFFFF"/>
      <name val="Arial"/>
      <family val="2"/>
    </font>
    <font>
      <b/>
      <sz val="10"/>
      <color theme="4" tint="-0.249977111117893"/>
      <name val="Arial"/>
      <family val="2"/>
    </font>
    <font>
      <sz val="11"/>
      <name val="Calibri"/>
      <family val="2"/>
    </font>
    <font>
      <b/>
      <sz val="12"/>
      <color theme="1"/>
      <name val="Arial"/>
      <family val="2"/>
    </font>
    <font>
      <b/>
      <sz val="12"/>
      <color rgb="FFFF0000"/>
      <name val="Arial"/>
      <family val="2"/>
    </font>
  </fonts>
  <fills count="2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92D050"/>
        <bgColor indexed="64"/>
      </patternFill>
    </fill>
    <fill>
      <patternFill patternType="solid">
        <fgColor rgb="FF92CDDC"/>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rgb="FF000000"/>
      </patternFill>
    </fill>
    <fill>
      <patternFill patternType="solid">
        <fgColor theme="9"/>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7030A0"/>
        <bgColor indexed="64"/>
      </patternFill>
    </fill>
    <fill>
      <patternFill patternType="solid">
        <fgColor theme="5" tint="0.79998168889431442"/>
        <bgColor indexed="64"/>
      </patternFill>
    </fill>
    <fill>
      <patternFill patternType="solid">
        <fgColor theme="5"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right style="thick">
        <color rgb="FFFF0000"/>
      </right>
      <top/>
      <bottom style="thin">
        <color indexed="64"/>
      </bottom>
      <diagonal/>
    </border>
    <border>
      <left/>
      <right style="thick">
        <color rgb="FFFF0000"/>
      </right>
      <top/>
      <bottom/>
      <diagonal/>
    </border>
    <border>
      <left style="thick">
        <color rgb="FFFF0000"/>
      </left>
      <right style="thick">
        <color rgb="FFFF0000"/>
      </right>
      <top style="thick">
        <color rgb="FFFF0000"/>
      </top>
      <bottom style="thick">
        <color rgb="FFFF0000"/>
      </bottom>
      <diagonal/>
    </border>
    <border>
      <left style="thick">
        <color rgb="FFFF0000"/>
      </left>
      <right/>
      <top/>
      <bottom/>
      <diagonal/>
    </border>
  </borders>
  <cellStyleXfs count="14">
    <xf numFmtId="0" fontId="0" fillId="0" borderId="0"/>
    <xf numFmtId="0" fontId="7" fillId="0" borderId="0"/>
    <xf numFmtId="0" fontId="7" fillId="0" borderId="0"/>
    <xf numFmtId="0" fontId="6" fillId="0" borderId="0"/>
    <xf numFmtId="0" fontId="17" fillId="0" borderId="0" applyNumberFormat="0" applyFill="0" applyBorder="0" applyAlignment="0" applyProtection="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2" fillId="0" borderId="0"/>
    <xf numFmtId="0" fontId="41" fillId="0" borderId="0"/>
  </cellStyleXfs>
  <cellXfs count="358">
    <xf numFmtId="0" fontId="0" fillId="0" borderId="0" xfId="0"/>
    <xf numFmtId="165" fontId="14" fillId="2" borderId="0" xfId="0" applyNumberFormat="1" applyFont="1" applyFill="1" applyAlignment="1">
      <alignment horizontal="center"/>
    </xf>
    <xf numFmtId="165" fontId="14" fillId="3" borderId="0" xfId="0" applyNumberFormat="1" applyFont="1" applyFill="1" applyAlignment="1">
      <alignment horizontal="center"/>
    </xf>
    <xf numFmtId="165" fontId="14" fillId="4" borderId="0" xfId="0" applyNumberFormat="1" applyFont="1" applyFill="1" applyAlignment="1">
      <alignment horizontal="center"/>
    </xf>
    <xf numFmtId="0" fontId="0" fillId="2" borderId="0" xfId="0" applyFill="1"/>
    <xf numFmtId="0" fontId="16" fillId="2" borderId="0" xfId="0" applyFont="1" applyFill="1"/>
    <xf numFmtId="0" fontId="0" fillId="2" borderId="0" xfId="0" applyFill="1" applyAlignment="1">
      <alignment horizontal="right" vertical="center"/>
    </xf>
    <xf numFmtId="0" fontId="16" fillId="2" borderId="3" xfId="0" applyFont="1" applyFill="1" applyBorder="1"/>
    <xf numFmtId="0" fontId="10" fillId="2" borderId="2" xfId="0" applyFont="1" applyFill="1" applyBorder="1" applyAlignment="1">
      <alignment horizontal="center" vertical="center"/>
    </xf>
    <xf numFmtId="0" fontId="10" fillId="2" borderId="4" xfId="0" applyFont="1" applyFill="1" applyBorder="1" applyAlignment="1">
      <alignment horizontal="center" vertical="center"/>
    </xf>
    <xf numFmtId="0" fontId="8" fillId="2" borderId="8" xfId="0" applyFont="1" applyFill="1" applyBorder="1" applyAlignment="1">
      <alignment horizontal="center"/>
    </xf>
    <xf numFmtId="0" fontId="8" fillId="2" borderId="5" xfId="0" applyFont="1" applyFill="1" applyBorder="1" applyAlignment="1">
      <alignment horizontal="center" vertical="center" wrapText="1"/>
    </xf>
    <xf numFmtId="0" fontId="8" fillId="2" borderId="8" xfId="0" applyFont="1" applyFill="1" applyBorder="1" applyAlignment="1" applyProtection="1">
      <alignment horizontal="center"/>
      <protection locked="0"/>
    </xf>
    <xf numFmtId="0" fontId="8" fillId="2" borderId="9" xfId="0" applyFont="1" applyFill="1" applyBorder="1" applyAlignment="1">
      <alignment horizontal="center"/>
    </xf>
    <xf numFmtId="0" fontId="18" fillId="10" borderId="0" xfId="0" applyFont="1" applyFill="1"/>
    <xf numFmtId="0" fontId="8" fillId="2" borderId="0" xfId="0" applyFont="1" applyFill="1"/>
    <xf numFmtId="0" fontId="15" fillId="2" borderId="0" xfId="0" applyFont="1" applyFill="1" applyAlignment="1">
      <alignment horizontal="left" vertical="center"/>
    </xf>
    <xf numFmtId="0" fontId="10" fillId="2" borderId="0" xfId="0" applyFont="1" applyFill="1"/>
    <xf numFmtId="0" fontId="8" fillId="2" borderId="0" xfId="0" applyFont="1" applyFill="1" applyAlignment="1">
      <alignment horizontal="center"/>
    </xf>
    <xf numFmtId="0" fontId="9" fillId="2" borderId="0" xfId="0" applyFont="1" applyFill="1"/>
    <xf numFmtId="0" fontId="10" fillId="2" borderId="0" xfId="0" applyFont="1" applyFill="1" applyAlignment="1">
      <alignment horizontal="center"/>
    </xf>
    <xf numFmtId="0" fontId="8" fillId="2" borderId="0" xfId="0" applyFont="1" applyFill="1" applyAlignment="1">
      <alignment horizontal="left" indent="1"/>
    </xf>
    <xf numFmtId="0" fontId="8" fillId="2" borderId="0" xfId="0" applyFont="1" applyFill="1" applyAlignment="1">
      <alignment horizontal="left"/>
    </xf>
    <xf numFmtId="165" fontId="8" fillId="2" borderId="0" xfId="0" applyNumberFormat="1" applyFont="1" applyFill="1" applyAlignment="1">
      <alignment horizontal="center"/>
    </xf>
    <xf numFmtId="0" fontId="8" fillId="2" borderId="6" xfId="0" applyFont="1" applyFill="1" applyBorder="1"/>
    <xf numFmtId="2" fontId="8" fillId="2" borderId="0" xfId="0" applyNumberFormat="1" applyFont="1" applyFill="1" applyAlignment="1">
      <alignment horizontal="center"/>
    </xf>
    <xf numFmtId="165" fontId="14" fillId="2" borderId="6" xfId="0" applyNumberFormat="1" applyFont="1" applyFill="1" applyBorder="1" applyAlignment="1">
      <alignment horizontal="center"/>
    </xf>
    <xf numFmtId="165" fontId="8" fillId="2" borderId="0" xfId="0" applyNumberFormat="1" applyFont="1" applyFill="1"/>
    <xf numFmtId="0" fontId="19" fillId="2" borderId="0" xfId="0" applyFont="1" applyFill="1" applyAlignment="1">
      <alignment horizontal="left" vertical="center"/>
    </xf>
    <xf numFmtId="0" fontId="0" fillId="2" borderId="4" xfId="0" applyFill="1" applyBorder="1" applyAlignment="1">
      <alignment horizontal="center"/>
    </xf>
    <xf numFmtId="0" fontId="8" fillId="2" borderId="0" xfId="0" applyFont="1" applyFill="1" applyAlignment="1">
      <alignment horizontal="right"/>
    </xf>
    <xf numFmtId="164" fontId="8" fillId="2" borderId="0" xfId="0" applyNumberFormat="1" applyFont="1" applyFill="1" applyAlignment="1">
      <alignment horizontal="right"/>
    </xf>
    <xf numFmtId="165" fontId="15" fillId="2" borderId="0" xfId="0" applyNumberFormat="1" applyFont="1" applyFill="1" applyAlignment="1">
      <alignment horizontal="center"/>
    </xf>
    <xf numFmtId="165" fontId="12" fillId="2" borderId="6" xfId="0" applyNumberFormat="1" applyFont="1" applyFill="1" applyBorder="1" applyAlignment="1">
      <alignment horizontal="center"/>
    </xf>
    <xf numFmtId="165" fontId="11" fillId="2" borderId="3" xfId="0" applyNumberFormat="1" applyFont="1" applyFill="1" applyBorder="1" applyAlignment="1">
      <alignment horizontal="center"/>
    </xf>
    <xf numFmtId="165" fontId="8" fillId="2" borderId="6" xfId="0" applyNumberFormat="1" applyFont="1" applyFill="1" applyBorder="1" applyAlignment="1">
      <alignment horizontal="center"/>
    </xf>
    <xf numFmtId="165" fontId="13" fillId="2" borderId="3" xfId="0" applyNumberFormat="1" applyFont="1" applyFill="1" applyBorder="1" applyAlignment="1">
      <alignment horizontal="center"/>
    </xf>
    <xf numFmtId="0" fontId="8" fillId="2" borderId="11" xfId="0" applyFont="1" applyFill="1" applyBorder="1"/>
    <xf numFmtId="2" fontId="8" fillId="2" borderId="0" xfId="0" applyNumberFormat="1" applyFont="1" applyFill="1"/>
    <xf numFmtId="0" fontId="10" fillId="2" borderId="2" xfId="0" applyFont="1" applyFill="1" applyBorder="1"/>
    <xf numFmtId="2" fontId="8" fillId="2" borderId="4" xfId="0" applyNumberFormat="1" applyFont="1" applyFill="1" applyBorder="1" applyAlignment="1" applyProtection="1">
      <alignment horizontal="center"/>
      <protection locked="0"/>
    </xf>
    <xf numFmtId="0" fontId="10" fillId="2" borderId="9" xfId="0" applyFont="1" applyFill="1" applyBorder="1"/>
    <xf numFmtId="2" fontId="8" fillId="2" borderId="7" xfId="0" applyNumberFormat="1" applyFont="1" applyFill="1" applyBorder="1" applyAlignment="1" applyProtection="1">
      <alignment horizontal="center"/>
      <protection locked="0"/>
    </xf>
    <xf numFmtId="2" fontId="8" fillId="2" borderId="0" xfId="0" applyNumberFormat="1" applyFont="1" applyFill="1" applyAlignment="1" applyProtection="1">
      <alignment horizontal="center"/>
      <protection locked="0"/>
    </xf>
    <xf numFmtId="165" fontId="14" fillId="2" borderId="0" xfId="0" applyNumberFormat="1" applyFont="1" applyFill="1" applyAlignment="1" applyProtection="1">
      <alignment horizontal="center"/>
      <protection locked="0"/>
    </xf>
    <xf numFmtId="0" fontId="8" fillId="2" borderId="0" xfId="0" applyFont="1" applyFill="1" applyProtection="1">
      <protection locked="0"/>
    </xf>
    <xf numFmtId="164" fontId="8" fillId="2" borderId="0" xfId="0" applyNumberFormat="1" applyFont="1" applyFill="1"/>
    <xf numFmtId="0" fontId="14" fillId="2" borderId="0" xfId="0" applyFont="1" applyFill="1"/>
    <xf numFmtId="2" fontId="14" fillId="2" borderId="0" xfId="0" applyNumberFormat="1" applyFont="1" applyFill="1" applyAlignment="1" applyProtection="1">
      <alignment horizontal="center"/>
      <protection locked="0"/>
    </xf>
    <xf numFmtId="0" fontId="9" fillId="2" borderId="5" xfId="0" applyFont="1" applyFill="1" applyBorder="1" applyAlignment="1">
      <alignment horizontal="center"/>
    </xf>
    <xf numFmtId="0" fontId="8" fillId="2" borderId="5" xfId="0" applyFont="1" applyFill="1" applyBorder="1" applyAlignment="1">
      <alignment horizontal="center"/>
    </xf>
    <xf numFmtId="0" fontId="8" fillId="2" borderId="7" xfId="0" applyFont="1" applyFill="1" applyBorder="1" applyAlignment="1">
      <alignment horizontal="center"/>
    </xf>
    <xf numFmtId="0" fontId="20" fillId="10" borderId="0" xfId="0" applyFont="1" applyFill="1"/>
    <xf numFmtId="2" fontId="20" fillId="10" borderId="0" xfId="0" applyNumberFormat="1" applyFont="1" applyFill="1" applyAlignment="1">
      <alignment horizontal="center"/>
    </xf>
    <xf numFmtId="0" fontId="20" fillId="10" borderId="0" xfId="0" applyFont="1" applyFill="1" applyAlignment="1">
      <alignment horizontal="center"/>
    </xf>
    <xf numFmtId="0" fontId="20" fillId="10" borderId="0" xfId="0" applyFont="1" applyFill="1" applyAlignment="1">
      <alignment horizontal="right"/>
    </xf>
    <xf numFmtId="0" fontId="21" fillId="10" borderId="0" xfId="0" applyFont="1" applyFill="1" applyAlignment="1">
      <alignment vertical="center"/>
    </xf>
    <xf numFmtId="0" fontId="18" fillId="10" borderId="0" xfId="0" applyFont="1" applyFill="1" applyAlignment="1">
      <alignment horizontal="left" vertical="center"/>
    </xf>
    <xf numFmtId="0" fontId="21" fillId="10" borderId="0" xfId="0" applyFont="1" applyFill="1" applyAlignment="1">
      <alignment horizontal="center" vertical="center"/>
    </xf>
    <xf numFmtId="0" fontId="21" fillId="10" borderId="0" xfId="0" applyFont="1" applyFill="1" applyAlignment="1">
      <alignment horizontal="right" vertical="center"/>
    </xf>
    <xf numFmtId="0" fontId="18" fillId="10" borderId="0" xfId="0" applyFont="1" applyFill="1" applyAlignment="1">
      <alignment vertical="center"/>
    </xf>
    <xf numFmtId="2" fontId="21" fillId="10" borderId="0" xfId="0" applyNumberFormat="1" applyFont="1" applyFill="1" applyAlignment="1">
      <alignment horizontal="center" vertical="center"/>
    </xf>
    <xf numFmtId="0" fontId="8" fillId="2" borderId="3" xfId="0" applyFont="1" applyFill="1" applyBorder="1"/>
    <xf numFmtId="165" fontId="8" fillId="2" borderId="3" xfId="0" applyNumberFormat="1" applyFont="1" applyFill="1" applyBorder="1" applyAlignment="1">
      <alignment horizontal="center"/>
    </xf>
    <xf numFmtId="0" fontId="14" fillId="2" borderId="0" xfId="0" applyFont="1" applyFill="1" applyAlignment="1">
      <alignment horizontal="left" indent="1"/>
    </xf>
    <xf numFmtId="0" fontId="11" fillId="2" borderId="3" xfId="0" applyFont="1" applyFill="1" applyBorder="1"/>
    <xf numFmtId="0" fontId="11" fillId="2" borderId="11" xfId="0" applyFont="1" applyFill="1" applyBorder="1"/>
    <xf numFmtId="0" fontId="11" fillId="2" borderId="11" xfId="0" applyFont="1" applyFill="1" applyBorder="1" applyAlignment="1">
      <alignment horizontal="center"/>
    </xf>
    <xf numFmtId="0" fontId="15" fillId="2" borderId="3" xfId="0" applyFont="1" applyFill="1" applyBorder="1"/>
    <xf numFmtId="0" fontId="12" fillId="2" borderId="0" xfId="0" applyFont="1" applyFill="1" applyAlignment="1">
      <alignment horizontal="left" indent="1"/>
    </xf>
    <xf numFmtId="0" fontId="14" fillId="2" borderId="6" xfId="0" applyFont="1" applyFill="1" applyBorder="1" applyAlignment="1">
      <alignment horizontal="left" indent="1"/>
    </xf>
    <xf numFmtId="0" fontId="15" fillId="2" borderId="0" xfId="0" applyFont="1" applyFill="1"/>
    <xf numFmtId="0" fontId="21" fillId="10" borderId="0" xfId="0" applyFont="1" applyFill="1"/>
    <xf numFmtId="0" fontId="18" fillId="10" borderId="0" xfId="0" applyFont="1" applyFill="1" applyAlignment="1">
      <alignment horizontal="left"/>
    </xf>
    <xf numFmtId="0" fontId="21" fillId="10" borderId="0" xfId="0" applyFont="1" applyFill="1" applyAlignment="1">
      <alignment horizontal="center"/>
    </xf>
    <xf numFmtId="0" fontId="21" fillId="10" borderId="0" xfId="0" applyFont="1" applyFill="1" applyAlignment="1">
      <alignment horizontal="right"/>
    </xf>
    <xf numFmtId="164" fontId="8" fillId="2" borderId="0" xfId="0" applyNumberFormat="1" applyFont="1" applyFill="1" applyAlignment="1">
      <alignment horizontal="center"/>
    </xf>
    <xf numFmtId="166" fontId="14" fillId="2" borderId="0" xfId="0" applyNumberFormat="1" applyFont="1" applyFill="1" applyAlignment="1">
      <alignment horizontal="center"/>
    </xf>
    <xf numFmtId="165" fontId="8" fillId="3" borderId="0" xfId="0" applyNumberFormat="1" applyFont="1" applyFill="1" applyAlignment="1">
      <alignment horizontal="center"/>
    </xf>
    <xf numFmtId="165" fontId="14" fillId="5" borderId="0" xfId="0" applyNumberFormat="1" applyFont="1" applyFill="1" applyAlignment="1">
      <alignment horizontal="center"/>
    </xf>
    <xf numFmtId="0" fontId="18" fillId="2" borderId="0" xfId="0" applyFont="1" applyFill="1"/>
    <xf numFmtId="167" fontId="14" fillId="2" borderId="0" xfId="0" applyNumberFormat="1" applyFont="1" applyFill="1" applyAlignment="1">
      <alignment horizontal="center"/>
    </xf>
    <xf numFmtId="170" fontId="14" fillId="2" borderId="0" xfId="0" applyNumberFormat="1" applyFont="1" applyFill="1" applyAlignment="1">
      <alignment horizontal="center"/>
    </xf>
    <xf numFmtId="0" fontId="8" fillId="2" borderId="0" xfId="0" applyFont="1" applyFill="1" applyAlignment="1">
      <alignment horizontal="left" indent="3"/>
    </xf>
    <xf numFmtId="0" fontId="15" fillId="2" borderId="6" xfId="0" applyFont="1" applyFill="1" applyBorder="1"/>
    <xf numFmtId="0" fontId="8" fillId="2" borderId="6" xfId="0" applyFont="1" applyFill="1" applyBorder="1" applyAlignment="1">
      <alignment horizontal="left" indent="3"/>
    </xf>
    <xf numFmtId="2" fontId="8" fillId="2" borderId="6" xfId="0" applyNumberFormat="1" applyFont="1" applyFill="1" applyBorder="1" applyAlignment="1">
      <alignment horizontal="center"/>
    </xf>
    <xf numFmtId="0" fontId="21" fillId="2" borderId="0" xfId="0" applyFont="1" applyFill="1"/>
    <xf numFmtId="165" fontId="15" fillId="2" borderId="6" xfId="0" applyNumberFormat="1" applyFont="1" applyFill="1" applyBorder="1" applyAlignment="1">
      <alignment horizontal="center"/>
    </xf>
    <xf numFmtId="165" fontId="24" fillId="10" borderId="0" xfId="0" applyNumberFormat="1" applyFont="1" applyFill="1" applyAlignment="1">
      <alignment horizontal="center"/>
    </xf>
    <xf numFmtId="0" fontId="15" fillId="2" borderId="11" xfId="0" applyFont="1" applyFill="1" applyBorder="1"/>
    <xf numFmtId="165" fontId="8" fillId="2" borderId="6" xfId="0" applyNumberFormat="1" applyFont="1" applyFill="1" applyBorder="1"/>
    <xf numFmtId="165" fontId="15" fillId="2" borderId="11" xfId="0" applyNumberFormat="1" applyFont="1" applyFill="1" applyBorder="1" applyAlignment="1">
      <alignment horizontal="center"/>
    </xf>
    <xf numFmtId="0" fontId="23" fillId="2" borderId="0" xfId="0" applyFont="1" applyFill="1"/>
    <xf numFmtId="165" fontId="23" fillId="2" borderId="0" xfId="0" applyNumberFormat="1" applyFont="1" applyFill="1" applyAlignment="1" applyProtection="1">
      <alignment horizontal="center"/>
      <protection locked="0"/>
    </xf>
    <xf numFmtId="168" fontId="8" fillId="2" borderId="0" xfId="0" applyNumberFormat="1" applyFont="1" applyFill="1"/>
    <xf numFmtId="165" fontId="14" fillId="7" borderId="0" xfId="0" applyNumberFormat="1" applyFont="1" applyFill="1" applyAlignment="1">
      <alignment horizontal="center"/>
    </xf>
    <xf numFmtId="0" fontId="14" fillId="2" borderId="0" xfId="0" applyFont="1" applyFill="1" applyAlignment="1">
      <alignment horizontal="left"/>
    </xf>
    <xf numFmtId="166" fontId="8" fillId="2" borderId="0" xfId="0" applyNumberFormat="1" applyFont="1" applyFill="1"/>
    <xf numFmtId="165" fontId="24" fillId="2" borderId="0" xfId="0" applyNumberFormat="1" applyFont="1" applyFill="1" applyAlignment="1">
      <alignment horizontal="center"/>
    </xf>
    <xf numFmtId="165" fontId="24" fillId="2" borderId="6" xfId="0" applyNumberFormat="1" applyFont="1" applyFill="1" applyBorder="1" applyAlignment="1">
      <alignment horizontal="center"/>
    </xf>
    <xf numFmtId="165" fontId="23" fillId="2" borderId="6" xfId="0" applyNumberFormat="1" applyFont="1" applyFill="1" applyBorder="1" applyAlignment="1">
      <alignment horizontal="center"/>
    </xf>
    <xf numFmtId="0" fontId="19" fillId="2" borderId="0" xfId="0" applyFont="1" applyFill="1" applyAlignment="1" applyProtection="1">
      <alignment horizontal="left" vertical="center"/>
      <protection locked="0"/>
    </xf>
    <xf numFmtId="0" fontId="15" fillId="2" borderId="0" xfId="0" applyFont="1" applyFill="1" applyAlignment="1" applyProtection="1">
      <alignment horizontal="left" vertical="center"/>
      <protection locked="0"/>
    </xf>
    <xf numFmtId="0" fontId="10" fillId="2" borderId="2" xfId="0" applyFont="1" applyFill="1" applyBorder="1" applyAlignment="1" applyProtection="1">
      <alignment horizontal="center" vertical="center"/>
      <protection locked="0"/>
    </xf>
    <xf numFmtId="0" fontId="10" fillId="2" borderId="4" xfId="0" applyFont="1" applyFill="1" applyBorder="1" applyAlignment="1" applyProtection="1">
      <alignment horizontal="center" vertical="center"/>
      <protection locked="0"/>
    </xf>
    <xf numFmtId="0" fontId="9" fillId="2" borderId="5" xfId="0" applyFont="1" applyFill="1" applyBorder="1" applyAlignment="1" applyProtection="1">
      <alignment horizontal="left" vertical="center"/>
      <protection locked="0"/>
    </xf>
    <xf numFmtId="0" fontId="8" fillId="2" borderId="5" xfId="0" applyFont="1" applyFill="1" applyBorder="1" applyAlignment="1" applyProtection="1">
      <alignment horizontal="center" vertical="center" wrapText="1"/>
      <protection locked="0"/>
    </xf>
    <xf numFmtId="0" fontId="8" fillId="2" borderId="9" xfId="0" applyFont="1" applyFill="1" applyBorder="1" applyAlignment="1" applyProtection="1">
      <alignment horizontal="center"/>
      <protection locked="0"/>
    </xf>
    <xf numFmtId="0" fontId="0" fillId="2" borderId="0" xfId="0" applyFill="1" applyProtection="1">
      <protection locked="0"/>
    </xf>
    <xf numFmtId="0" fontId="0" fillId="10" borderId="0" xfId="0" applyFill="1" applyProtection="1">
      <protection locked="0"/>
    </xf>
    <xf numFmtId="0" fontId="18" fillId="10" borderId="0" xfId="0" applyFont="1" applyFill="1" applyProtection="1">
      <protection locked="0"/>
    </xf>
    <xf numFmtId="0" fontId="8" fillId="10" borderId="0" xfId="0" applyFont="1" applyFill="1" applyProtection="1">
      <protection locked="0"/>
    </xf>
    <xf numFmtId="0" fontId="10" fillId="2" borderId="0" xfId="0" applyFont="1" applyFill="1" applyAlignment="1" applyProtection="1">
      <alignment horizontal="center"/>
      <protection locked="0"/>
    </xf>
    <xf numFmtId="0" fontId="0" fillId="2" borderId="6" xfId="0" applyFill="1" applyBorder="1" applyProtection="1">
      <protection locked="0"/>
    </xf>
    <xf numFmtId="0" fontId="10" fillId="2" borderId="6" xfId="0" applyFont="1" applyFill="1" applyBorder="1" applyProtection="1">
      <protection locked="0"/>
    </xf>
    <xf numFmtId="0" fontId="8" fillId="2" borderId="6" xfId="0" applyFont="1" applyFill="1" applyBorder="1" applyAlignment="1" applyProtection="1">
      <alignment horizontal="center"/>
      <protection locked="0"/>
    </xf>
    <xf numFmtId="0" fontId="9" fillId="2" borderId="0" xfId="0" applyFont="1" applyFill="1" applyProtection="1">
      <protection locked="0"/>
    </xf>
    <xf numFmtId="0" fontId="8" fillId="2" borderId="0" xfId="0" applyFont="1" applyFill="1" applyAlignment="1" applyProtection="1">
      <alignment horizontal="center"/>
      <protection locked="0"/>
    </xf>
    <xf numFmtId="165" fontId="14" fillId="3" borderId="0" xfId="0" applyNumberFormat="1" applyFont="1" applyFill="1" applyAlignment="1" applyProtection="1">
      <alignment horizontal="center"/>
      <protection locked="0"/>
    </xf>
    <xf numFmtId="165" fontId="14" fillId="5" borderId="0" xfId="0" applyNumberFormat="1" applyFont="1" applyFill="1" applyAlignment="1" applyProtection="1">
      <alignment horizontal="center"/>
      <protection locked="0"/>
    </xf>
    <xf numFmtId="0" fontId="8" fillId="2" borderId="0" xfId="0" applyFont="1" applyFill="1" applyAlignment="1" applyProtection="1">
      <alignment horizontal="left"/>
      <protection locked="0"/>
    </xf>
    <xf numFmtId="0" fontId="8" fillId="2" borderId="0" xfId="0" applyFont="1" applyFill="1" applyAlignment="1" applyProtection="1">
      <alignment horizontal="left" indent="1"/>
      <protection locked="0"/>
    </xf>
    <xf numFmtId="0" fontId="8" fillId="2" borderId="6" xfId="0" applyFont="1" applyFill="1" applyBorder="1" applyProtection="1">
      <protection locked="0"/>
    </xf>
    <xf numFmtId="165" fontId="8" fillId="2" borderId="0" xfId="0" applyNumberFormat="1" applyFont="1" applyFill="1" applyAlignment="1" applyProtection="1">
      <alignment horizontal="center"/>
      <protection locked="0"/>
    </xf>
    <xf numFmtId="165" fontId="8" fillId="3" borderId="0" xfId="0" applyNumberFormat="1" applyFont="1" applyFill="1" applyAlignment="1" applyProtection="1">
      <alignment horizontal="center"/>
      <protection locked="0"/>
    </xf>
    <xf numFmtId="165" fontId="8" fillId="5" borderId="0" xfId="0" applyNumberFormat="1" applyFont="1" applyFill="1" applyAlignment="1" applyProtection="1">
      <alignment horizontal="center"/>
      <protection locked="0"/>
    </xf>
    <xf numFmtId="169" fontId="14" fillId="2" borderId="0" xfId="0" applyNumberFormat="1" applyFont="1" applyFill="1" applyAlignment="1" applyProtection="1">
      <alignment horizontal="center"/>
      <protection locked="0"/>
    </xf>
    <xf numFmtId="0" fontId="10" fillId="2" borderId="6" xfId="0" applyFont="1" applyFill="1" applyBorder="1" applyAlignment="1" applyProtection="1">
      <alignment horizontal="left"/>
      <protection locked="0"/>
    </xf>
    <xf numFmtId="165" fontId="14" fillId="2" borderId="6" xfId="0" applyNumberFormat="1" applyFont="1" applyFill="1" applyBorder="1" applyAlignment="1" applyProtection="1">
      <alignment horizontal="center"/>
      <protection locked="0"/>
    </xf>
    <xf numFmtId="164" fontId="14" fillId="2" borderId="6" xfId="0" applyNumberFormat="1" applyFont="1" applyFill="1" applyBorder="1" applyAlignment="1" applyProtection="1">
      <alignment horizontal="center"/>
      <protection locked="0"/>
    </xf>
    <xf numFmtId="165" fontId="14" fillId="10" borderId="0" xfId="0" applyNumberFormat="1" applyFont="1" applyFill="1" applyAlignment="1" applyProtection="1">
      <alignment horizontal="center"/>
      <protection locked="0"/>
    </xf>
    <xf numFmtId="0" fontId="18" fillId="2" borderId="0" xfId="0" applyFont="1" applyFill="1" applyProtection="1">
      <protection locked="0"/>
    </xf>
    <xf numFmtId="165" fontId="14" fillId="6" borderId="0" xfId="0" applyNumberFormat="1" applyFont="1" applyFill="1" applyAlignment="1" applyProtection="1">
      <alignment horizontal="center"/>
      <protection locked="0"/>
    </xf>
    <xf numFmtId="165" fontId="8" fillId="6" borderId="0" xfId="0" applyNumberFormat="1" applyFont="1" applyFill="1" applyAlignment="1" applyProtection="1">
      <alignment horizontal="center"/>
      <protection locked="0"/>
    </xf>
    <xf numFmtId="0" fontId="10" fillId="2" borderId="0" xfId="0" applyFont="1" applyFill="1" applyProtection="1">
      <protection locked="0"/>
    </xf>
    <xf numFmtId="165" fontId="11" fillId="2" borderId="0" xfId="0" applyNumberFormat="1" applyFont="1" applyFill="1" applyAlignment="1" applyProtection="1">
      <alignment horizontal="center"/>
      <protection locked="0"/>
    </xf>
    <xf numFmtId="0" fontId="11" fillId="2" borderId="0" xfId="0" applyFont="1" applyFill="1" applyAlignment="1" applyProtection="1">
      <alignment horizontal="center"/>
      <protection locked="0"/>
    </xf>
    <xf numFmtId="165" fontId="14" fillId="11" borderId="0" xfId="0" applyNumberFormat="1" applyFont="1" applyFill="1" applyAlignment="1">
      <alignment horizontal="center"/>
    </xf>
    <xf numFmtId="0" fontId="0" fillId="12" borderId="15" xfId="0" quotePrefix="1" applyFill="1" applyBorder="1" applyAlignment="1" applyProtection="1">
      <alignment horizontal="center" vertical="center"/>
      <protection locked="0"/>
    </xf>
    <xf numFmtId="2" fontId="0" fillId="12" borderId="16" xfId="0" applyNumberFormat="1" applyFill="1" applyBorder="1" applyAlignment="1" applyProtection="1">
      <alignment horizontal="center" vertical="center"/>
      <protection locked="0"/>
    </xf>
    <xf numFmtId="0" fontId="4" fillId="5" borderId="0" xfId="6" applyFill="1"/>
    <xf numFmtId="0" fontId="4" fillId="2" borderId="5" xfId="6" applyFill="1" applyBorder="1"/>
    <xf numFmtId="0" fontId="4" fillId="2" borderId="8" xfId="6" applyFill="1" applyBorder="1"/>
    <xf numFmtId="0" fontId="28" fillId="2" borderId="0" xfId="4" applyFont="1" applyFill="1" applyBorder="1"/>
    <xf numFmtId="0" fontId="26" fillId="7" borderId="0" xfId="6" applyFont="1" applyFill="1" applyAlignment="1">
      <alignment horizontal="justify" wrapText="1"/>
    </xf>
    <xf numFmtId="0" fontId="26" fillId="2" borderId="0" xfId="6" applyFont="1" applyFill="1" applyAlignment="1">
      <alignment vertical="center" wrapText="1"/>
    </xf>
    <xf numFmtId="168" fontId="0" fillId="2" borderId="0" xfId="0" applyNumberFormat="1" applyFill="1" applyProtection="1">
      <protection locked="0"/>
    </xf>
    <xf numFmtId="165" fontId="14" fillId="2" borderId="11" xfId="0" applyNumberFormat="1" applyFont="1" applyFill="1" applyBorder="1" applyAlignment="1">
      <alignment horizontal="center"/>
    </xf>
    <xf numFmtId="0" fontId="22" fillId="2" borderId="5" xfId="0" applyFont="1" applyFill="1" applyBorder="1"/>
    <xf numFmtId="0" fontId="22" fillId="2" borderId="2" xfId="0" applyFont="1" applyFill="1" applyBorder="1"/>
    <xf numFmtId="0" fontId="26" fillId="2" borderId="0" xfId="6" applyFont="1" applyFill="1" applyAlignment="1">
      <alignment horizontal="justify" wrapText="1"/>
    </xf>
    <xf numFmtId="170" fontId="8" fillId="2" borderId="0" xfId="0" applyNumberFormat="1" applyFont="1" applyFill="1" applyAlignment="1">
      <alignment horizontal="center"/>
    </xf>
    <xf numFmtId="0" fontId="33" fillId="15" borderId="0" xfId="3" applyFont="1" applyFill="1" applyAlignment="1">
      <alignment horizontal="left" vertical="top"/>
    </xf>
    <xf numFmtId="0" fontId="0" fillId="2" borderId="6" xfId="0" applyFill="1" applyBorder="1" applyAlignment="1">
      <alignment horizontal="justify" vertical="top" wrapText="1"/>
    </xf>
    <xf numFmtId="0" fontId="16" fillId="2" borderId="10" xfId="0" applyFont="1" applyFill="1" applyBorder="1" applyAlignment="1">
      <alignment horizontal="center" vertical="top" wrapText="1"/>
    </xf>
    <xf numFmtId="0" fontId="16" fillId="2" borderId="11" xfId="0" applyFont="1" applyFill="1" applyBorder="1" applyAlignment="1">
      <alignment horizontal="center" vertical="top" wrapText="1"/>
    </xf>
    <xf numFmtId="2" fontId="0" fillId="2" borderId="0" xfId="0" applyNumberFormat="1" applyFill="1"/>
    <xf numFmtId="2" fontId="0" fillId="2" borderId="0" xfId="0" applyNumberFormat="1" applyFill="1" applyAlignment="1">
      <alignment horizontal="center" vertical="top" wrapText="1"/>
    </xf>
    <xf numFmtId="0" fontId="0" fillId="2" borderId="0" xfId="0" applyFill="1" applyAlignment="1">
      <alignment vertical="top" wrapText="1"/>
    </xf>
    <xf numFmtId="0" fontId="0" fillId="2" borderId="7" xfId="0" applyFill="1" applyBorder="1" applyAlignment="1">
      <alignment horizontal="justify" vertical="top" wrapText="1"/>
    </xf>
    <xf numFmtId="0" fontId="16" fillId="2" borderId="0" xfId="0" applyFont="1" applyFill="1" applyAlignment="1">
      <alignment horizontal="center" vertical="top" wrapText="1"/>
    </xf>
    <xf numFmtId="0" fontId="0" fillId="2" borderId="0" xfId="0" applyFill="1" applyAlignment="1">
      <alignment vertical="center" wrapText="1"/>
    </xf>
    <xf numFmtId="165" fontId="0" fillId="2" borderId="9" xfId="0" applyNumberFormat="1" applyFill="1" applyBorder="1" applyAlignment="1">
      <alignment horizontal="center" vertical="top" wrapText="1"/>
    </xf>
    <xf numFmtId="165" fontId="0" fillId="2" borderId="6" xfId="0" applyNumberFormat="1" applyFill="1" applyBorder="1" applyAlignment="1">
      <alignment horizontal="center" vertical="top" wrapText="1"/>
    </xf>
    <xf numFmtId="2" fontId="0" fillId="2" borderId="3" xfId="0" applyNumberFormat="1" applyFill="1" applyBorder="1" applyAlignment="1">
      <alignment horizontal="center" vertical="top" wrapText="1"/>
    </xf>
    <xf numFmtId="2" fontId="0" fillId="2" borderId="4" xfId="0" applyNumberFormat="1" applyFill="1" applyBorder="1" applyAlignment="1">
      <alignment horizontal="center" vertical="top" wrapText="1"/>
    </xf>
    <xf numFmtId="165" fontId="0" fillId="2" borderId="7" xfId="0" applyNumberFormat="1" applyFill="1" applyBorder="1" applyAlignment="1">
      <alignment horizontal="center" vertical="top" wrapText="1"/>
    </xf>
    <xf numFmtId="0" fontId="34" fillId="2" borderId="0" xfId="0" applyFont="1" applyFill="1" applyAlignment="1">
      <alignment vertical="top" wrapText="1"/>
    </xf>
    <xf numFmtId="0" fontId="16" fillId="2" borderId="12" xfId="0" applyFont="1" applyFill="1" applyBorder="1" applyAlignment="1">
      <alignment horizontal="center" vertical="top" wrapText="1"/>
    </xf>
    <xf numFmtId="0" fontId="22" fillId="2" borderId="9" xfId="0" applyFont="1" applyFill="1" applyBorder="1"/>
    <xf numFmtId="0" fontId="0" fillId="2" borderId="17" xfId="0" applyFill="1" applyBorder="1"/>
    <xf numFmtId="165" fontId="14" fillId="6" borderId="0" xfId="0" applyNumberFormat="1" applyFont="1" applyFill="1" applyAlignment="1">
      <alignment horizontal="center"/>
    </xf>
    <xf numFmtId="168" fontId="8" fillId="2" borderId="0" xfId="0" applyNumberFormat="1" applyFont="1" applyFill="1" applyAlignment="1">
      <alignment horizontal="center"/>
    </xf>
    <xf numFmtId="165" fontId="8" fillId="11" borderId="0" xfId="0" applyNumberFormat="1" applyFont="1" applyFill="1" applyAlignment="1">
      <alignment horizontal="center"/>
    </xf>
    <xf numFmtId="165" fontId="8" fillId="11" borderId="6" xfId="0" applyNumberFormat="1" applyFont="1" applyFill="1" applyBorder="1" applyAlignment="1">
      <alignment horizontal="center"/>
    </xf>
    <xf numFmtId="165" fontId="0" fillId="2" borderId="0" xfId="0" applyNumberFormat="1" applyFill="1" applyAlignment="1">
      <alignment horizontal="center" vertical="top" wrapText="1"/>
    </xf>
    <xf numFmtId="0" fontId="8" fillId="2" borderId="11" xfId="0" applyFont="1" applyFill="1" applyBorder="1" applyAlignment="1">
      <alignment horizontal="center"/>
    </xf>
    <xf numFmtId="169" fontId="8" fillId="2" borderId="0" xfId="0" applyNumberFormat="1" applyFont="1" applyFill="1"/>
    <xf numFmtId="2" fontId="8" fillId="11" borderId="0" xfId="0" applyNumberFormat="1" applyFont="1" applyFill="1" applyAlignment="1">
      <alignment horizontal="center"/>
    </xf>
    <xf numFmtId="2" fontId="8" fillId="11" borderId="6" xfId="0" applyNumberFormat="1" applyFont="1" applyFill="1" applyBorder="1" applyAlignment="1">
      <alignment horizontal="center"/>
    </xf>
    <xf numFmtId="2" fontId="37" fillId="2" borderId="0" xfId="0" applyNumberFormat="1" applyFont="1" applyFill="1" applyAlignment="1">
      <alignment horizontal="center"/>
    </xf>
    <xf numFmtId="2" fontId="14" fillId="2" borderId="0" xfId="0" applyNumberFormat="1" applyFont="1" applyFill="1" applyAlignment="1">
      <alignment horizontal="center"/>
    </xf>
    <xf numFmtId="2" fontId="14" fillId="2" borderId="6" xfId="0" applyNumberFormat="1" applyFont="1" applyFill="1" applyBorder="1" applyAlignment="1">
      <alignment horizontal="center"/>
    </xf>
    <xf numFmtId="165" fontId="8" fillId="13" borderId="0" xfId="0" applyNumberFormat="1" applyFont="1" applyFill="1" applyAlignment="1">
      <alignment horizontal="center"/>
    </xf>
    <xf numFmtId="0" fontId="0" fillId="2" borderId="0" xfId="0" applyFont="1" applyFill="1"/>
    <xf numFmtId="0" fontId="0" fillId="2" borderId="0" xfId="0" applyFill="1" applyBorder="1"/>
    <xf numFmtId="0" fontId="0" fillId="2" borderId="0" xfId="0" applyFill="1" applyBorder="1" applyAlignment="1">
      <alignment horizontal="left" vertical="center" wrapText="1"/>
    </xf>
    <xf numFmtId="0" fontId="0" fillId="2" borderId="8" xfId="0" applyFill="1" applyBorder="1" applyAlignment="1">
      <alignment horizontal="left" vertical="center" wrapText="1"/>
    </xf>
    <xf numFmtId="165" fontId="0" fillId="2" borderId="5" xfId="0" applyNumberFormat="1" applyFill="1" applyBorder="1" applyAlignment="1">
      <alignment horizontal="center" vertical="top" wrapText="1"/>
    </xf>
    <xf numFmtId="165" fontId="0" fillId="2" borderId="0" xfId="0" applyNumberFormat="1" applyFill="1" applyBorder="1" applyAlignment="1">
      <alignment horizontal="center" vertical="top" wrapText="1"/>
    </xf>
    <xf numFmtId="165" fontId="0" fillId="2" borderId="3" xfId="0" applyNumberFormat="1" applyFill="1" applyBorder="1" applyAlignment="1">
      <alignment horizontal="center" vertical="top" wrapText="1"/>
    </xf>
    <xf numFmtId="165" fontId="0" fillId="2" borderId="8" xfId="0" applyNumberFormat="1" applyFill="1" applyBorder="1" applyAlignment="1">
      <alignment horizontal="center" vertical="top" wrapText="1"/>
    </xf>
    <xf numFmtId="0" fontId="0" fillId="2" borderId="5" xfId="0" applyFill="1" applyBorder="1" applyAlignment="1">
      <alignment horizontal="left" vertical="center"/>
    </xf>
    <xf numFmtId="0" fontId="0" fillId="2" borderId="18" xfId="0" applyFill="1" applyBorder="1"/>
    <xf numFmtId="0" fontId="0" fillId="2" borderId="1" xfId="0" applyFill="1" applyBorder="1" applyAlignment="1">
      <alignment horizontal="center" vertical="center"/>
    </xf>
    <xf numFmtId="0" fontId="2" fillId="5" borderId="0" xfId="12" applyFill="1"/>
    <xf numFmtId="0" fontId="2" fillId="2" borderId="7" xfId="12" applyFill="1" applyBorder="1"/>
    <xf numFmtId="0" fontId="2" fillId="2" borderId="9" xfId="12" applyFill="1" applyBorder="1"/>
    <xf numFmtId="0" fontId="2" fillId="5" borderId="0" xfId="12" applyFill="1" applyAlignment="1">
      <alignment vertical="top"/>
    </xf>
    <xf numFmtId="0" fontId="2" fillId="2" borderId="8" xfId="12" applyFill="1" applyBorder="1"/>
    <xf numFmtId="0" fontId="2" fillId="2" borderId="5" xfId="12" applyFill="1" applyBorder="1"/>
    <xf numFmtId="0" fontId="26" fillId="2" borderId="0" xfId="12" applyFont="1" applyFill="1" applyAlignment="1">
      <alignment vertical="center" wrapText="1"/>
    </xf>
    <xf numFmtId="0" fontId="26" fillId="2" borderId="0" xfId="12" applyFont="1" applyFill="1" applyAlignment="1">
      <alignment horizontal="justify" wrapText="1"/>
    </xf>
    <xf numFmtId="0" fontId="26" fillId="2" borderId="0" xfId="12" applyFont="1" applyFill="1" applyAlignment="1">
      <alignment horizontal="justify" vertical="top" wrapText="1"/>
    </xf>
    <xf numFmtId="165" fontId="32" fillId="2" borderId="0" xfId="12" applyNumberFormat="1" applyFont="1" applyFill="1" applyAlignment="1">
      <alignment horizontal="center"/>
    </xf>
    <xf numFmtId="0" fontId="26" fillId="2" borderId="0" xfId="12" applyFont="1" applyFill="1" applyAlignment="1">
      <alignment horizontal="justify" vertical="justify" wrapText="1"/>
    </xf>
    <xf numFmtId="165" fontId="32" fillId="4" borderId="0" xfId="12" applyNumberFormat="1" applyFont="1" applyFill="1" applyAlignment="1">
      <alignment horizontal="center"/>
    </xf>
    <xf numFmtId="165" fontId="32" fillId="13" borderId="0" xfId="12" applyNumberFormat="1" applyFont="1" applyFill="1" applyAlignment="1">
      <alignment horizontal="center"/>
    </xf>
    <xf numFmtId="165" fontId="32" fillId="3" borderId="0" xfId="12" applyNumberFormat="1" applyFont="1" applyFill="1" applyAlignment="1">
      <alignment horizontal="center"/>
    </xf>
    <xf numFmtId="0" fontId="26" fillId="8" borderId="0" xfId="12" applyFont="1" applyFill="1"/>
    <xf numFmtId="0" fontId="26" fillId="9" borderId="0" xfId="12" applyFont="1" applyFill="1" applyAlignment="1">
      <alignment horizontal="justify" wrapText="1"/>
    </xf>
    <xf numFmtId="165" fontId="32" fillId="6" borderId="0" xfId="12" applyNumberFormat="1" applyFont="1" applyFill="1" applyAlignment="1">
      <alignment horizontal="center"/>
    </xf>
    <xf numFmtId="0" fontId="26" fillId="2" borderId="0" xfId="12" applyFont="1" applyFill="1" applyAlignment="1">
      <alignment horizontal="left" vertical="center" wrapText="1"/>
    </xf>
    <xf numFmtId="165" fontId="32" fillId="11" borderId="0" xfId="12" applyNumberFormat="1" applyFont="1" applyFill="1" applyAlignment="1">
      <alignment horizontal="center"/>
    </xf>
    <xf numFmtId="165" fontId="32" fillId="5" borderId="0" xfId="12" applyNumberFormat="1" applyFont="1" applyFill="1" applyAlignment="1">
      <alignment horizontal="center"/>
    </xf>
    <xf numFmtId="0" fontId="26" fillId="2" borderId="0" xfId="12" applyFont="1" applyFill="1" applyAlignment="1">
      <alignment horizontal="left" wrapText="1"/>
    </xf>
    <xf numFmtId="0" fontId="2" fillId="5" borderId="0" xfId="12" applyFill="1" applyAlignment="1">
      <alignment vertical="top" wrapText="1"/>
    </xf>
    <xf numFmtId="0" fontId="26" fillId="7" borderId="0" xfId="12" applyFont="1" applyFill="1" applyAlignment="1">
      <alignment horizontal="justify" wrapText="1"/>
    </xf>
    <xf numFmtId="0" fontId="25" fillId="5" borderId="0" xfId="12" applyFont="1" applyFill="1"/>
    <xf numFmtId="0" fontId="26" fillId="2" borderId="0" xfId="12" applyFont="1" applyFill="1"/>
    <xf numFmtId="0" fontId="27" fillId="2" borderId="0" xfId="12" applyFont="1" applyFill="1"/>
    <xf numFmtId="0" fontId="2" fillId="2" borderId="4" xfId="12" applyFill="1" applyBorder="1"/>
    <xf numFmtId="0" fontId="2" fillId="2" borderId="3" xfId="12" applyFill="1" applyBorder="1"/>
    <xf numFmtId="0" fontId="2" fillId="2" borderId="2" xfId="12" applyFill="1" applyBorder="1"/>
    <xf numFmtId="0" fontId="2" fillId="2" borderId="6" xfId="12" applyFill="1" applyBorder="1"/>
    <xf numFmtId="0" fontId="2" fillId="2" borderId="0" xfId="12" applyFill="1"/>
    <xf numFmtId="0" fontId="26" fillId="2" borderId="3" xfId="12" applyFont="1" applyFill="1" applyBorder="1"/>
    <xf numFmtId="0" fontId="0" fillId="2" borderId="0" xfId="0" applyFill="1" applyAlignment="1">
      <alignment horizontal="justify" vertical="top" wrapText="1"/>
    </xf>
    <xf numFmtId="165" fontId="8" fillId="3" borderId="6" xfId="0" applyNumberFormat="1"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6" fillId="2" borderId="0" xfId="0" applyFont="1" applyFill="1" applyAlignment="1">
      <alignment horizontal="center" vertical="center" wrapText="1"/>
    </xf>
    <xf numFmtId="1" fontId="8" fillId="2" borderId="7" xfId="0" applyNumberFormat="1" applyFont="1" applyFill="1" applyBorder="1" applyAlignment="1" applyProtection="1">
      <alignment horizontal="center"/>
      <protection locked="0"/>
    </xf>
    <xf numFmtId="2" fontId="0" fillId="12" borderId="19" xfId="0" quotePrefix="1" applyNumberFormat="1" applyFill="1" applyBorder="1" applyAlignment="1" applyProtection="1">
      <alignment horizontal="center" vertical="center"/>
      <protection locked="0"/>
    </xf>
    <xf numFmtId="0" fontId="16" fillId="2" borderId="0" xfId="0" applyFont="1" applyFill="1" applyBorder="1"/>
    <xf numFmtId="2" fontId="0" fillId="2" borderId="2" xfId="0" applyNumberFormat="1" applyFill="1" applyBorder="1" applyAlignment="1">
      <alignment horizontal="center" vertical="top" wrapText="1"/>
    </xf>
    <xf numFmtId="0" fontId="0" fillId="2" borderId="9" xfId="0" applyFill="1" applyBorder="1" applyAlignment="1">
      <alignment horizontal="left" vertical="center"/>
    </xf>
    <xf numFmtId="0" fontId="0" fillId="2" borderId="0" xfId="0" applyFill="1" applyBorder="1" applyAlignment="1">
      <alignment horizontal="left" vertical="center"/>
    </xf>
    <xf numFmtId="0" fontId="0" fillId="2" borderId="8" xfId="0" applyFill="1" applyBorder="1" applyAlignment="1">
      <alignment horizontal="left" vertical="center"/>
    </xf>
    <xf numFmtId="0" fontId="0" fillId="2" borderId="3" xfId="0" applyFill="1" applyBorder="1" applyAlignment="1">
      <alignment vertical="center"/>
    </xf>
    <xf numFmtId="2" fontId="0" fillId="2" borderId="0" xfId="0" applyNumberFormat="1" applyFill="1" applyBorder="1" applyAlignment="1">
      <alignment horizontal="center"/>
    </xf>
    <xf numFmtId="0" fontId="22" fillId="2" borderId="0" xfId="0" applyFont="1" applyFill="1" applyBorder="1" applyAlignment="1"/>
    <xf numFmtId="165" fontId="0" fillId="2" borderId="0" xfId="0" applyNumberFormat="1" applyFill="1" applyBorder="1" applyAlignment="1">
      <alignment horizontal="center"/>
    </xf>
    <xf numFmtId="0" fontId="0" fillId="2" borderId="6" xfId="0" applyFill="1" applyBorder="1" applyAlignment="1">
      <alignment horizontal="left" vertical="center"/>
    </xf>
    <xf numFmtId="2" fontId="0" fillId="2" borderId="6" xfId="0" applyNumberFormat="1" applyFill="1" applyBorder="1" applyAlignment="1">
      <alignment horizontal="center"/>
    </xf>
    <xf numFmtId="0" fontId="0" fillId="14" borderId="1" xfId="0" applyFill="1" applyBorder="1" applyAlignment="1">
      <alignment horizontal="center" vertical="center" wrapText="1"/>
    </xf>
    <xf numFmtId="0" fontId="0" fillId="2" borderId="0" xfId="0" applyFill="1" applyBorder="1" applyAlignment="1">
      <alignment vertical="center"/>
    </xf>
    <xf numFmtId="169" fontId="14" fillId="2" borderId="0" xfId="0" applyNumberFormat="1" applyFont="1" applyFill="1" applyAlignment="1" applyProtection="1">
      <alignment horizontal="left"/>
      <protection locked="0"/>
    </xf>
    <xf numFmtId="165" fontId="14" fillId="11" borderId="2" xfId="0" applyNumberFormat="1" applyFont="1" applyFill="1" applyBorder="1" applyAlignment="1" applyProtection="1">
      <alignment horizontal="center"/>
      <protection locked="0"/>
    </xf>
    <xf numFmtId="165" fontId="14" fillId="11" borderId="4" xfId="0" applyNumberFormat="1" applyFont="1" applyFill="1" applyBorder="1" applyAlignment="1" applyProtection="1">
      <alignment horizontal="center"/>
      <protection locked="0"/>
    </xf>
    <xf numFmtId="165" fontId="14" fillId="11" borderId="9" xfId="0" applyNumberFormat="1" applyFont="1" applyFill="1" applyBorder="1" applyAlignment="1" applyProtection="1">
      <alignment horizontal="center"/>
      <protection locked="0"/>
    </xf>
    <xf numFmtId="165" fontId="14" fillId="11" borderId="7" xfId="0" applyNumberFormat="1" applyFont="1" applyFill="1" applyBorder="1" applyAlignment="1" applyProtection="1">
      <alignment horizontal="center"/>
      <protection locked="0"/>
    </xf>
    <xf numFmtId="0" fontId="1" fillId="5" borderId="0" xfId="6" applyFont="1" applyFill="1" applyAlignment="1">
      <alignment vertical="top" wrapText="1"/>
    </xf>
    <xf numFmtId="0" fontId="16" fillId="2" borderId="1" xfId="0" applyFont="1" applyFill="1" applyBorder="1" applyAlignment="1">
      <alignment horizontal="center" vertical="center" wrapText="1"/>
    </xf>
    <xf numFmtId="0" fontId="16" fillId="2" borderId="5" xfId="0" applyFont="1" applyFill="1" applyBorder="1" applyAlignment="1">
      <alignment vertical="center"/>
    </xf>
    <xf numFmtId="0" fontId="16" fillId="2" borderId="5" xfId="0" applyFont="1" applyFill="1" applyBorder="1" applyAlignment="1">
      <alignment horizontal="center" vertical="center" wrapText="1"/>
    </xf>
    <xf numFmtId="0" fontId="26" fillId="2" borderId="0" xfId="6" applyFont="1" applyFill="1" applyAlignment="1">
      <alignment horizontal="justify" vertical="top" wrapText="1"/>
    </xf>
    <xf numFmtId="0" fontId="14" fillId="2" borderId="0" xfId="0" applyFont="1" applyFill="1" applyAlignment="1" applyProtection="1">
      <alignment horizontal="left"/>
      <protection locked="0"/>
    </xf>
    <xf numFmtId="0" fontId="14" fillId="2" borderId="0" xfId="0" applyFont="1" applyFill="1" applyProtection="1">
      <protection locked="0"/>
    </xf>
    <xf numFmtId="0" fontId="12" fillId="2" borderId="0" xfId="0" applyFont="1" applyFill="1" applyProtection="1">
      <protection locked="0"/>
    </xf>
    <xf numFmtId="0" fontId="26" fillId="10" borderId="0" xfId="6" applyFont="1" applyFill="1" applyAlignment="1">
      <alignment horizontal="justify" wrapText="1"/>
    </xf>
    <xf numFmtId="0" fontId="26" fillId="16" borderId="0" xfId="6" applyFont="1" applyFill="1" applyAlignment="1">
      <alignment horizontal="justify" wrapText="1"/>
    </xf>
    <xf numFmtId="0" fontId="38" fillId="2" borderId="0" xfId="0" applyFont="1" applyFill="1" applyAlignment="1">
      <alignment horizontal="left" indent="1"/>
    </xf>
    <xf numFmtId="165" fontId="14" fillId="2" borderId="3" xfId="0" applyNumberFormat="1" applyFont="1" applyFill="1" applyBorder="1" applyAlignment="1">
      <alignment horizontal="center"/>
    </xf>
    <xf numFmtId="0" fontId="0" fillId="0" borderId="0" xfId="0" applyFont="1"/>
    <xf numFmtId="165" fontId="0" fillId="2" borderId="0" xfId="0" applyNumberFormat="1" applyFont="1" applyFill="1" applyAlignment="1">
      <alignment horizontal="center" vertical="center"/>
    </xf>
    <xf numFmtId="0" fontId="0" fillId="2" borderId="0" xfId="0" applyFont="1" applyFill="1" applyAlignment="1">
      <alignment horizontal="center" vertical="top"/>
    </xf>
    <xf numFmtId="0" fontId="0" fillId="18" borderId="0" xfId="0" applyFont="1" applyFill="1" applyAlignment="1">
      <alignment horizontal="center" vertical="top"/>
    </xf>
    <xf numFmtId="0" fontId="0" fillId="18" borderId="0" xfId="0" applyFont="1" applyFill="1" applyAlignment="1">
      <alignment vertical="top"/>
    </xf>
    <xf numFmtId="0" fontId="16" fillId="0" borderId="0" xfId="0" applyFont="1" applyFill="1" applyAlignment="1">
      <alignment horizontal="left" vertical="center"/>
    </xf>
    <xf numFmtId="0" fontId="39" fillId="17" borderId="0" xfId="0" applyFont="1" applyFill="1" applyAlignment="1">
      <alignment horizontal="left" vertical="center"/>
    </xf>
    <xf numFmtId="0" fontId="0" fillId="17" borderId="0" xfId="0" applyFont="1" applyFill="1" applyAlignment="1">
      <alignment vertical="top"/>
    </xf>
    <xf numFmtId="0" fontId="18" fillId="17" borderId="0" xfId="0" applyFont="1" applyFill="1" applyAlignment="1">
      <alignment horizontal="center" vertical="top"/>
    </xf>
    <xf numFmtId="0" fontId="18" fillId="17" borderId="0" xfId="0" applyFont="1" applyFill="1" applyAlignment="1">
      <alignment horizontal="center"/>
    </xf>
    <xf numFmtId="0" fontId="40" fillId="17" borderId="0" xfId="0" applyFont="1" applyFill="1" applyAlignment="1">
      <alignment horizontal="center" vertical="center" wrapText="1"/>
    </xf>
    <xf numFmtId="0" fontId="39" fillId="17" borderId="0" xfId="0" applyFont="1" applyFill="1" applyAlignment="1">
      <alignment horizontal="center" vertical="center" wrapText="1"/>
    </xf>
    <xf numFmtId="0" fontId="35" fillId="18" borderId="0" xfId="0" applyFont="1" applyFill="1" applyAlignment="1">
      <alignment horizontal="left" vertical="top" wrapText="1"/>
    </xf>
    <xf numFmtId="0" fontId="21" fillId="18" borderId="0" xfId="0" applyFont="1" applyFill="1" applyAlignment="1">
      <alignment horizontal="center"/>
    </xf>
    <xf numFmtId="0" fontId="0" fillId="18" borderId="0" xfId="0" applyFont="1" applyFill="1" applyAlignment="1">
      <alignment horizontal="left"/>
    </xf>
    <xf numFmtId="0" fontId="35" fillId="18" borderId="0" xfId="0" applyFont="1" applyFill="1" applyAlignment="1">
      <alignment horizontal="left" vertical="top" wrapText="1" indent="1"/>
    </xf>
    <xf numFmtId="0" fontId="35" fillId="18" borderId="0" xfId="0" applyFont="1" applyFill="1" applyAlignment="1">
      <alignment vertical="top"/>
    </xf>
    <xf numFmtId="0" fontId="35" fillId="18" borderId="0" xfId="0" applyFont="1" applyFill="1" applyAlignment="1">
      <alignment horizontal="left" wrapText="1"/>
    </xf>
    <xf numFmtId="0" fontId="0" fillId="17" borderId="0" xfId="0" applyFont="1" applyFill="1"/>
    <xf numFmtId="1" fontId="39" fillId="17" borderId="0" xfId="0" applyNumberFormat="1" applyFont="1" applyFill="1" applyAlignment="1">
      <alignment horizontal="center" vertical="center" wrapText="1"/>
    </xf>
    <xf numFmtId="2" fontId="0" fillId="2" borderId="0" xfId="0" applyNumberFormat="1" applyFont="1" applyFill="1" applyAlignment="1">
      <alignment horizontal="center" vertical="center"/>
    </xf>
    <xf numFmtId="165" fontId="21" fillId="2" borderId="0" xfId="0" applyNumberFormat="1" applyFont="1" applyFill="1" applyAlignment="1">
      <alignment horizontal="center" vertical="center"/>
    </xf>
    <xf numFmtId="0" fontId="21" fillId="2" borderId="0" xfId="0" applyFont="1" applyFill="1" applyAlignment="1">
      <alignment horizontal="center" vertical="center"/>
    </xf>
    <xf numFmtId="0" fontId="0" fillId="2" borderId="0" xfId="0" applyFont="1" applyFill="1" applyAlignment="1">
      <alignment vertical="top"/>
    </xf>
    <xf numFmtId="0" fontId="16" fillId="2" borderId="0" xfId="0" applyFont="1" applyFill="1" applyAlignment="1">
      <alignment horizontal="left" vertical="center"/>
    </xf>
    <xf numFmtId="0" fontId="0" fillId="18" borderId="0" xfId="0" applyFont="1" applyFill="1" applyAlignment="1">
      <alignment horizontal="center"/>
    </xf>
    <xf numFmtId="165" fontId="21" fillId="0" borderId="0" xfId="0" applyNumberFormat="1" applyFont="1" applyAlignment="1">
      <alignment horizontal="center" vertical="center"/>
    </xf>
    <xf numFmtId="0" fontId="42" fillId="2" borderId="0" xfId="0" applyFont="1" applyFill="1" applyAlignment="1">
      <alignment vertical="center" wrapText="1"/>
    </xf>
    <xf numFmtId="165" fontId="8" fillId="2" borderId="0" xfId="0" applyNumberFormat="1" applyFont="1" applyFill="1" applyAlignment="1">
      <alignment horizontal="center" vertical="center"/>
    </xf>
    <xf numFmtId="0" fontId="26" fillId="2" borderId="0" xfId="12" applyFont="1" applyFill="1" applyAlignment="1">
      <alignment horizontal="justify" vertical="top" wrapText="1"/>
    </xf>
    <xf numFmtId="0" fontId="26" fillId="19" borderId="0" xfId="6" applyFont="1" applyFill="1" applyAlignment="1">
      <alignment horizontal="justify" wrapText="1"/>
    </xf>
    <xf numFmtId="0" fontId="43" fillId="2" borderId="0" xfId="0" applyFont="1" applyFill="1" applyAlignment="1">
      <alignment vertical="center" wrapText="1"/>
    </xf>
    <xf numFmtId="0" fontId="35" fillId="2" borderId="0" xfId="0" applyFont="1" applyFill="1"/>
    <xf numFmtId="0" fontId="21" fillId="2" borderId="0" xfId="0" applyFont="1" applyFill="1" applyAlignment="1">
      <alignment horizontal="center"/>
    </xf>
    <xf numFmtId="165" fontId="21" fillId="2" borderId="0" xfId="0" applyNumberFormat="1" applyFont="1" applyFill="1" applyAlignment="1">
      <alignment horizontal="center"/>
    </xf>
    <xf numFmtId="0" fontId="34" fillId="2" borderId="0" xfId="0" quotePrefix="1" applyFont="1" applyFill="1" applyAlignment="1">
      <alignment horizontal="center" vertical="center"/>
    </xf>
    <xf numFmtId="165" fontId="14" fillId="2" borderId="0" xfId="0" applyNumberFormat="1" applyFont="1" applyFill="1" applyAlignment="1" applyProtection="1">
      <alignment horizontal="left"/>
      <protection locked="0"/>
    </xf>
    <xf numFmtId="1" fontId="14" fillId="20" borderId="0" xfId="0" applyNumberFormat="1" applyFont="1" applyFill="1" applyAlignment="1" applyProtection="1">
      <alignment horizontal="center"/>
      <protection locked="0"/>
    </xf>
    <xf numFmtId="0" fontId="26" fillId="2" borderId="0" xfId="12" applyFont="1" applyFill="1" applyAlignment="1">
      <alignment horizontal="justify" vertical="top" wrapText="1"/>
    </xf>
    <xf numFmtId="0" fontId="4" fillId="2" borderId="5" xfId="6" applyFill="1" applyBorder="1" applyAlignment="1">
      <alignment vertical="center"/>
    </xf>
    <xf numFmtId="0" fontId="26" fillId="7" borderId="0" xfId="6" applyFont="1" applyFill="1" applyAlignment="1">
      <alignment horizontal="justify" vertical="center" wrapText="1"/>
    </xf>
    <xf numFmtId="0" fontId="26" fillId="12" borderId="19" xfId="6" applyFont="1" applyFill="1" applyBorder="1" applyAlignment="1">
      <alignment vertical="center" wrapText="1"/>
    </xf>
    <xf numFmtId="0" fontId="4" fillId="2" borderId="8" xfId="6" applyFill="1" applyBorder="1" applyAlignment="1">
      <alignment vertical="center"/>
    </xf>
    <xf numFmtId="0" fontId="26" fillId="2" borderId="13" xfId="6" applyFont="1" applyFill="1" applyBorder="1" applyAlignment="1">
      <alignment vertical="center" wrapText="1"/>
    </xf>
    <xf numFmtId="0" fontId="26" fillId="2" borderId="0" xfId="6" applyFont="1" applyFill="1" applyAlignment="1">
      <alignment horizontal="justify" vertical="center" wrapText="1"/>
    </xf>
    <xf numFmtId="0" fontId="2" fillId="5" borderId="0" xfId="12" applyFill="1" applyAlignment="1">
      <alignment vertical="center"/>
    </xf>
    <xf numFmtId="0" fontId="2" fillId="5" borderId="0" xfId="12" applyFill="1" applyAlignment="1">
      <alignment vertical="center" wrapText="1"/>
    </xf>
    <xf numFmtId="2" fontId="0" fillId="2" borderId="10" xfId="0" applyNumberFormat="1" applyFill="1" applyBorder="1" applyAlignment="1">
      <alignment horizontal="center"/>
    </xf>
    <xf numFmtId="165" fontId="0" fillId="2" borderId="11" xfId="0" applyNumberFormat="1" applyFill="1" applyBorder="1" applyAlignment="1">
      <alignment horizontal="center" vertical="top" wrapText="1"/>
    </xf>
    <xf numFmtId="0" fontId="26" fillId="21" borderId="3" xfId="6" applyFont="1" applyFill="1" applyBorder="1" applyAlignment="1">
      <alignment vertical="center" wrapText="1"/>
    </xf>
    <xf numFmtId="2" fontId="21" fillId="2" borderId="0" xfId="0" applyNumberFormat="1" applyFont="1" applyFill="1"/>
    <xf numFmtId="165" fontId="0" fillId="2" borderId="12" xfId="0" applyNumberFormat="1" applyFill="1" applyBorder="1" applyAlignment="1">
      <alignment horizontal="center" vertical="top" wrapText="1"/>
    </xf>
    <xf numFmtId="0" fontId="26" fillId="2" borderId="0" xfId="12" applyFont="1" applyFill="1" applyAlignment="1">
      <alignment horizontal="justify" vertical="top" wrapText="1"/>
    </xf>
    <xf numFmtId="0" fontId="27" fillId="2" borderId="0" xfId="12" applyFont="1" applyFill="1" applyAlignment="1">
      <alignment horizontal="justify" vertical="justify" wrapText="1"/>
    </xf>
    <xf numFmtId="0" fontId="26" fillId="2" borderId="0" xfId="12" applyFont="1" applyFill="1" applyAlignment="1">
      <alignment horizontal="justify" vertical="justify" wrapText="1"/>
    </xf>
    <xf numFmtId="0" fontId="26" fillId="2" borderId="0" xfId="6" applyFont="1" applyFill="1" applyAlignment="1">
      <alignment horizontal="justify" vertical="top" wrapText="1"/>
    </xf>
    <xf numFmtId="0" fontId="26" fillId="2" borderId="20" xfId="6" applyFont="1" applyFill="1" applyBorder="1" applyAlignment="1">
      <alignment horizontal="left" vertical="center" wrapText="1"/>
    </xf>
    <xf numFmtId="0" fontId="26" fillId="2" borderId="0" xfId="6" applyFont="1" applyFill="1" applyAlignment="1">
      <alignment horizontal="left" vertical="center" wrapText="1"/>
    </xf>
    <xf numFmtId="0" fontId="26" fillId="2" borderId="0" xfId="6" applyFont="1" applyFill="1" applyBorder="1" applyAlignment="1">
      <alignment horizontal="left" vertical="center" wrapText="1"/>
    </xf>
    <xf numFmtId="0" fontId="26" fillId="2" borderId="0" xfId="6" applyFont="1" applyFill="1" applyAlignment="1">
      <alignment horizontal="justify" vertical="center" wrapText="1"/>
    </xf>
    <xf numFmtId="0" fontId="26" fillId="2" borderId="0" xfId="12" applyFont="1" applyFill="1" applyAlignment="1">
      <alignment horizontal="left" vertical="top" wrapText="1"/>
    </xf>
    <xf numFmtId="0" fontId="26" fillId="2" borderId="0" xfId="12" applyFont="1" applyFill="1" applyAlignment="1">
      <alignment horizontal="justify" vertical="center" wrapText="1"/>
    </xf>
    <xf numFmtId="0" fontId="26" fillId="2" borderId="6" xfId="12" applyFont="1" applyFill="1" applyBorder="1" applyAlignment="1">
      <alignment horizontal="justify" vertical="top" wrapText="1"/>
    </xf>
    <xf numFmtId="0" fontId="26" fillId="2" borderId="0" xfId="12" applyFont="1" applyFill="1" applyAlignment="1">
      <alignment horizontal="left" vertical="center" wrapText="1"/>
    </xf>
    <xf numFmtId="0" fontId="16" fillId="2" borderId="10" xfId="0" applyFont="1" applyFill="1" applyBorder="1" applyAlignment="1">
      <alignment horizontal="center"/>
    </xf>
    <xf numFmtId="0" fontId="16" fillId="2" borderId="11" xfId="0" applyFont="1" applyFill="1" applyBorder="1" applyAlignment="1">
      <alignment horizontal="center"/>
    </xf>
    <xf numFmtId="0" fontId="16" fillId="2" borderId="12" xfId="0" applyFont="1" applyFill="1" applyBorder="1" applyAlignment="1">
      <alignment horizontal="center"/>
    </xf>
    <xf numFmtId="0" fontId="16" fillId="2" borderId="9" xfId="0" applyFont="1" applyFill="1" applyBorder="1" applyAlignment="1">
      <alignment horizontal="center" vertical="center"/>
    </xf>
    <xf numFmtId="0" fontId="16" fillId="2" borderId="7" xfId="0" applyFont="1" applyFill="1" applyBorder="1" applyAlignment="1">
      <alignment horizontal="center" vertical="center"/>
    </xf>
    <xf numFmtId="0" fontId="0" fillId="2" borderId="10" xfId="0" applyFill="1" applyBorder="1" applyAlignment="1">
      <alignment horizontal="left" vertical="center"/>
    </xf>
    <xf numFmtId="0" fontId="0" fillId="2" borderId="11" xfId="0" applyFill="1" applyBorder="1" applyAlignment="1">
      <alignment horizontal="left" vertical="center"/>
    </xf>
    <xf numFmtId="0" fontId="0" fillId="2" borderId="12" xfId="0" applyFill="1" applyBorder="1" applyAlignment="1">
      <alignment horizontal="left" vertical="center"/>
    </xf>
    <xf numFmtId="0" fontId="36" fillId="2" borderId="10" xfId="0" applyFont="1" applyFill="1" applyBorder="1" applyAlignment="1">
      <alignment horizontal="center" vertical="center" wrapText="1"/>
    </xf>
    <xf numFmtId="0" fontId="36" fillId="2" borderId="11" xfId="0" applyFont="1" applyFill="1" applyBorder="1" applyAlignment="1">
      <alignment horizontal="center" vertical="center" wrapText="1"/>
    </xf>
    <xf numFmtId="0" fontId="36" fillId="2" borderId="12" xfId="0"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16" fillId="2" borderId="10" xfId="0" applyFont="1" applyFill="1" applyBorder="1" applyAlignment="1">
      <alignment horizontal="center" vertical="center" wrapText="1"/>
    </xf>
    <xf numFmtId="0" fontId="16" fillId="2" borderId="11" xfId="0" applyFont="1" applyFill="1" applyBorder="1" applyAlignment="1">
      <alignment horizontal="center" vertical="center"/>
    </xf>
    <xf numFmtId="0" fontId="16" fillId="2" borderId="12" xfId="0" applyFont="1" applyFill="1" applyBorder="1" applyAlignment="1">
      <alignment horizontal="center" vertical="center"/>
    </xf>
    <xf numFmtId="0" fontId="0" fillId="2" borderId="5" xfId="0" applyFill="1" applyBorder="1" applyAlignment="1">
      <alignment horizontal="left" vertical="center"/>
    </xf>
    <xf numFmtId="0" fontId="0" fillId="2" borderId="0" xfId="0" applyFill="1" applyBorder="1" applyAlignment="1">
      <alignment horizontal="left" vertical="center"/>
    </xf>
    <xf numFmtId="0" fontId="0" fillId="2" borderId="8" xfId="0" applyFill="1" applyBorder="1" applyAlignment="1">
      <alignment horizontal="left" vertical="center"/>
    </xf>
    <xf numFmtId="0" fontId="16" fillId="2" borderId="14" xfId="0" applyFont="1" applyFill="1" applyBorder="1" applyAlignment="1">
      <alignment horizontal="center" vertical="center" wrapText="1"/>
    </xf>
    <xf numFmtId="0" fontId="16" fillId="2" borderId="13" xfId="0" applyFont="1" applyFill="1" applyBorder="1" applyAlignment="1">
      <alignment horizontal="center" vertical="center" wrapText="1"/>
    </xf>
    <xf numFmtId="0" fontId="0" fillId="2" borderId="3" xfId="0" applyFill="1" applyBorder="1" applyAlignment="1">
      <alignment horizontal="justify" vertical="top"/>
    </xf>
    <xf numFmtId="0" fontId="16" fillId="2" borderId="10" xfId="0" applyFont="1" applyFill="1" applyBorder="1" applyAlignment="1">
      <alignment horizontal="center" vertical="center"/>
    </xf>
    <xf numFmtId="0" fontId="36" fillId="2" borderId="0" xfId="0" applyFont="1" applyFill="1" applyAlignment="1">
      <alignment horizontal="center" vertical="center" wrapText="1"/>
    </xf>
    <xf numFmtId="0" fontId="43" fillId="2" borderId="5" xfId="0" applyFont="1" applyFill="1" applyBorder="1" applyAlignment="1">
      <alignment horizontal="left" vertical="center" wrapText="1" indent="1"/>
    </xf>
    <xf numFmtId="0" fontId="43" fillId="2" borderId="0" xfId="0" applyFont="1" applyFill="1" applyAlignment="1">
      <alignment horizontal="left" vertical="center" wrapText="1" indent="1"/>
    </xf>
    <xf numFmtId="0" fontId="16" fillId="2" borderId="5" xfId="0" applyFont="1" applyFill="1" applyBorder="1" applyAlignment="1">
      <alignment horizontal="center" vertical="center" wrapText="1"/>
    </xf>
    <xf numFmtId="0" fontId="16" fillId="2" borderId="0" xfId="0" applyFont="1" applyFill="1" applyBorder="1" applyAlignment="1">
      <alignment horizontal="center" vertical="center" wrapText="1"/>
    </xf>
  </cellXfs>
  <cellStyles count="14">
    <cellStyle name="Hyperlink 2" xfId="4" xr:uid="{00000000-0005-0000-0000-000000000000}"/>
    <cellStyle name="Normal" xfId="0" builtinId="0"/>
    <cellStyle name="Normal 2" xfId="3" xr:uid="{00000000-0005-0000-0000-000002000000}"/>
    <cellStyle name="Normal 2 2" xfId="5" xr:uid="{00000000-0005-0000-0000-000003000000}"/>
    <cellStyle name="Normal 2 2 2" xfId="6" xr:uid="{00000000-0005-0000-0000-000004000000}"/>
    <cellStyle name="Normal 2 2 2 2" xfId="11" xr:uid="{D0E23963-54C4-40C3-A08B-C51BBEBC5911}"/>
    <cellStyle name="Normal 2 2 2 3" xfId="12" xr:uid="{E686E16B-8FF5-42A3-854C-C9783938C00C}"/>
    <cellStyle name="Normal 2 2 3" xfId="10" xr:uid="{8E0939B2-890A-4E4A-9A67-9A990C4259EA}"/>
    <cellStyle name="Normal 2 3" xfId="9" xr:uid="{6D6AF9E9-B81E-4C25-8D2A-8C5EC56A28D7}"/>
    <cellStyle name="Normal 4 5" xfId="13" xr:uid="{961F5BD5-E2A8-4CCD-93A3-2FC6DE1553AE}"/>
    <cellStyle name="Normal 5" xfId="2" xr:uid="{00000000-0005-0000-0000-000005000000}"/>
    <cellStyle name="Normal 5 2" xfId="8" xr:uid="{BE5ABAF7-F156-47EA-94C7-F5604FBB16A1}"/>
    <cellStyle name="Normal 6" xfId="1" xr:uid="{00000000-0005-0000-0000-000006000000}"/>
    <cellStyle name="Normal 6 2" xfId="7" xr:uid="{D760FB6E-0ACD-4E7B-8A23-51253FCE930B}"/>
  </cellStyles>
  <dxfs count="15">
    <dxf>
      <font>
        <color theme="0"/>
      </font>
      <fill>
        <patternFill>
          <bgColor theme="0"/>
        </patternFill>
      </fill>
    </dxf>
    <dxf>
      <font>
        <color theme="0"/>
      </font>
      <fill>
        <patternFill>
          <bgColor theme="0"/>
        </patternFill>
      </fill>
    </dxf>
    <dxf>
      <font>
        <color theme="0"/>
      </font>
      <fill>
        <patternFill>
          <bgColor theme="0"/>
        </patternFill>
      </fill>
      <border>
        <left/>
        <right/>
        <top/>
        <bottom/>
      </border>
    </dxf>
    <dxf>
      <font>
        <color theme="0"/>
      </font>
      <fill>
        <patternFill patternType="solid">
          <bgColor theme="0"/>
        </patternFill>
      </fill>
      <border>
        <left/>
        <right/>
        <top/>
        <bottom/>
        <vertical/>
        <horizontal/>
      </border>
    </dxf>
    <dxf>
      <fill>
        <patternFill>
          <bgColor theme="0" tint="-0.14996795556505021"/>
        </patternFill>
      </fill>
    </dxf>
    <dxf>
      <font>
        <color theme="0"/>
      </font>
      <fill>
        <patternFill>
          <bgColor theme="0"/>
        </patternFill>
      </fill>
      <border>
        <left/>
        <right/>
        <top/>
        <bottom/>
      </border>
    </dxf>
    <dxf>
      <fill>
        <patternFill>
          <bgColor theme="0" tint="-0.14996795556505021"/>
        </patternFill>
      </fill>
    </dxf>
    <dxf>
      <font>
        <color theme="0"/>
      </font>
      <fill>
        <patternFill>
          <bgColor theme="0"/>
        </patternFill>
      </fill>
      <border>
        <left/>
        <right/>
        <top/>
        <bottom/>
      </border>
    </dxf>
    <dxf>
      <font>
        <b/>
        <i val="0"/>
        <color rgb="FF00B050"/>
      </font>
    </dxf>
    <dxf>
      <font>
        <b/>
        <i val="0"/>
        <color rgb="FF00B050"/>
      </font>
    </dxf>
    <dxf>
      <font>
        <color theme="5" tint="-0.499984740745262"/>
      </font>
      <fill>
        <patternFill>
          <bgColor rgb="FFFFC7CE"/>
        </patternFill>
      </fill>
    </dxf>
    <dxf>
      <font>
        <color rgb="FF9C0006"/>
      </font>
      <fill>
        <patternFill>
          <bgColor rgb="FFFFC7CE"/>
        </patternFill>
      </fill>
    </dxf>
    <dxf>
      <border>
        <left style="thin">
          <color auto="1"/>
        </left>
        <right/>
        <top/>
        <bottom/>
        <vertical/>
        <horizontal/>
      </border>
    </dxf>
    <dxf>
      <font>
        <strike val="0"/>
        <color theme="0"/>
      </font>
      <fill>
        <patternFill>
          <bgColor theme="0"/>
        </patternFill>
      </fill>
    </dxf>
    <dxf>
      <border>
        <left/>
        <right/>
        <top/>
        <bottom/>
        <vertical/>
        <horizontal/>
      </border>
    </dxf>
  </dxfs>
  <tableStyles count="0" defaultTableStyle="TableStyleMedium2" defaultPivotStyle="PivotStyleLight16"/>
  <colors>
    <mruColors>
      <color rgb="FFFFFFCC"/>
      <color rgb="FFF8A8ED"/>
      <color rgb="FFFFC7CE"/>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88354</xdr:colOff>
      <xdr:row>1</xdr:row>
      <xdr:rowOff>121091</xdr:rowOff>
    </xdr:from>
    <xdr:ext cx="2061795" cy="1405859"/>
    <xdr:pic>
      <xdr:nvPicPr>
        <xdr:cNvPr id="2" name="Picture 1">
          <a:extLst>
            <a:ext uri="{FF2B5EF4-FFF2-40B4-BE49-F238E27FC236}">
              <a16:creationId xmlns:a16="http://schemas.microsoft.com/office/drawing/2014/main" id="{83A349C9-0BCF-4E6E-A9EB-6BA36A335C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7479" y="283016"/>
          <a:ext cx="2061795" cy="140585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6</xdr:col>
      <xdr:colOff>94775</xdr:colOff>
      <xdr:row>4</xdr:row>
      <xdr:rowOff>47630</xdr:rowOff>
    </xdr:from>
    <xdr:to>
      <xdr:col>6</xdr:col>
      <xdr:colOff>597697</xdr:colOff>
      <xdr:row>6</xdr:row>
      <xdr:rowOff>146691</xdr:rowOff>
    </xdr:to>
    <xdr:sp macro="" textlink="">
      <xdr:nvSpPr>
        <xdr:cNvPr id="3" name="Arrow: Down 2">
          <a:extLst>
            <a:ext uri="{FF2B5EF4-FFF2-40B4-BE49-F238E27FC236}">
              <a16:creationId xmlns:a16="http://schemas.microsoft.com/office/drawing/2014/main" id="{7C5B919F-58C7-4F8B-84BA-C890F1B08B6D}"/>
            </a:ext>
          </a:extLst>
        </xdr:cNvPr>
        <xdr:cNvSpPr/>
      </xdr:nvSpPr>
      <xdr:spPr>
        <a:xfrm rot="5400000">
          <a:off x="5190174" y="691044"/>
          <a:ext cx="456249"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vert="vert270" lIns="0" tIns="72000" bIns="252000" rtlCol="0" anchor="t"/>
        <a:lstStyle/>
        <a:p>
          <a:pPr algn="l"/>
          <a:r>
            <a:rPr lang="en-IE" sz="1300" b="1"/>
            <a:t>2</a:t>
          </a:r>
        </a:p>
      </xdr:txBody>
    </xdr:sp>
    <xdr:clientData/>
  </xdr:twoCellAnchor>
  <xdr:twoCellAnchor>
    <xdr:from>
      <xdr:col>6</xdr:col>
      <xdr:colOff>97153</xdr:colOff>
      <xdr:row>5</xdr:row>
      <xdr:rowOff>50004</xdr:rowOff>
    </xdr:from>
    <xdr:to>
      <xdr:col>6</xdr:col>
      <xdr:colOff>600075</xdr:colOff>
      <xdr:row>7</xdr:row>
      <xdr:rowOff>149066</xdr:rowOff>
    </xdr:to>
    <xdr:sp macro="" textlink="">
      <xdr:nvSpPr>
        <xdr:cNvPr id="2" name="Arrow: Down 1">
          <a:extLst>
            <a:ext uri="{FF2B5EF4-FFF2-40B4-BE49-F238E27FC236}">
              <a16:creationId xmlns:a16="http://schemas.microsoft.com/office/drawing/2014/main" id="{3D2C05E0-A88D-48E7-9ADA-73E5BB4E2E1F}"/>
            </a:ext>
          </a:extLst>
        </xdr:cNvPr>
        <xdr:cNvSpPr/>
      </xdr:nvSpPr>
      <xdr:spPr>
        <a:xfrm rot="5400000">
          <a:off x="5192552" y="872012"/>
          <a:ext cx="456249"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vert="vert270" lIns="0" rtlCol="0" anchor="t"/>
        <a:lstStyle/>
        <a:p>
          <a:pPr algn="l"/>
          <a:r>
            <a:rPr lang="en-IE" sz="1400" b="1"/>
            <a:t>1</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B7DC54-38DF-4F97-8302-BDF605CAF2E1}">
  <we:reference id="dc57e6d2-28bf-4130-be1a-5961fe0ee311" version="1.0.0.0" store="https://eceuropaeu.sharepoint.com/sites/AppCatalog" storeType="SP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FIN-Secretariat-C2@ec.europa.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C6A2-7519-4767-918E-DF19313B0E34}">
  <sheetPr codeName="Sheet17">
    <tabColor theme="1"/>
  </sheetPr>
  <dimension ref="B2:V70"/>
  <sheetViews>
    <sheetView tabSelected="1" zoomScaleNormal="100" workbookViewId="0"/>
  </sheetViews>
  <sheetFormatPr defaultColWidth="9.28515625" defaultRowHeight="15" x14ac:dyDescent="0.25"/>
  <cols>
    <col min="1" max="3" width="9.28515625" style="196"/>
    <col min="4" max="4" width="7.28515625" style="196" customWidth="1"/>
    <col min="5" max="5" width="6.140625" style="196" customWidth="1"/>
    <col min="6" max="6" width="3.140625" style="196" customWidth="1"/>
    <col min="7" max="13" width="9.28515625" style="196"/>
    <col min="14" max="14" width="18.140625" style="196" customWidth="1"/>
    <col min="15" max="16384" width="9.28515625" style="196"/>
  </cols>
  <sheetData>
    <row r="2" spans="2:12" x14ac:dyDescent="0.25">
      <c r="B2" s="224"/>
      <c r="C2" s="223"/>
      <c r="D2" s="223"/>
      <c r="E2" s="223"/>
      <c r="F2" s="223"/>
      <c r="G2" s="227"/>
      <c r="H2" s="223"/>
      <c r="I2" s="223"/>
      <c r="J2" s="223"/>
      <c r="K2" s="223"/>
      <c r="L2" s="222"/>
    </row>
    <row r="3" spans="2:12" x14ac:dyDescent="0.25">
      <c r="B3" s="201"/>
      <c r="C3" s="226"/>
      <c r="D3" s="226"/>
      <c r="E3" s="226"/>
      <c r="F3" s="226"/>
      <c r="G3" s="220"/>
      <c r="H3" s="226"/>
      <c r="I3" s="226"/>
      <c r="J3" s="226"/>
      <c r="K3" s="226"/>
      <c r="L3" s="200"/>
    </row>
    <row r="4" spans="2:12" x14ac:dyDescent="0.25">
      <c r="B4" s="201"/>
      <c r="C4" s="226"/>
      <c r="D4" s="226"/>
      <c r="E4" s="226"/>
      <c r="F4" s="226"/>
      <c r="G4" s="221" t="s">
        <v>0</v>
      </c>
      <c r="H4" s="226"/>
      <c r="I4" s="226"/>
      <c r="J4" s="226"/>
      <c r="K4" s="226"/>
      <c r="L4" s="200"/>
    </row>
    <row r="5" spans="2:12" x14ac:dyDescent="0.25">
      <c r="B5" s="201"/>
      <c r="C5" s="226"/>
      <c r="D5" s="226"/>
      <c r="E5" s="226"/>
      <c r="F5" s="226"/>
      <c r="G5" s="220"/>
      <c r="H5" s="226"/>
      <c r="I5" s="226"/>
      <c r="J5" s="226"/>
      <c r="K5" s="226"/>
      <c r="L5" s="200"/>
    </row>
    <row r="6" spans="2:12" x14ac:dyDescent="0.25">
      <c r="B6" s="201"/>
      <c r="C6" s="226"/>
      <c r="D6" s="226"/>
      <c r="E6" s="226"/>
      <c r="F6" s="226"/>
      <c r="G6" s="220" t="s">
        <v>1</v>
      </c>
      <c r="H6" s="226"/>
      <c r="I6" s="226"/>
      <c r="J6" s="226"/>
      <c r="K6" s="226"/>
      <c r="L6" s="200"/>
    </row>
    <row r="7" spans="2:12" x14ac:dyDescent="0.25">
      <c r="B7" s="201"/>
      <c r="C7" s="226"/>
      <c r="D7" s="226"/>
      <c r="E7" s="226"/>
      <c r="F7" s="226"/>
      <c r="G7" s="220" t="s">
        <v>2</v>
      </c>
      <c r="H7" s="226"/>
      <c r="I7" s="226"/>
      <c r="J7" s="226"/>
      <c r="K7" s="226"/>
      <c r="L7" s="200"/>
    </row>
    <row r="8" spans="2:12" x14ac:dyDescent="0.25">
      <c r="B8" s="201"/>
      <c r="C8" s="226"/>
      <c r="D8" s="226"/>
      <c r="E8" s="226"/>
      <c r="F8" s="226"/>
      <c r="G8" s="144" t="s">
        <v>3</v>
      </c>
      <c r="H8" s="226"/>
      <c r="I8" s="226"/>
      <c r="J8" s="226"/>
      <c r="K8" s="226"/>
      <c r="L8" s="200"/>
    </row>
    <row r="9" spans="2:12" x14ac:dyDescent="0.25">
      <c r="B9" s="201"/>
      <c r="C9" s="226"/>
      <c r="D9" s="226"/>
      <c r="E9" s="226"/>
      <c r="F9" s="226"/>
      <c r="G9" s="220"/>
      <c r="H9" s="226"/>
      <c r="I9" s="226"/>
      <c r="J9" s="226"/>
      <c r="K9" s="226"/>
      <c r="L9" s="200"/>
    </row>
    <row r="10" spans="2:12" x14ac:dyDescent="0.25">
      <c r="B10" s="201"/>
      <c r="C10" s="226"/>
      <c r="D10" s="226"/>
      <c r="E10" s="226"/>
      <c r="F10" s="226"/>
      <c r="G10" s="220"/>
      <c r="H10" s="226"/>
      <c r="I10" s="226"/>
      <c r="J10" s="226"/>
      <c r="K10" s="226"/>
      <c r="L10" s="200"/>
    </row>
    <row r="11" spans="2:12" x14ac:dyDescent="0.25">
      <c r="B11" s="198"/>
      <c r="C11" s="225"/>
      <c r="D11" s="225"/>
      <c r="E11" s="225"/>
      <c r="F11" s="225"/>
      <c r="G11" s="225"/>
      <c r="H11" s="225"/>
      <c r="I11" s="225"/>
      <c r="J11" s="225"/>
      <c r="K11" s="225"/>
      <c r="L11" s="197"/>
    </row>
    <row r="15" spans="2:12" x14ac:dyDescent="0.25">
      <c r="B15" s="224"/>
      <c r="C15" s="223"/>
      <c r="D15" s="223"/>
      <c r="E15" s="223"/>
      <c r="F15" s="223"/>
      <c r="G15" s="223"/>
      <c r="H15" s="223"/>
      <c r="I15" s="223"/>
      <c r="J15" s="223"/>
      <c r="K15" s="223"/>
      <c r="L15" s="222"/>
    </row>
    <row r="16" spans="2:12" x14ac:dyDescent="0.25">
      <c r="B16" s="201"/>
      <c r="C16" s="221" t="s">
        <v>4</v>
      </c>
      <c r="D16" s="220"/>
      <c r="E16" s="220"/>
      <c r="F16" s="220"/>
      <c r="G16" s="220"/>
      <c r="H16" s="220"/>
      <c r="I16" s="220"/>
      <c r="J16" s="220"/>
      <c r="K16" s="220"/>
      <c r="L16" s="200"/>
    </row>
    <row r="17" spans="2:14" x14ac:dyDescent="0.25">
      <c r="B17" s="201"/>
      <c r="C17" s="220"/>
      <c r="D17" s="220"/>
      <c r="E17" s="220"/>
      <c r="F17" s="220"/>
      <c r="G17" s="221"/>
      <c r="H17" s="220"/>
      <c r="I17" s="220"/>
      <c r="J17" s="220"/>
      <c r="K17" s="220"/>
      <c r="L17" s="200"/>
    </row>
    <row r="18" spans="2:14" ht="15" customHeight="1" x14ac:dyDescent="0.25">
      <c r="B18" s="201"/>
      <c r="C18" s="317" t="s">
        <v>183</v>
      </c>
      <c r="D18" s="317"/>
      <c r="E18" s="317"/>
      <c r="F18" s="317"/>
      <c r="G18" s="317"/>
      <c r="H18" s="317"/>
      <c r="I18" s="317"/>
      <c r="J18" s="317"/>
      <c r="K18" s="317"/>
      <c r="L18" s="200"/>
    </row>
    <row r="19" spans="2:14" x14ac:dyDescent="0.25">
      <c r="B19" s="201"/>
      <c r="C19" s="317"/>
      <c r="D19" s="317"/>
      <c r="E19" s="317"/>
      <c r="F19" s="317"/>
      <c r="G19" s="317"/>
      <c r="H19" s="317"/>
      <c r="I19" s="317"/>
      <c r="J19" s="317"/>
      <c r="K19" s="317"/>
      <c r="L19" s="200"/>
    </row>
    <row r="20" spans="2:14" x14ac:dyDescent="0.25">
      <c r="B20" s="201"/>
      <c r="C20" s="317"/>
      <c r="D20" s="317"/>
      <c r="E20" s="317"/>
      <c r="F20" s="317"/>
      <c r="G20" s="317"/>
      <c r="H20" s="317"/>
      <c r="I20" s="317"/>
      <c r="J20" s="317"/>
      <c r="K20" s="317"/>
      <c r="L20" s="200"/>
    </row>
    <row r="21" spans="2:14" ht="9" customHeight="1" x14ac:dyDescent="0.25">
      <c r="B21" s="201"/>
      <c r="C21" s="220"/>
      <c r="D21" s="220"/>
      <c r="E21" s="220"/>
      <c r="F21" s="220"/>
      <c r="G21" s="220"/>
      <c r="H21" s="220"/>
      <c r="I21" s="220"/>
      <c r="J21" s="220"/>
      <c r="K21" s="220"/>
      <c r="L21" s="200"/>
    </row>
    <row r="22" spans="2:14" ht="15" customHeight="1" x14ac:dyDescent="0.25">
      <c r="B22" s="201"/>
      <c r="C22" s="317" t="s">
        <v>172</v>
      </c>
      <c r="D22" s="317"/>
      <c r="E22" s="317"/>
      <c r="F22" s="317"/>
      <c r="G22" s="317"/>
      <c r="H22" s="317"/>
      <c r="I22" s="317"/>
      <c r="J22" s="317"/>
      <c r="K22" s="317"/>
      <c r="L22" s="200"/>
    </row>
    <row r="23" spans="2:14" x14ac:dyDescent="0.25">
      <c r="B23" s="201"/>
      <c r="C23" s="317"/>
      <c r="D23" s="317"/>
      <c r="E23" s="317"/>
      <c r="F23" s="317"/>
      <c r="G23" s="317"/>
      <c r="H23" s="317"/>
      <c r="I23" s="317"/>
      <c r="J23" s="317"/>
      <c r="K23" s="317"/>
      <c r="L23" s="200"/>
    </row>
    <row r="24" spans="2:14" x14ac:dyDescent="0.25">
      <c r="B24" s="201"/>
      <c r="C24" s="317"/>
      <c r="D24" s="317"/>
      <c r="E24" s="317"/>
      <c r="F24" s="317"/>
      <c r="G24" s="317"/>
      <c r="H24" s="317"/>
      <c r="I24" s="317"/>
      <c r="J24" s="317"/>
      <c r="K24" s="317"/>
      <c r="L24" s="200"/>
    </row>
    <row r="25" spans="2:14" ht="37.9" customHeight="1" x14ac:dyDescent="0.25">
      <c r="B25" s="201"/>
      <c r="C25" s="317"/>
      <c r="D25" s="317"/>
      <c r="E25" s="317"/>
      <c r="F25" s="317"/>
      <c r="G25" s="317"/>
      <c r="H25" s="317"/>
      <c r="I25" s="317"/>
      <c r="J25" s="317"/>
      <c r="K25" s="317"/>
      <c r="L25" s="200"/>
      <c r="N25" s="199"/>
    </row>
    <row r="26" spans="2:14" x14ac:dyDescent="0.25">
      <c r="B26" s="201"/>
      <c r="C26" s="203"/>
      <c r="D26" s="203"/>
      <c r="E26" s="203"/>
      <c r="F26" s="203"/>
      <c r="G26" s="203"/>
      <c r="H26" s="203"/>
      <c r="I26" s="203"/>
      <c r="J26" s="203"/>
      <c r="K26" s="203"/>
      <c r="L26" s="200"/>
    </row>
    <row r="27" spans="2:14" x14ac:dyDescent="0.25">
      <c r="B27" s="201"/>
      <c r="C27" s="318" t="s">
        <v>5</v>
      </c>
      <c r="D27" s="318"/>
      <c r="E27" s="318"/>
      <c r="F27" s="318"/>
      <c r="G27" s="318"/>
      <c r="H27" s="318"/>
      <c r="I27" s="318"/>
      <c r="J27" s="318"/>
      <c r="K27" s="318"/>
      <c r="L27" s="200"/>
    </row>
    <row r="28" spans="2:14" x14ac:dyDescent="0.25">
      <c r="B28" s="201"/>
      <c r="C28" s="206"/>
      <c r="D28" s="206"/>
      <c r="E28" s="206"/>
      <c r="F28" s="206"/>
      <c r="G28" s="206"/>
      <c r="H28" s="206"/>
      <c r="I28" s="206"/>
      <c r="J28" s="206"/>
      <c r="K28" s="206"/>
      <c r="L28" s="200"/>
    </row>
    <row r="29" spans="2:14" ht="230.1" customHeight="1" x14ac:dyDescent="0.25">
      <c r="B29" s="201"/>
      <c r="C29" s="317" t="s">
        <v>195</v>
      </c>
      <c r="D29" s="317"/>
      <c r="E29" s="317"/>
      <c r="F29" s="317"/>
      <c r="G29" s="317"/>
      <c r="H29" s="317"/>
      <c r="I29" s="317"/>
      <c r="J29" s="317"/>
      <c r="K29" s="317"/>
      <c r="L29" s="200"/>
    </row>
    <row r="30" spans="2:14" x14ac:dyDescent="0.25">
      <c r="B30" s="201"/>
      <c r="C30" s="206"/>
      <c r="D30" s="206"/>
      <c r="E30" s="206"/>
      <c r="F30" s="206"/>
      <c r="G30" s="206"/>
      <c r="H30" s="206"/>
      <c r="I30" s="206"/>
      <c r="J30" s="206"/>
      <c r="K30" s="206"/>
      <c r="L30" s="200"/>
      <c r="N30" s="219"/>
    </row>
    <row r="31" spans="2:14" x14ac:dyDescent="0.25">
      <c r="B31" s="201"/>
      <c r="C31" s="319" t="s">
        <v>6</v>
      </c>
      <c r="D31" s="319"/>
      <c r="E31" s="319"/>
      <c r="F31" s="319"/>
      <c r="G31" s="319"/>
      <c r="H31" s="319"/>
      <c r="I31" s="319"/>
      <c r="J31" s="319"/>
      <c r="K31" s="319"/>
      <c r="L31" s="200"/>
    </row>
    <row r="32" spans="2:14" x14ac:dyDescent="0.25">
      <c r="B32" s="201"/>
      <c r="C32" s="203"/>
      <c r="D32" s="216"/>
      <c r="E32" s="216"/>
      <c r="F32" s="216"/>
      <c r="G32" s="216"/>
      <c r="H32" s="216"/>
      <c r="I32" s="216"/>
      <c r="J32" s="216"/>
      <c r="K32" s="216"/>
      <c r="L32" s="200"/>
    </row>
    <row r="33" spans="2:14" ht="33" customHeight="1" thickBot="1" x14ac:dyDescent="0.3">
      <c r="B33" s="142"/>
      <c r="C33" s="145"/>
      <c r="D33" s="320" t="s">
        <v>209</v>
      </c>
      <c r="E33" s="320"/>
      <c r="F33" s="320"/>
      <c r="G33" s="320"/>
      <c r="H33" s="320"/>
      <c r="I33" s="320"/>
      <c r="J33" s="320"/>
      <c r="K33" s="320"/>
      <c r="L33" s="143"/>
      <c r="N33" s="217"/>
    </row>
    <row r="34" spans="2:14" ht="50.1" customHeight="1" thickTop="1" thickBot="1" x14ac:dyDescent="0.3">
      <c r="B34" s="304"/>
      <c r="C34" s="305"/>
      <c r="D34" s="146"/>
      <c r="E34" s="306"/>
      <c r="F34" s="321" t="s">
        <v>192</v>
      </c>
      <c r="G34" s="322"/>
      <c r="H34" s="322"/>
      <c r="I34" s="322"/>
      <c r="J34" s="322"/>
      <c r="K34" s="322"/>
      <c r="L34" s="307"/>
      <c r="N34" s="217"/>
    </row>
    <row r="35" spans="2:14" s="310" customFormat="1" ht="50.1" customHeight="1" thickTop="1" x14ac:dyDescent="0.2">
      <c r="B35" s="304"/>
      <c r="C35" s="305"/>
      <c r="D35" s="146"/>
      <c r="E35" s="308"/>
      <c r="F35" s="323" t="s">
        <v>196</v>
      </c>
      <c r="G35" s="323"/>
      <c r="H35" s="323"/>
      <c r="I35" s="323"/>
      <c r="J35" s="323"/>
      <c r="K35" s="323"/>
      <c r="L35" s="307"/>
      <c r="N35" s="311"/>
    </row>
    <row r="36" spans="2:14" s="310" customFormat="1" ht="50.1" customHeight="1" x14ac:dyDescent="0.2">
      <c r="B36" s="304"/>
      <c r="C36" s="305"/>
      <c r="D36" s="146"/>
      <c r="E36" s="314"/>
      <c r="F36" s="323"/>
      <c r="G36" s="323"/>
      <c r="H36" s="323"/>
      <c r="I36" s="323"/>
      <c r="J36" s="323"/>
      <c r="K36" s="323"/>
      <c r="L36" s="307"/>
      <c r="N36" s="311"/>
    </row>
    <row r="37" spans="2:14" ht="15" customHeight="1" x14ac:dyDescent="0.25">
      <c r="B37" s="201"/>
      <c r="C37" s="218"/>
      <c r="D37" s="303"/>
      <c r="E37" s="303"/>
      <c r="F37" s="303"/>
      <c r="G37" s="303"/>
      <c r="H37" s="303"/>
      <c r="I37" s="303"/>
      <c r="J37" s="303"/>
      <c r="K37" s="303"/>
      <c r="L37" s="200"/>
      <c r="N37" s="217"/>
    </row>
    <row r="38" spans="2:14" ht="126" customHeight="1" x14ac:dyDescent="0.25">
      <c r="B38" s="201"/>
      <c r="C38" s="218"/>
      <c r="D38" s="317" t="s">
        <v>203</v>
      </c>
      <c r="E38" s="317"/>
      <c r="F38" s="317"/>
      <c r="G38" s="317"/>
      <c r="H38" s="317"/>
      <c r="I38" s="317"/>
      <c r="J38" s="317"/>
      <c r="K38" s="317"/>
      <c r="L38" s="200"/>
      <c r="N38" s="217"/>
    </row>
    <row r="39" spans="2:14" ht="85.5" customHeight="1" x14ac:dyDescent="0.25">
      <c r="B39" s="201"/>
      <c r="C39" s="218"/>
      <c r="D39" s="317" t="s">
        <v>204</v>
      </c>
      <c r="E39" s="317"/>
      <c r="F39" s="317"/>
      <c r="G39" s="317"/>
      <c r="H39" s="317"/>
      <c r="I39" s="317"/>
      <c r="J39" s="317"/>
      <c r="K39" s="317"/>
      <c r="L39" s="200"/>
      <c r="N39" s="217"/>
    </row>
    <row r="40" spans="2:14" ht="55.5" customHeight="1" x14ac:dyDescent="0.25">
      <c r="B40" s="201"/>
      <c r="C40" s="218"/>
      <c r="D40" s="317" t="s">
        <v>200</v>
      </c>
      <c r="E40" s="317"/>
      <c r="F40" s="317"/>
      <c r="G40" s="317"/>
      <c r="H40" s="317"/>
      <c r="I40" s="317"/>
      <c r="J40" s="317"/>
      <c r="K40" s="317"/>
      <c r="L40" s="200"/>
      <c r="N40" s="217"/>
    </row>
    <row r="41" spans="2:14" ht="113.25" customHeight="1" x14ac:dyDescent="0.25">
      <c r="B41" s="201"/>
      <c r="C41" s="218"/>
      <c r="D41" s="317" t="s">
        <v>201</v>
      </c>
      <c r="E41" s="317"/>
      <c r="F41" s="317"/>
      <c r="G41" s="317"/>
      <c r="H41" s="317"/>
      <c r="I41" s="317"/>
      <c r="J41" s="317"/>
      <c r="K41" s="317"/>
      <c r="L41" s="200"/>
      <c r="N41" s="217"/>
    </row>
    <row r="42" spans="2:14" ht="98.25" customHeight="1" x14ac:dyDescent="0.25">
      <c r="B42" s="201"/>
      <c r="C42" s="218"/>
      <c r="D42" s="317" t="s">
        <v>202</v>
      </c>
      <c r="E42" s="317"/>
      <c r="F42" s="317"/>
      <c r="G42" s="317"/>
      <c r="H42" s="317"/>
      <c r="I42" s="317"/>
      <c r="J42" s="317"/>
      <c r="K42" s="317"/>
      <c r="L42" s="200"/>
      <c r="N42" s="217"/>
    </row>
    <row r="43" spans="2:14" x14ac:dyDescent="0.25">
      <c r="B43" s="201"/>
      <c r="C43" s="203"/>
      <c r="D43" s="216"/>
      <c r="E43" s="216"/>
      <c r="F43" s="216"/>
      <c r="G43" s="216"/>
      <c r="H43" s="216"/>
      <c r="I43" s="216"/>
      <c r="J43" s="216"/>
      <c r="K43" s="216"/>
      <c r="L43" s="200"/>
    </row>
    <row r="44" spans="2:14" ht="61.9" customHeight="1" x14ac:dyDescent="0.25">
      <c r="B44" s="201"/>
      <c r="C44" s="211"/>
      <c r="D44" s="317" t="s">
        <v>135</v>
      </c>
      <c r="E44" s="317"/>
      <c r="F44" s="317"/>
      <c r="G44" s="317"/>
      <c r="H44" s="317"/>
      <c r="I44" s="317"/>
      <c r="J44" s="317"/>
      <c r="K44" s="317"/>
      <c r="L44" s="200"/>
    </row>
    <row r="45" spans="2:14" ht="32.450000000000003" customHeight="1" x14ac:dyDescent="0.25">
      <c r="B45" s="201"/>
      <c r="C45" s="211"/>
      <c r="D45" s="317" t="s">
        <v>7</v>
      </c>
      <c r="E45" s="317"/>
      <c r="F45" s="317"/>
      <c r="G45" s="317"/>
      <c r="H45" s="317"/>
      <c r="I45" s="317"/>
      <c r="J45" s="317"/>
      <c r="K45" s="317"/>
      <c r="L45" s="200"/>
    </row>
    <row r="46" spans="2:14" ht="33.6" customHeight="1" x14ac:dyDescent="0.25">
      <c r="B46" s="201"/>
      <c r="C46" s="211"/>
      <c r="D46" s="213"/>
      <c r="E46" s="209"/>
      <c r="F46" s="326" t="s">
        <v>118</v>
      </c>
      <c r="G46" s="326"/>
      <c r="H46" s="326"/>
      <c r="I46" s="326"/>
      <c r="J46" s="326"/>
      <c r="K46" s="326"/>
      <c r="L46" s="200"/>
    </row>
    <row r="47" spans="2:14" ht="32.25" customHeight="1" x14ac:dyDescent="0.25">
      <c r="B47" s="201"/>
      <c r="C47" s="211"/>
      <c r="D47" s="213"/>
      <c r="E47" s="215"/>
      <c r="F47" s="326" t="s">
        <v>173</v>
      </c>
      <c r="G47" s="326"/>
      <c r="H47" s="326"/>
      <c r="I47" s="326"/>
      <c r="J47" s="326"/>
      <c r="K47" s="326"/>
      <c r="L47" s="200"/>
    </row>
    <row r="48" spans="2:14" ht="92.25" customHeight="1" x14ac:dyDescent="0.25">
      <c r="B48" s="201"/>
      <c r="C48" s="211"/>
      <c r="D48" s="213"/>
      <c r="E48" s="214"/>
      <c r="F48" s="326" t="s">
        <v>8</v>
      </c>
      <c r="G48" s="326"/>
      <c r="H48" s="326"/>
      <c r="I48" s="326"/>
      <c r="J48" s="326"/>
      <c r="K48" s="326"/>
      <c r="L48" s="200"/>
    </row>
    <row r="49" spans="2:22" ht="23.25" customHeight="1" x14ac:dyDescent="0.25">
      <c r="B49" s="201"/>
      <c r="C49" s="211"/>
      <c r="D49" s="213"/>
      <c r="E49" s="212"/>
      <c r="F49" s="326" t="s">
        <v>9</v>
      </c>
      <c r="G49" s="326"/>
      <c r="H49" s="326"/>
      <c r="I49" s="326"/>
      <c r="J49" s="326"/>
      <c r="K49" s="326"/>
      <c r="L49" s="200"/>
    </row>
    <row r="50" spans="2:22" ht="45.75" customHeight="1" x14ac:dyDescent="0.25">
      <c r="B50" s="201"/>
      <c r="C50" s="211"/>
      <c r="D50" s="317" t="s">
        <v>174</v>
      </c>
      <c r="E50" s="317"/>
      <c r="F50" s="317"/>
      <c r="G50" s="317"/>
      <c r="H50" s="317"/>
      <c r="I50" s="317"/>
      <c r="J50" s="317"/>
      <c r="K50" s="317"/>
      <c r="L50" s="200"/>
    </row>
    <row r="51" spans="2:22" x14ac:dyDescent="0.25">
      <c r="B51" s="201"/>
      <c r="C51" s="203"/>
      <c r="D51" s="203"/>
      <c r="E51" s="203"/>
      <c r="F51" s="203"/>
      <c r="G51" s="203"/>
      <c r="H51" s="203"/>
      <c r="I51" s="203"/>
      <c r="J51" s="203"/>
      <c r="K51" s="203"/>
      <c r="L51" s="200"/>
    </row>
    <row r="52" spans="2:22" s="141" customFormat="1" ht="82.5" customHeight="1" x14ac:dyDescent="0.25">
      <c r="B52" s="142"/>
      <c r="C52" s="320" t="s">
        <v>143</v>
      </c>
      <c r="D52" s="320"/>
      <c r="E52" s="320"/>
      <c r="F52" s="320"/>
      <c r="G52" s="320"/>
      <c r="H52" s="320"/>
      <c r="I52" s="320"/>
      <c r="J52" s="320"/>
      <c r="K52" s="320"/>
      <c r="L52" s="143"/>
      <c r="N52" s="196"/>
      <c r="O52" s="196"/>
      <c r="P52" s="196"/>
      <c r="Q52" s="196"/>
      <c r="R52" s="196"/>
      <c r="S52" s="196"/>
      <c r="T52" s="196"/>
      <c r="U52" s="196"/>
      <c r="V52" s="196"/>
    </row>
    <row r="53" spans="2:22" s="141" customFormat="1" x14ac:dyDescent="0.25">
      <c r="B53" s="142"/>
      <c r="C53" s="151"/>
      <c r="D53" s="257"/>
      <c r="E53" s="257"/>
      <c r="F53" s="257"/>
      <c r="G53" s="257"/>
      <c r="H53" s="257"/>
      <c r="I53" s="257"/>
      <c r="J53" s="257"/>
      <c r="K53" s="257"/>
      <c r="L53" s="143"/>
      <c r="N53" s="253"/>
    </row>
    <row r="54" spans="2:22" s="141" customFormat="1" ht="48" customHeight="1" x14ac:dyDescent="0.25">
      <c r="B54" s="142"/>
      <c r="C54" s="261"/>
      <c r="D54" s="324" t="s">
        <v>210</v>
      </c>
      <c r="E54" s="324"/>
      <c r="F54" s="324"/>
      <c r="G54" s="324"/>
      <c r="H54" s="324"/>
      <c r="I54" s="324"/>
      <c r="J54" s="324"/>
      <c r="K54" s="324"/>
      <c r="L54" s="143"/>
      <c r="N54" s="253"/>
    </row>
    <row r="55" spans="2:22" s="141" customFormat="1" x14ac:dyDescent="0.25">
      <c r="B55" s="142"/>
      <c r="C55" s="151"/>
      <c r="D55" s="309"/>
      <c r="E55" s="309"/>
      <c r="F55" s="309"/>
      <c r="G55" s="309"/>
      <c r="H55" s="309"/>
      <c r="I55" s="309"/>
      <c r="J55" s="309"/>
      <c r="K55" s="309"/>
      <c r="L55" s="143"/>
      <c r="N55" s="253"/>
    </row>
    <row r="56" spans="2:22" s="141" customFormat="1" ht="47.25" customHeight="1" x14ac:dyDescent="0.25">
      <c r="B56" s="142"/>
      <c r="C56" s="262"/>
      <c r="D56" s="324" t="s">
        <v>137</v>
      </c>
      <c r="E56" s="324"/>
      <c r="F56" s="324"/>
      <c r="G56" s="324"/>
      <c r="H56" s="324"/>
      <c r="I56" s="324"/>
      <c r="J56" s="324"/>
      <c r="K56" s="324"/>
      <c r="L56" s="143"/>
      <c r="N56" s="253"/>
    </row>
    <row r="57" spans="2:22" s="141" customFormat="1" x14ac:dyDescent="0.25">
      <c r="B57" s="142"/>
      <c r="C57" s="151"/>
      <c r="D57" s="309"/>
      <c r="E57" s="309"/>
      <c r="F57" s="309"/>
      <c r="G57" s="309"/>
      <c r="H57" s="309"/>
      <c r="I57" s="309"/>
      <c r="J57" s="309"/>
      <c r="K57" s="309"/>
      <c r="L57" s="143"/>
    </row>
    <row r="58" spans="2:22" ht="65.25" customHeight="1" x14ac:dyDescent="0.25">
      <c r="B58" s="201"/>
      <c r="C58" s="210"/>
      <c r="D58" s="326" t="s">
        <v>141</v>
      </c>
      <c r="E58" s="326"/>
      <c r="F58" s="326"/>
      <c r="G58" s="326"/>
      <c r="H58" s="326"/>
      <c r="I58" s="326"/>
      <c r="J58" s="326"/>
      <c r="K58" s="326"/>
      <c r="L58" s="200"/>
    </row>
    <row r="59" spans="2:22" s="141" customFormat="1" x14ac:dyDescent="0.25">
      <c r="B59" s="142"/>
      <c r="C59" s="151"/>
      <c r="D59" s="151"/>
      <c r="E59" s="151"/>
      <c r="F59" s="151"/>
      <c r="G59" s="151"/>
      <c r="H59" s="151"/>
      <c r="I59" s="151"/>
      <c r="J59" s="151"/>
      <c r="K59" s="151"/>
      <c r="L59" s="143"/>
    </row>
    <row r="60" spans="2:22" ht="46.15" customHeight="1" x14ac:dyDescent="0.25">
      <c r="B60" s="201"/>
      <c r="C60" s="325" t="s">
        <v>142</v>
      </c>
      <c r="D60" s="325"/>
      <c r="E60" s="325"/>
      <c r="F60" s="325"/>
      <c r="G60" s="325"/>
      <c r="H60" s="325"/>
      <c r="I60" s="325"/>
      <c r="J60" s="325"/>
      <c r="K60" s="325"/>
      <c r="L60" s="200"/>
    </row>
    <row r="61" spans="2:22" ht="46.15" customHeight="1" x14ac:dyDescent="0.25">
      <c r="B61" s="201"/>
      <c r="C61" s="203"/>
      <c r="D61" s="209"/>
      <c r="E61" s="328" t="s">
        <v>124</v>
      </c>
      <c r="F61" s="328"/>
      <c r="G61" s="328"/>
      <c r="H61" s="328"/>
      <c r="I61" s="328"/>
      <c r="J61" s="328"/>
      <c r="K61" s="328"/>
      <c r="L61" s="200"/>
    </row>
    <row r="62" spans="2:22" ht="45.6" customHeight="1" x14ac:dyDescent="0.25">
      <c r="B62" s="201"/>
      <c r="C62" s="203"/>
      <c r="D62" s="208"/>
      <c r="E62" s="328" t="s">
        <v>136</v>
      </c>
      <c r="F62" s="328"/>
      <c r="G62" s="328"/>
      <c r="H62" s="328"/>
      <c r="I62" s="328"/>
      <c r="J62" s="328"/>
      <c r="K62" s="328"/>
      <c r="L62" s="200"/>
    </row>
    <row r="63" spans="2:22" ht="45" customHeight="1" x14ac:dyDescent="0.25">
      <c r="B63" s="201"/>
      <c r="C63" s="203"/>
      <c r="D63" s="207"/>
      <c r="E63" s="328" t="s">
        <v>116</v>
      </c>
      <c r="F63" s="328"/>
      <c r="G63" s="328"/>
      <c r="H63" s="328"/>
      <c r="I63" s="328"/>
      <c r="J63" s="328"/>
      <c r="K63" s="328"/>
      <c r="L63" s="200"/>
    </row>
    <row r="64" spans="2:22" x14ac:dyDescent="0.25">
      <c r="B64" s="201"/>
      <c r="C64" s="203"/>
      <c r="D64" s="205"/>
      <c r="E64" s="205"/>
      <c r="F64" s="204"/>
      <c r="G64" s="204"/>
      <c r="H64" s="204"/>
      <c r="I64" s="204"/>
      <c r="J64" s="204"/>
      <c r="K64" s="204"/>
      <c r="L64" s="200"/>
    </row>
    <row r="65" spans="2:14" x14ac:dyDescent="0.25">
      <c r="B65" s="201"/>
      <c r="C65" s="203"/>
      <c r="D65" s="202"/>
      <c r="E65" s="202"/>
      <c r="F65" s="202"/>
      <c r="G65" s="202"/>
      <c r="H65" s="202"/>
      <c r="I65" s="202"/>
      <c r="J65" s="202"/>
      <c r="K65" s="202"/>
      <c r="L65" s="200"/>
    </row>
    <row r="66" spans="2:14" ht="17.45" customHeight="1" x14ac:dyDescent="0.25">
      <c r="B66" s="201"/>
      <c r="C66" s="318" t="s">
        <v>10</v>
      </c>
      <c r="D66" s="318"/>
      <c r="E66" s="318"/>
      <c r="F66" s="318"/>
      <c r="G66" s="318"/>
      <c r="H66" s="318"/>
      <c r="I66" s="318"/>
      <c r="J66" s="318"/>
      <c r="K66" s="318"/>
      <c r="L66" s="200"/>
    </row>
    <row r="67" spans="2:14" ht="30" customHeight="1" x14ac:dyDescent="0.25">
      <c r="B67" s="201"/>
      <c r="C67" s="317" t="s">
        <v>197</v>
      </c>
      <c r="D67" s="317"/>
      <c r="E67" s="317"/>
      <c r="F67" s="317"/>
      <c r="G67" s="317"/>
      <c r="H67" s="317"/>
      <c r="I67" s="317"/>
      <c r="J67" s="317"/>
      <c r="K67" s="317"/>
      <c r="L67" s="200"/>
      <c r="N67" s="199"/>
    </row>
    <row r="68" spans="2:14" ht="15" customHeight="1" x14ac:dyDescent="0.25">
      <c r="B68" s="201"/>
      <c r="C68" s="294"/>
      <c r="D68" s="294"/>
      <c r="E68" s="294"/>
      <c r="F68" s="294"/>
      <c r="G68" s="294"/>
      <c r="H68" s="294"/>
      <c r="I68" s="294"/>
      <c r="J68" s="294"/>
      <c r="K68" s="294"/>
      <c r="L68" s="200"/>
      <c r="N68" s="199"/>
    </row>
    <row r="69" spans="2:14" ht="105" customHeight="1" x14ac:dyDescent="0.25">
      <c r="B69" s="201"/>
      <c r="C69" s="295"/>
      <c r="D69" s="320" t="s">
        <v>198</v>
      </c>
      <c r="E69" s="320"/>
      <c r="F69" s="320"/>
      <c r="G69" s="320"/>
      <c r="H69" s="320"/>
      <c r="I69" s="320"/>
      <c r="J69" s="320"/>
      <c r="K69" s="320"/>
      <c r="L69" s="200"/>
      <c r="N69" s="199"/>
    </row>
    <row r="70" spans="2:14" x14ac:dyDescent="0.25">
      <c r="B70" s="198"/>
      <c r="C70" s="327"/>
      <c r="D70" s="327"/>
      <c r="E70" s="327"/>
      <c r="F70" s="327"/>
      <c r="G70" s="327"/>
      <c r="H70" s="327"/>
      <c r="I70" s="327"/>
      <c r="J70" s="327"/>
      <c r="K70" s="327"/>
      <c r="L70" s="197"/>
    </row>
  </sheetData>
  <mergeCells count="32">
    <mergeCell ref="D69:K69"/>
    <mergeCell ref="C66:K66"/>
    <mergeCell ref="C67:K67"/>
    <mergeCell ref="C70:K70"/>
    <mergeCell ref="D58:K58"/>
    <mergeCell ref="E61:K61"/>
    <mergeCell ref="E62:K62"/>
    <mergeCell ref="E63:K63"/>
    <mergeCell ref="D45:K45"/>
    <mergeCell ref="F46:K46"/>
    <mergeCell ref="F47:K47"/>
    <mergeCell ref="F48:K48"/>
    <mergeCell ref="F49:K49"/>
    <mergeCell ref="D50:K50"/>
    <mergeCell ref="C52:K52"/>
    <mergeCell ref="D54:K54"/>
    <mergeCell ref="D56:K56"/>
    <mergeCell ref="C60:K60"/>
    <mergeCell ref="D40:K40"/>
    <mergeCell ref="D44:K44"/>
    <mergeCell ref="C18:K20"/>
    <mergeCell ref="C22:K25"/>
    <mergeCell ref="C27:K27"/>
    <mergeCell ref="C29:K29"/>
    <mergeCell ref="C31:K31"/>
    <mergeCell ref="D38:K38"/>
    <mergeCell ref="D41:K41"/>
    <mergeCell ref="D42:K42"/>
    <mergeCell ref="D33:K33"/>
    <mergeCell ref="F34:K34"/>
    <mergeCell ref="F35:K36"/>
    <mergeCell ref="D39:K39"/>
  </mergeCells>
  <hyperlinks>
    <hyperlink ref="G8" r:id="rId1" xr:uid="{514B8F5D-48FA-4646-BB6A-B8A1732DB7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E0D0-D2DD-463B-BF84-FF947CA2FC7F}">
  <sheetPr codeName="Sheet14">
    <tabColor theme="0" tint="-0.14999847407452621"/>
  </sheetPr>
  <dimension ref="C2:V146"/>
  <sheetViews>
    <sheetView zoomScale="80" zoomScaleNormal="80" workbookViewId="0">
      <selection activeCell="A30" sqref="A30:XFD35"/>
    </sheetView>
  </sheetViews>
  <sheetFormatPr defaultColWidth="8.7109375" defaultRowHeight="12.75" x14ac:dyDescent="0.2"/>
  <cols>
    <col min="1" max="3" width="8.7109375" style="4"/>
    <col min="4" max="5" width="17.7109375" style="4" customWidth="1"/>
    <col min="6" max="6" width="16.42578125" style="4" customWidth="1"/>
    <col min="7" max="7" width="20.7109375" style="4" customWidth="1"/>
    <col min="8" max="8" width="21.140625" style="4" customWidth="1"/>
    <col min="9" max="9" width="22" style="4" customWidth="1"/>
    <col min="10" max="10" width="25" style="4" customWidth="1"/>
    <col min="11" max="16" width="20.7109375" style="4" customWidth="1"/>
    <col min="17" max="17" width="8.7109375" style="4" customWidth="1"/>
    <col min="18" max="20" width="8.7109375" style="4"/>
    <col min="21" max="21" width="8.7109375" style="87"/>
    <col min="22" max="22" width="8.7109375" style="315"/>
    <col min="23" max="16384" width="8.7109375" style="4"/>
  </cols>
  <sheetData>
    <row r="2" spans="3:22" x14ac:dyDescent="0.2">
      <c r="U2" s="87">
        <v>4</v>
      </c>
      <c r="V2" s="315">
        <v>-1.5</v>
      </c>
    </row>
    <row r="3" spans="3:22" ht="12.75" customHeight="1" x14ac:dyDescent="0.2">
      <c r="D3" s="329" t="s">
        <v>117</v>
      </c>
      <c r="E3" s="330"/>
      <c r="F3" s="331"/>
      <c r="H3" s="292"/>
      <c r="I3" s="292"/>
      <c r="J3" s="292"/>
      <c r="K3" s="292"/>
      <c r="U3" s="87">
        <v>7</v>
      </c>
      <c r="V3" s="315">
        <v>-1.48</v>
      </c>
    </row>
    <row r="4" spans="3:22" ht="13.5" customHeight="1" thickBot="1" x14ac:dyDescent="0.25">
      <c r="D4" s="150" t="s">
        <v>11</v>
      </c>
      <c r="E4" s="7"/>
      <c r="F4" s="29" t="s">
        <v>111</v>
      </c>
      <c r="H4" s="292"/>
      <c r="I4" s="292"/>
      <c r="J4" s="292"/>
      <c r="K4" s="292"/>
      <c r="V4" s="315">
        <v>-1.46</v>
      </c>
    </row>
    <row r="5" spans="3:22" ht="14.25" customHeight="1" thickTop="1" thickBot="1" x14ac:dyDescent="0.25">
      <c r="D5" s="149" t="s">
        <v>191</v>
      </c>
      <c r="E5" s="186"/>
      <c r="F5" s="139">
        <v>4</v>
      </c>
      <c r="H5" s="292"/>
      <c r="I5" s="292"/>
      <c r="J5" s="292"/>
      <c r="K5" s="292"/>
      <c r="V5" s="315">
        <v>-1.44</v>
      </c>
    </row>
    <row r="6" spans="3:22" ht="14.45" customHeight="1" thickTop="1" thickBot="1" x14ac:dyDescent="0.25">
      <c r="C6" s="300" t="s">
        <v>185</v>
      </c>
      <c r="D6" s="149" t="s">
        <v>125</v>
      </c>
      <c r="E6" s="194"/>
      <c r="F6" s="234">
        <v>0</v>
      </c>
      <c r="H6" s="292"/>
      <c r="I6" s="292"/>
      <c r="J6" s="292"/>
      <c r="K6" s="292"/>
      <c r="V6" s="315">
        <v>-1.42</v>
      </c>
    </row>
    <row r="7" spans="3:22" ht="14.25" customHeight="1" thickTop="1" thickBot="1" x14ac:dyDescent="0.25">
      <c r="C7" s="300" t="s">
        <v>184</v>
      </c>
      <c r="D7" s="170" t="s">
        <v>126</v>
      </c>
      <c r="E7" s="171"/>
      <c r="F7" s="140">
        <v>0</v>
      </c>
      <c r="H7" s="292"/>
      <c r="I7" s="292"/>
      <c r="J7" s="292"/>
      <c r="K7" s="292"/>
      <c r="V7" s="315">
        <v>-1.4</v>
      </c>
    </row>
    <row r="8" spans="3:22" ht="13.5" thickTop="1" x14ac:dyDescent="0.2">
      <c r="D8" s="5"/>
      <c r="F8" s="6"/>
      <c r="V8" s="315">
        <v>-1.38</v>
      </c>
    </row>
    <row r="9" spans="3:22" ht="18" customHeight="1" x14ac:dyDescent="0.2">
      <c r="D9" s="5"/>
      <c r="F9" s="6"/>
      <c r="H9" s="352" t="s">
        <v>123</v>
      </c>
      <c r="I9" s="344"/>
      <c r="J9" s="345"/>
      <c r="K9" s="255"/>
      <c r="V9" s="315">
        <v>-1.3599999999999999</v>
      </c>
    </row>
    <row r="10" spans="3:22" ht="29.45" customHeight="1" x14ac:dyDescent="0.2">
      <c r="F10" s="186"/>
      <c r="H10" s="332" t="s">
        <v>122</v>
      </c>
      <c r="I10" s="333"/>
      <c r="J10" s="349" t="s">
        <v>144</v>
      </c>
      <c r="K10" s="256"/>
      <c r="P10" s="232"/>
      <c r="V10" s="315">
        <v>-1.3399999999999999</v>
      </c>
    </row>
    <row r="11" spans="3:22" ht="49.5" customHeight="1" x14ac:dyDescent="0.2">
      <c r="D11" s="235"/>
      <c r="E11" s="235"/>
      <c r="F11" s="235"/>
      <c r="H11" s="254" t="s">
        <v>121</v>
      </c>
      <c r="I11" s="254" t="str">
        <f>"Debt below 60% of GDP in T+"&amp;10+F5</f>
        <v>Debt below 60% of GDP in T+14</v>
      </c>
      <c r="J11" s="350"/>
      <c r="K11" s="356"/>
      <c r="L11" s="357"/>
      <c r="M11" s="357"/>
      <c r="N11" s="357"/>
      <c r="O11" s="357"/>
      <c r="P11" s="357"/>
      <c r="V11" s="315">
        <v>-1.3199999999999998</v>
      </c>
    </row>
    <row r="12" spans="3:22" ht="45" customHeight="1" x14ac:dyDescent="0.2">
      <c r="C12" s="300" t="s">
        <v>185</v>
      </c>
      <c r="D12" s="343" t="s">
        <v>205</v>
      </c>
      <c r="E12" s="344"/>
      <c r="F12" s="344"/>
      <c r="G12" s="345"/>
      <c r="H12" s="195" t="str">
        <f ca="1">IF(MIN(OFFSET('Adjustment scenario'!$F$77,0,$F$5,1,11))&gt;-3.05,"ok","Not met")</f>
        <v>ok</v>
      </c>
      <c r="I12" s="195" t="str">
        <f ca="1">IF(OFFSET('Adjustment scenario'!$F$57,0,$F$5+10,1,1)&lt;60,"ok","Not met")</f>
        <v>ok</v>
      </c>
      <c r="J12" s="195" t="str">
        <f>IF(AND($F$5=4,COUNTIF(G18:J18,"&gt;" &amp; F6)=0),"Not binding",IF(AND($F$5=7,COUNTIF(G18:M18,"&gt;" &amp; F6)=0),"Not binding","Binding"))</f>
        <v>Not binding</v>
      </c>
      <c r="K12" s="354" t="str">
        <f ca="1">IF(OR($H$13="Not met",$I$13="Not met"),"Please adjust cell F7 so that both DSA-based criteria are met",
IF($F$6&lt;$F$7,"The adjustment in F6 cannot be lower than in F7",
IF(AND($H$12="ok",$I$12="ok",$H$13="ok",$I$13="ok",$F$6&gt;=$F$7,
OR(AND($F$5=4,$G$18&gt;=$H$18,$H$18&gt;=$I$18,$I$18&gt;=$J$18,OR($J$18&gt;=0.4,$J$19&gt;-1.55)),
AND($F$5=7,$G$18&gt;=$H$18,$H$18&gt;=$I$18,$I$18&gt;=$J$18,$J$18&gt;=$K$18,$K$18&gt;=$L$18,$L$18&gt;=$M$18,OR($M$18&gt;=0.25,$M$19&gt;-1.55)))),
"OK"&amp;CHAR(10)&amp;"The adjustment in F6 fulfills all requirements including the deficit resilience safeguard",
"NOT OK"&amp;CHAR(10)&amp;"The adjustment in F6 does not fulfill all requirements")))</f>
        <v>OK
The adjustment in F6 fulfills all requirements including the deficit resilience safeguard</v>
      </c>
      <c r="L12" s="355"/>
      <c r="M12" s="355"/>
      <c r="N12" s="355"/>
      <c r="O12" s="355"/>
      <c r="P12" s="355"/>
      <c r="Q12" s="296"/>
      <c r="V12" s="315">
        <v>-1.3</v>
      </c>
    </row>
    <row r="13" spans="3:22" ht="45" customHeight="1" x14ac:dyDescent="0.2">
      <c r="C13" s="300" t="s">
        <v>184</v>
      </c>
      <c r="D13" s="343" t="s">
        <v>206</v>
      </c>
      <c r="E13" s="344"/>
      <c r="F13" s="344"/>
      <c r="G13" s="345"/>
      <c r="H13" s="195" t="str">
        <f ca="1">IF(MIN(OFFSET('Adjust. no safeguard'!$F$77,0,$F$5,1,11))&gt;-3.05,"ok","Not met")</f>
        <v>ok</v>
      </c>
      <c r="I13" s="195" t="str">
        <f ca="1">IF(OFFSET('Adjust. no safeguard'!$F$57,0,$F$5+10,1,1)&lt;60,"ok","Not met")</f>
        <v>ok</v>
      </c>
      <c r="J13" s="246"/>
      <c r="K13" s="354" t="str">
        <f ca="1">IF(AND($H$13="ok",$I$13="ok"),
"OK"&amp;CHAR(10)&amp;"The adjustment in F7 ensures that the debt and deficit remain"&amp;CHAR(10)&amp;"below the Treaty reference values over the medium term",
"NOT OK"&amp;CHAR(10)&amp;"The adjustment in F7 does not ensure that the debt and deficit remain"&amp;CHAR(10)&amp;"below the Treaty reference values over the medium term")</f>
        <v>OK
The adjustment in F7 ensures that the debt and deficit remain
below the Treaty reference values over the medium term</v>
      </c>
      <c r="L13" s="355"/>
      <c r="M13" s="355"/>
      <c r="N13" s="355"/>
      <c r="O13" s="355"/>
      <c r="P13" s="355"/>
      <c r="Q13" s="296"/>
      <c r="V13" s="315">
        <v>-1.28</v>
      </c>
    </row>
    <row r="14" spans="3:22" ht="34.5" customHeight="1" x14ac:dyDescent="0.2">
      <c r="D14" s="351" t="s">
        <v>199</v>
      </c>
      <c r="E14" s="351"/>
      <c r="F14" s="351"/>
      <c r="G14" s="351"/>
      <c r="H14" s="351"/>
      <c r="I14" s="351"/>
      <c r="J14" s="351"/>
      <c r="K14" s="247"/>
      <c r="L14" s="296"/>
      <c r="M14" s="296"/>
      <c r="V14" s="315">
        <v>-1.26</v>
      </c>
    </row>
    <row r="15" spans="3:22" ht="12.75" customHeight="1" x14ac:dyDescent="0.2">
      <c r="K15" s="247"/>
      <c r="L15" s="296"/>
      <c r="M15" s="296"/>
      <c r="V15" s="315">
        <v>-1.24</v>
      </c>
    </row>
    <row r="16" spans="3:22" ht="15.75" customHeight="1" x14ac:dyDescent="0.2">
      <c r="D16" s="228"/>
      <c r="E16" s="228"/>
      <c r="F16" s="228"/>
      <c r="G16" s="337" t="s">
        <v>139</v>
      </c>
      <c r="H16" s="338"/>
      <c r="I16" s="338"/>
      <c r="J16" s="339"/>
      <c r="K16" s="168"/>
      <c r="L16" s="296"/>
      <c r="M16" s="296"/>
      <c r="N16" s="168"/>
      <c r="O16" s="168"/>
      <c r="P16" s="159"/>
      <c r="V16" s="315">
        <v>-1.22</v>
      </c>
    </row>
    <row r="17" spans="4:22" ht="13.5" customHeight="1" x14ac:dyDescent="0.2">
      <c r="D17" s="228"/>
      <c r="E17" s="154"/>
      <c r="F17" s="160"/>
      <c r="G17" s="155">
        <v>2025</v>
      </c>
      <c r="H17" s="156">
        <v>2026</v>
      </c>
      <c r="I17" s="156">
        <v>2027</v>
      </c>
      <c r="J17" s="156">
        <v>2028</v>
      </c>
      <c r="K17" s="156">
        <v>2029</v>
      </c>
      <c r="L17" s="156">
        <v>2030</v>
      </c>
      <c r="M17" s="169">
        <v>2031</v>
      </c>
      <c r="N17" s="161"/>
      <c r="P17" s="161"/>
      <c r="V17" s="315">
        <v>-1.2</v>
      </c>
    </row>
    <row r="18" spans="4:22" ht="15" customHeight="1" x14ac:dyDescent="0.2">
      <c r="D18" s="340" t="s">
        <v>14</v>
      </c>
      <c r="E18" s="341"/>
      <c r="F18" s="342"/>
      <c r="G18" s="158">
        <f>'Adjustment scenario'!G12-'Adjustment scenario'!F12</f>
        <v>0</v>
      </c>
      <c r="H18" s="165">
        <f>'Adjustment scenario'!H12-'Adjustment scenario'!G12</f>
        <v>0</v>
      </c>
      <c r="I18" s="165">
        <f>'Adjustment scenario'!I12-'Adjustment scenario'!H12</f>
        <v>0</v>
      </c>
      <c r="J18" s="165">
        <f>'Adjustment scenario'!J12-'Adjustment scenario'!I12</f>
        <v>0</v>
      </c>
      <c r="K18" s="165">
        <f>'Adjustment scenario'!K12-'Adjustment scenario'!J12</f>
        <v>0</v>
      </c>
      <c r="L18" s="165">
        <f>'Adjustment scenario'!L12-'Adjustment scenario'!K12</f>
        <v>0</v>
      </c>
      <c r="M18" s="166">
        <f>'Adjustment scenario'!M12-'Adjustment scenario'!L12</f>
        <v>0</v>
      </c>
      <c r="N18" s="158"/>
      <c r="P18" s="158"/>
      <c r="V18" s="315">
        <v>-1.1800000000000002</v>
      </c>
    </row>
    <row r="19" spans="4:22" ht="15" customHeight="1" x14ac:dyDescent="0.2">
      <c r="D19" s="193" t="s">
        <v>20</v>
      </c>
      <c r="E19" s="187"/>
      <c r="F19" s="188"/>
      <c r="G19" s="189">
        <f>'Adjustment scenario'!G78</f>
        <v>1.8496221466232776</v>
      </c>
      <c r="H19" s="190">
        <f>'Adjustment scenario'!H78</f>
        <v>1.8293940459965876</v>
      </c>
      <c r="I19" s="190">
        <f>'Adjustment scenario'!I78</f>
        <v>1.8755964970170731</v>
      </c>
      <c r="J19" s="190">
        <f>'Adjustment scenario'!J78</f>
        <v>1.9330204362852148</v>
      </c>
      <c r="K19" s="190">
        <f>'Adjustment scenario'!K78</f>
        <v>1.906629459131056</v>
      </c>
      <c r="L19" s="190">
        <f>'Adjustment scenario'!L78</f>
        <v>1.8555800565821068</v>
      </c>
      <c r="M19" s="192">
        <f>'Adjustment scenario'!M78</f>
        <v>1.7898306932657753</v>
      </c>
      <c r="N19" s="176"/>
      <c r="P19" s="158"/>
      <c r="V19" s="315">
        <v>-1.1600000000000001</v>
      </c>
    </row>
    <row r="20" spans="4:22" ht="15" customHeight="1" x14ac:dyDescent="0.2">
      <c r="D20" s="334" t="s">
        <v>120</v>
      </c>
      <c r="E20" s="335"/>
      <c r="F20" s="336"/>
      <c r="G20" s="312"/>
      <c r="H20" s="313"/>
      <c r="I20" s="313"/>
      <c r="J20" s="313">
        <f>IF(F5=4,'Adjustment scenario'!J12,"")</f>
        <v>2.5288010000000001</v>
      </c>
      <c r="K20" s="313"/>
      <c r="L20" s="313"/>
      <c r="M20" s="316" t="str">
        <f>IF(F5=7,'Adjustment scenario'!M12,"")</f>
        <v/>
      </c>
      <c r="N20" s="176"/>
      <c r="P20" s="158"/>
      <c r="V20" s="315">
        <v>-1.1400000000000001</v>
      </c>
    </row>
    <row r="21" spans="4:22" ht="15" customHeight="1" x14ac:dyDescent="0.2">
      <c r="D21" s="351" t="s">
        <v>140</v>
      </c>
      <c r="E21" s="351"/>
      <c r="F21" s="351"/>
      <c r="G21" s="351"/>
      <c r="H21" s="351"/>
      <c r="I21" s="351"/>
      <c r="J21" s="351"/>
      <c r="K21" s="191"/>
      <c r="L21" s="191"/>
      <c r="M21" s="191"/>
      <c r="N21" s="176"/>
      <c r="P21" s="158"/>
      <c r="V21" s="315">
        <v>-1.1200000000000001</v>
      </c>
    </row>
    <row r="22" spans="4:22" ht="15" customHeight="1" x14ac:dyDescent="0.2">
      <c r="D22" s="238"/>
      <c r="E22" s="238"/>
      <c r="F22" s="238"/>
      <c r="G22" s="245"/>
      <c r="H22" s="164"/>
      <c r="I22" s="164"/>
      <c r="J22" s="164"/>
      <c r="K22" s="190"/>
      <c r="L22" s="190"/>
      <c r="M22" s="190"/>
      <c r="N22" s="176"/>
      <c r="P22" s="158"/>
      <c r="V22" s="315">
        <v>-1.1000000000000001</v>
      </c>
    </row>
    <row r="23" spans="4:22" ht="15" customHeight="1" x14ac:dyDescent="0.2">
      <c r="D23" s="238"/>
      <c r="E23" s="238"/>
      <c r="F23" s="239"/>
      <c r="G23" s="337" t="s">
        <v>127</v>
      </c>
      <c r="H23" s="338"/>
      <c r="I23" s="338"/>
      <c r="J23" s="339"/>
      <c r="K23" s="190"/>
      <c r="L23" s="190"/>
      <c r="M23" s="164"/>
      <c r="N23" s="176"/>
      <c r="P23" s="158"/>
      <c r="V23" s="315">
        <v>-1.08</v>
      </c>
    </row>
    <row r="24" spans="4:22" ht="15" customHeight="1" x14ac:dyDescent="0.2">
      <c r="D24" s="244"/>
      <c r="E24" s="238"/>
      <c r="F24" s="239"/>
      <c r="G24" s="155">
        <v>2025</v>
      </c>
      <c r="H24" s="156">
        <v>2026</v>
      </c>
      <c r="I24" s="156">
        <v>2027</v>
      </c>
      <c r="J24" s="156">
        <v>2028</v>
      </c>
      <c r="K24" s="156">
        <v>2029</v>
      </c>
      <c r="L24" s="156">
        <v>2030</v>
      </c>
      <c r="M24" s="169">
        <v>2031</v>
      </c>
      <c r="N24" s="176"/>
      <c r="P24" s="158"/>
      <c r="V24" s="315">
        <v>-1.06</v>
      </c>
    </row>
    <row r="25" spans="4:22" ht="15" customHeight="1" x14ac:dyDescent="0.2">
      <c r="D25" s="340" t="s">
        <v>14</v>
      </c>
      <c r="E25" s="341"/>
      <c r="F25" s="342"/>
      <c r="G25" s="236">
        <f>'Adjust. no safeguard'!G12-'Adjust. no safeguard'!F12</f>
        <v>0</v>
      </c>
      <c r="H25" s="165">
        <f>'Adjust. no safeguard'!H12-'Adjust. no safeguard'!G12</f>
        <v>0</v>
      </c>
      <c r="I25" s="165">
        <f>'Adjust. no safeguard'!I12-'Adjust. no safeguard'!H12</f>
        <v>0</v>
      </c>
      <c r="J25" s="165">
        <f>'Adjust. no safeguard'!J12-'Adjust. no safeguard'!I12</f>
        <v>0</v>
      </c>
      <c r="K25" s="165">
        <f>'Adjust. no safeguard'!K12-'Adjust. no safeguard'!J12</f>
        <v>0</v>
      </c>
      <c r="L25" s="165">
        <f>'Adjust. no safeguard'!L12-'Adjust. no safeguard'!K12</f>
        <v>0</v>
      </c>
      <c r="M25" s="166">
        <f>'Adjust. no safeguard'!M12-'Adjust. no safeguard'!L12</f>
        <v>0</v>
      </c>
      <c r="N25" s="176"/>
      <c r="P25" s="158"/>
      <c r="V25" s="315">
        <v>-1.04</v>
      </c>
    </row>
    <row r="26" spans="4:22" ht="15" customHeight="1" x14ac:dyDescent="0.2">
      <c r="D26" s="237" t="s">
        <v>20</v>
      </c>
      <c r="E26" s="230"/>
      <c r="F26" s="231"/>
      <c r="G26" s="163">
        <f>'Adjust. no safeguard'!G78</f>
        <v>1.8496221466232776</v>
      </c>
      <c r="H26" s="164">
        <f>'Adjust. no safeguard'!H78</f>
        <v>1.8293940459965876</v>
      </c>
      <c r="I26" s="164">
        <f>'Adjust. no safeguard'!I78</f>
        <v>1.8755964970170731</v>
      </c>
      <c r="J26" s="164">
        <f>'Adjust. no safeguard'!J78</f>
        <v>1.9330204362852148</v>
      </c>
      <c r="K26" s="164">
        <f>'Adjust. no safeguard'!K78</f>
        <v>1.906629459131056</v>
      </c>
      <c r="L26" s="164">
        <f>'Adjust. no safeguard'!L78</f>
        <v>1.8555800565821068</v>
      </c>
      <c r="M26" s="167">
        <f>'Adjust. no safeguard'!M78</f>
        <v>1.7898306932657753</v>
      </c>
      <c r="N26" s="176"/>
      <c r="P26" s="158"/>
      <c r="V26" s="315">
        <v>-1.02</v>
      </c>
    </row>
    <row r="27" spans="4:22" ht="15" customHeight="1" x14ac:dyDescent="0.2">
      <c r="D27" s="346" t="s">
        <v>120</v>
      </c>
      <c r="E27" s="347"/>
      <c r="F27" s="348"/>
      <c r="G27" s="312"/>
      <c r="H27" s="313"/>
      <c r="I27" s="313"/>
      <c r="J27" s="313">
        <f>IF(F5=4,'Adjust. no safeguard'!J12,"")</f>
        <v>2.5288010000000001</v>
      </c>
      <c r="K27" s="313"/>
      <c r="L27" s="313"/>
      <c r="M27" s="316" t="str">
        <f>IF(F5=7,'Adjust. no safeguard'!M12,"")</f>
        <v/>
      </c>
      <c r="N27" s="158"/>
      <c r="P27" s="162"/>
      <c r="V27" s="315">
        <v>-1</v>
      </c>
    </row>
    <row r="28" spans="4:22" x14ac:dyDescent="0.2">
      <c r="D28" s="240"/>
      <c r="E28" s="240"/>
      <c r="F28" s="240"/>
      <c r="G28" s="241"/>
      <c r="H28" s="158"/>
      <c r="Q28" s="157"/>
      <c r="V28" s="315">
        <v>-0.98</v>
      </c>
    </row>
    <row r="29" spans="4:22" x14ac:dyDescent="0.2">
      <c r="D29" s="242"/>
      <c r="E29" s="242"/>
      <c r="F29" s="242"/>
      <c r="G29" s="243"/>
      <c r="Q29" s="157"/>
      <c r="V29" s="315">
        <v>-0.96</v>
      </c>
    </row>
    <row r="30" spans="4:22" ht="19.899999999999999" customHeight="1" x14ac:dyDescent="0.2">
      <c r="G30" s="353"/>
      <c r="H30" s="353"/>
      <c r="I30" s="353"/>
      <c r="J30" s="353"/>
      <c r="K30" s="353"/>
      <c r="L30" s="353"/>
      <c r="M30" s="353"/>
      <c r="N30" s="353"/>
      <c r="O30" s="353"/>
      <c r="V30" s="315">
        <v>-0.82</v>
      </c>
    </row>
    <row r="31" spans="4:22" x14ac:dyDescent="0.2">
      <c r="K31" s="157"/>
      <c r="V31" s="315">
        <v>-0.8</v>
      </c>
    </row>
    <row r="32" spans="4:22" x14ac:dyDescent="0.2">
      <c r="K32" s="157"/>
      <c r="V32" s="315">
        <v>-0.78</v>
      </c>
    </row>
    <row r="33" spans="10:22" ht="13.15" customHeight="1" x14ac:dyDescent="0.2">
      <c r="J33" s="158"/>
      <c r="V33" s="315">
        <v>-0.76</v>
      </c>
    </row>
    <row r="34" spans="10:22" x14ac:dyDescent="0.2">
      <c r="V34" s="315">
        <v>-0.74</v>
      </c>
    </row>
    <row r="35" spans="10:22" x14ac:dyDescent="0.2">
      <c r="V35" s="315">
        <v>-0.72</v>
      </c>
    </row>
    <row r="36" spans="10:22" x14ac:dyDescent="0.2">
      <c r="V36" s="315">
        <v>-0.7</v>
      </c>
    </row>
    <row r="37" spans="10:22" x14ac:dyDescent="0.2">
      <c r="V37" s="315">
        <v>-0.67999999999999994</v>
      </c>
    </row>
    <row r="38" spans="10:22" x14ac:dyDescent="0.2">
      <c r="V38" s="315">
        <v>-0.66</v>
      </c>
    </row>
    <row r="39" spans="10:22" x14ac:dyDescent="0.2">
      <c r="V39" s="315">
        <v>-0.64</v>
      </c>
    </row>
    <row r="40" spans="10:22" x14ac:dyDescent="0.2">
      <c r="V40" s="315">
        <v>-0.62</v>
      </c>
    </row>
    <row r="41" spans="10:22" x14ac:dyDescent="0.2">
      <c r="V41" s="315">
        <v>-0.6</v>
      </c>
    </row>
    <row r="42" spans="10:22" x14ac:dyDescent="0.2">
      <c r="V42" s="315">
        <v>-0.57999999999999996</v>
      </c>
    </row>
    <row r="43" spans="10:22" x14ac:dyDescent="0.2">
      <c r="V43" s="315">
        <v>-0.56000000000000005</v>
      </c>
    </row>
    <row r="44" spans="10:22" x14ac:dyDescent="0.2">
      <c r="V44" s="315">
        <v>-0.54</v>
      </c>
    </row>
    <row r="45" spans="10:22" x14ac:dyDescent="0.2">
      <c r="V45" s="315">
        <v>-0.52</v>
      </c>
    </row>
    <row r="46" spans="10:22" x14ac:dyDescent="0.2">
      <c r="V46" s="315">
        <v>-0.5</v>
      </c>
    </row>
    <row r="47" spans="10:22" x14ac:dyDescent="0.2">
      <c r="V47" s="315">
        <v>-0.48</v>
      </c>
    </row>
    <row r="48" spans="10:22" x14ac:dyDescent="0.2">
      <c r="V48" s="315">
        <v>-0.46</v>
      </c>
    </row>
    <row r="49" spans="22:22" x14ac:dyDescent="0.2">
      <c r="V49" s="315">
        <v>-0.44</v>
      </c>
    </row>
    <row r="50" spans="22:22" x14ac:dyDescent="0.2">
      <c r="V50" s="315">
        <v>-0.42</v>
      </c>
    </row>
    <row r="51" spans="22:22" x14ac:dyDescent="0.2">
      <c r="V51" s="315">
        <v>-0.4</v>
      </c>
    </row>
    <row r="52" spans="22:22" x14ac:dyDescent="0.2">
      <c r="V52" s="315">
        <v>-0.38</v>
      </c>
    </row>
    <row r="53" spans="22:22" x14ac:dyDescent="0.2">
      <c r="V53" s="315">
        <v>-0.36</v>
      </c>
    </row>
    <row r="54" spans="22:22" x14ac:dyDescent="0.2">
      <c r="V54" s="315">
        <v>-0.33999999999999997</v>
      </c>
    </row>
    <row r="55" spans="22:22" x14ac:dyDescent="0.2">
      <c r="V55" s="315">
        <v>-0.32</v>
      </c>
    </row>
    <row r="56" spans="22:22" x14ac:dyDescent="0.2">
      <c r="V56" s="315">
        <v>-0.3</v>
      </c>
    </row>
    <row r="57" spans="22:22" x14ac:dyDescent="0.2">
      <c r="V57" s="315">
        <v>-0.28000000000000003</v>
      </c>
    </row>
    <row r="58" spans="22:22" x14ac:dyDescent="0.2">
      <c r="V58" s="315">
        <v>-0.26</v>
      </c>
    </row>
    <row r="59" spans="22:22" x14ac:dyDescent="0.2">
      <c r="V59" s="315">
        <v>-0.24</v>
      </c>
    </row>
    <row r="60" spans="22:22" x14ac:dyDescent="0.2">
      <c r="V60" s="315">
        <v>-0.21999999999999997</v>
      </c>
    </row>
    <row r="61" spans="22:22" x14ac:dyDescent="0.2">
      <c r="V61" s="315">
        <v>-0.2</v>
      </c>
    </row>
    <row r="62" spans="22:22" x14ac:dyDescent="0.2">
      <c r="V62" s="315">
        <v>-0.18</v>
      </c>
    </row>
    <row r="63" spans="22:22" x14ac:dyDescent="0.2">
      <c r="V63" s="315">
        <v>-0.16</v>
      </c>
    </row>
    <row r="64" spans="22:22" x14ac:dyDescent="0.2">
      <c r="V64" s="315">
        <v>-0.14000000000000001</v>
      </c>
    </row>
    <row r="65" spans="22:22" x14ac:dyDescent="0.2">
      <c r="V65" s="315">
        <v>-0.12</v>
      </c>
    </row>
    <row r="66" spans="22:22" x14ac:dyDescent="0.2">
      <c r="V66" s="315">
        <v>-0.1</v>
      </c>
    </row>
    <row r="67" spans="22:22" x14ac:dyDescent="0.2">
      <c r="V67" s="315">
        <v>-8.0000000000000016E-2</v>
      </c>
    </row>
    <row r="68" spans="22:22" x14ac:dyDescent="0.2">
      <c r="V68" s="315">
        <v>-0.06</v>
      </c>
    </row>
    <row r="69" spans="22:22" x14ac:dyDescent="0.2">
      <c r="V69" s="315">
        <v>-3.999999999999998E-2</v>
      </c>
    </row>
    <row r="70" spans="22:22" x14ac:dyDescent="0.2">
      <c r="V70" s="315">
        <v>-2.0000000000000018E-2</v>
      </c>
    </row>
    <row r="71" spans="22:22" x14ac:dyDescent="0.2">
      <c r="V71" s="315">
        <v>0</v>
      </c>
    </row>
    <row r="72" spans="22:22" x14ac:dyDescent="0.2">
      <c r="V72" s="315">
        <v>0.02</v>
      </c>
    </row>
    <row r="73" spans="22:22" x14ac:dyDescent="0.2">
      <c r="V73" s="315">
        <v>0.04</v>
      </c>
    </row>
    <row r="74" spans="22:22" x14ac:dyDescent="0.2">
      <c r="V74" s="315">
        <v>0.06</v>
      </c>
    </row>
    <row r="75" spans="22:22" x14ac:dyDescent="0.2">
      <c r="V75" s="315">
        <v>0.08</v>
      </c>
    </row>
    <row r="76" spans="22:22" x14ac:dyDescent="0.2">
      <c r="V76" s="315">
        <v>0.1</v>
      </c>
    </row>
    <row r="77" spans="22:22" x14ac:dyDescent="0.2">
      <c r="V77" s="315">
        <v>0.12</v>
      </c>
    </row>
    <row r="78" spans="22:22" x14ac:dyDescent="0.2">
      <c r="V78" s="315">
        <v>0.14000000000000001</v>
      </c>
    </row>
    <row r="79" spans="22:22" x14ac:dyDescent="0.2">
      <c r="V79" s="315">
        <v>0.16000000000000003</v>
      </c>
    </row>
    <row r="80" spans="22:22" x14ac:dyDescent="0.2">
      <c r="V80" s="315">
        <v>0.18000000000000005</v>
      </c>
    </row>
    <row r="81" spans="22:22" x14ac:dyDescent="0.2">
      <c r="V81" s="315">
        <v>0.2</v>
      </c>
    </row>
    <row r="82" spans="22:22" x14ac:dyDescent="0.2">
      <c r="V82" s="315">
        <v>0.22</v>
      </c>
    </row>
    <row r="83" spans="22:22" x14ac:dyDescent="0.2">
      <c r="V83" s="315">
        <v>0.24</v>
      </c>
    </row>
    <row r="84" spans="22:22" x14ac:dyDescent="0.2">
      <c r="V84" s="315">
        <v>0.26</v>
      </c>
    </row>
    <row r="85" spans="22:22" x14ac:dyDescent="0.2">
      <c r="V85" s="315">
        <v>0.28000000000000003</v>
      </c>
    </row>
    <row r="86" spans="22:22" x14ac:dyDescent="0.2">
      <c r="V86" s="315">
        <v>0.3</v>
      </c>
    </row>
    <row r="87" spans="22:22" x14ac:dyDescent="0.2">
      <c r="V87" s="315">
        <v>0.31999999999999995</v>
      </c>
    </row>
    <row r="88" spans="22:22" x14ac:dyDescent="0.2">
      <c r="V88" s="315">
        <v>0.33999999999999997</v>
      </c>
    </row>
    <row r="89" spans="22:22" x14ac:dyDescent="0.2">
      <c r="V89" s="315">
        <v>0.36</v>
      </c>
    </row>
    <row r="90" spans="22:22" x14ac:dyDescent="0.2">
      <c r="V90" s="315">
        <v>0.38</v>
      </c>
    </row>
    <row r="91" spans="22:22" x14ac:dyDescent="0.2">
      <c r="V91" s="315">
        <v>0.4</v>
      </c>
    </row>
    <row r="92" spans="22:22" x14ac:dyDescent="0.2">
      <c r="V92" s="315">
        <v>0.42</v>
      </c>
    </row>
    <row r="93" spans="22:22" x14ac:dyDescent="0.2">
      <c r="V93" s="315">
        <v>0.43999999999999995</v>
      </c>
    </row>
    <row r="94" spans="22:22" x14ac:dyDescent="0.2">
      <c r="V94" s="315">
        <v>0.45999999999999996</v>
      </c>
    </row>
    <row r="95" spans="22:22" x14ac:dyDescent="0.2">
      <c r="V95" s="315">
        <v>0.48</v>
      </c>
    </row>
    <row r="96" spans="22:22" x14ac:dyDescent="0.2">
      <c r="V96" s="315">
        <v>0.5</v>
      </c>
    </row>
    <row r="97" spans="22:22" x14ac:dyDescent="0.2">
      <c r="V97" s="315">
        <v>0.52</v>
      </c>
    </row>
    <row r="98" spans="22:22" x14ac:dyDescent="0.2">
      <c r="V98" s="315">
        <v>0.54</v>
      </c>
    </row>
    <row r="99" spans="22:22" x14ac:dyDescent="0.2">
      <c r="V99" s="315">
        <v>0.56000000000000005</v>
      </c>
    </row>
    <row r="100" spans="22:22" x14ac:dyDescent="0.2">
      <c r="V100" s="315">
        <v>0.58000000000000007</v>
      </c>
    </row>
    <row r="101" spans="22:22" x14ac:dyDescent="0.2">
      <c r="V101" s="315">
        <v>0.60000000000000009</v>
      </c>
    </row>
    <row r="102" spans="22:22" x14ac:dyDescent="0.2">
      <c r="V102" s="315">
        <v>0.62000000000000011</v>
      </c>
    </row>
    <row r="103" spans="22:22" x14ac:dyDescent="0.2">
      <c r="V103" s="315">
        <v>0.6399999999999999</v>
      </c>
    </row>
    <row r="104" spans="22:22" x14ac:dyDescent="0.2">
      <c r="V104" s="315">
        <v>0.65999999999999992</v>
      </c>
    </row>
    <row r="105" spans="22:22" x14ac:dyDescent="0.2">
      <c r="V105" s="315">
        <v>0.67999999999999994</v>
      </c>
    </row>
    <row r="106" spans="22:22" x14ac:dyDescent="0.2">
      <c r="V106" s="315">
        <v>0.7</v>
      </c>
    </row>
    <row r="107" spans="22:22" x14ac:dyDescent="0.2">
      <c r="V107" s="315">
        <v>0.72</v>
      </c>
    </row>
    <row r="108" spans="22:22" x14ac:dyDescent="0.2">
      <c r="V108" s="315">
        <v>0.74</v>
      </c>
    </row>
    <row r="109" spans="22:22" x14ac:dyDescent="0.2">
      <c r="V109" s="315">
        <v>0.76</v>
      </c>
    </row>
    <row r="110" spans="22:22" x14ac:dyDescent="0.2">
      <c r="V110" s="315">
        <v>0.78</v>
      </c>
    </row>
    <row r="111" spans="22:22" x14ac:dyDescent="0.2">
      <c r="V111" s="315">
        <v>0.8</v>
      </c>
    </row>
    <row r="112" spans="22:22" x14ac:dyDescent="0.2">
      <c r="V112" s="315">
        <v>0.82000000000000006</v>
      </c>
    </row>
    <row r="113" spans="22:22" x14ac:dyDescent="0.2">
      <c r="V113" s="315">
        <v>0.84000000000000008</v>
      </c>
    </row>
    <row r="114" spans="22:22" x14ac:dyDescent="0.2">
      <c r="V114" s="315">
        <v>0.8600000000000001</v>
      </c>
    </row>
    <row r="115" spans="22:22" x14ac:dyDescent="0.2">
      <c r="V115" s="315">
        <v>0.87999999999999989</v>
      </c>
    </row>
    <row r="116" spans="22:22" x14ac:dyDescent="0.2">
      <c r="V116" s="315">
        <v>0.89999999999999991</v>
      </c>
    </row>
    <row r="117" spans="22:22" x14ac:dyDescent="0.2">
      <c r="V117" s="315">
        <v>0.91999999999999993</v>
      </c>
    </row>
    <row r="118" spans="22:22" x14ac:dyDescent="0.2">
      <c r="V118" s="315">
        <v>0.94</v>
      </c>
    </row>
    <row r="119" spans="22:22" x14ac:dyDescent="0.2">
      <c r="V119" s="315">
        <v>0.96</v>
      </c>
    </row>
    <row r="120" spans="22:22" x14ac:dyDescent="0.2">
      <c r="V120" s="315">
        <v>0.98</v>
      </c>
    </row>
    <row r="121" spans="22:22" x14ac:dyDescent="0.2">
      <c r="V121" s="315">
        <v>1</v>
      </c>
    </row>
    <row r="122" spans="22:22" x14ac:dyDescent="0.2">
      <c r="V122" s="315">
        <v>1.02</v>
      </c>
    </row>
    <row r="123" spans="22:22" x14ac:dyDescent="0.2">
      <c r="V123" s="315">
        <v>1.04</v>
      </c>
    </row>
    <row r="124" spans="22:22" x14ac:dyDescent="0.2">
      <c r="V124" s="315">
        <v>1.06</v>
      </c>
    </row>
    <row r="125" spans="22:22" x14ac:dyDescent="0.2">
      <c r="V125" s="315">
        <v>1.08</v>
      </c>
    </row>
    <row r="126" spans="22:22" x14ac:dyDescent="0.2">
      <c r="V126" s="315">
        <v>1.1000000000000001</v>
      </c>
    </row>
    <row r="127" spans="22:22" x14ac:dyDescent="0.2">
      <c r="V127" s="315">
        <v>1.1200000000000001</v>
      </c>
    </row>
    <row r="128" spans="22:22" x14ac:dyDescent="0.2">
      <c r="V128" s="315">
        <v>1.1399999999999999</v>
      </c>
    </row>
    <row r="129" spans="22:22" x14ac:dyDescent="0.2">
      <c r="V129" s="315">
        <v>1.1599999999999999</v>
      </c>
    </row>
    <row r="130" spans="22:22" x14ac:dyDescent="0.2">
      <c r="V130" s="315">
        <v>1.18</v>
      </c>
    </row>
    <row r="131" spans="22:22" x14ac:dyDescent="0.2">
      <c r="V131" s="315">
        <v>1.2</v>
      </c>
    </row>
    <row r="132" spans="22:22" x14ac:dyDescent="0.2">
      <c r="V132" s="315">
        <v>1.22</v>
      </c>
    </row>
    <row r="133" spans="22:22" x14ac:dyDescent="0.2">
      <c r="V133" s="315">
        <v>1.24</v>
      </c>
    </row>
    <row r="134" spans="22:22" x14ac:dyDescent="0.2">
      <c r="V134" s="315">
        <v>1.26</v>
      </c>
    </row>
    <row r="135" spans="22:22" x14ac:dyDescent="0.2">
      <c r="V135" s="315">
        <v>1.28</v>
      </c>
    </row>
    <row r="136" spans="22:22" x14ac:dyDescent="0.2">
      <c r="V136" s="315">
        <v>1.3</v>
      </c>
    </row>
    <row r="137" spans="22:22" x14ac:dyDescent="0.2">
      <c r="V137" s="315">
        <v>1.32</v>
      </c>
    </row>
    <row r="138" spans="22:22" x14ac:dyDescent="0.2">
      <c r="V138" s="315">
        <v>1.34</v>
      </c>
    </row>
    <row r="139" spans="22:22" x14ac:dyDescent="0.2">
      <c r="V139" s="315">
        <v>1.36</v>
      </c>
    </row>
    <row r="140" spans="22:22" x14ac:dyDescent="0.2">
      <c r="V140" s="315">
        <v>1.38</v>
      </c>
    </row>
    <row r="141" spans="22:22" x14ac:dyDescent="0.2">
      <c r="V141" s="315">
        <v>1.4</v>
      </c>
    </row>
    <row r="142" spans="22:22" x14ac:dyDescent="0.2">
      <c r="V142" s="315">
        <v>1.42</v>
      </c>
    </row>
    <row r="143" spans="22:22" x14ac:dyDescent="0.2">
      <c r="V143" s="315">
        <v>1.44</v>
      </c>
    </row>
    <row r="144" spans="22:22" x14ac:dyDescent="0.2">
      <c r="V144" s="315">
        <v>1.46</v>
      </c>
    </row>
    <row r="145" spans="22:22" x14ac:dyDescent="0.2">
      <c r="V145" s="315">
        <v>1.48</v>
      </c>
    </row>
    <row r="146" spans="22:22" x14ac:dyDescent="0.2">
      <c r="V146" s="315">
        <v>1.5</v>
      </c>
    </row>
  </sheetData>
  <mergeCells count="18">
    <mergeCell ref="G30:O30"/>
    <mergeCell ref="D14:J14"/>
    <mergeCell ref="K12:P12"/>
    <mergeCell ref="K13:P13"/>
    <mergeCell ref="K11:P11"/>
    <mergeCell ref="D25:F25"/>
    <mergeCell ref="D27:F27"/>
    <mergeCell ref="G23:J23"/>
    <mergeCell ref="J10:J11"/>
    <mergeCell ref="D21:J21"/>
    <mergeCell ref="D3:F3"/>
    <mergeCell ref="H10:I10"/>
    <mergeCell ref="D20:F20"/>
    <mergeCell ref="G16:J16"/>
    <mergeCell ref="D18:F18"/>
    <mergeCell ref="D12:G12"/>
    <mergeCell ref="D13:G13"/>
    <mergeCell ref="H9:J9"/>
  </mergeCells>
  <conditionalFormatting sqref="L17:N27">
    <cfRule type="expression" dxfId="14" priority="25">
      <formula>$F$5=4</formula>
    </cfRule>
  </conditionalFormatting>
  <conditionalFormatting sqref="K17:N27">
    <cfRule type="expression" dxfId="13" priority="24">
      <formula>$F$5=4</formula>
    </cfRule>
  </conditionalFormatting>
  <conditionalFormatting sqref="K17:K20 K23:K27">
    <cfRule type="expression" dxfId="12" priority="26">
      <formula>$F$5=4</formula>
    </cfRule>
  </conditionalFormatting>
  <conditionalFormatting sqref="G19:J19">
    <cfRule type="cellIs" dxfId="11" priority="20" operator="lessThan">
      <formula>-1.55</formula>
    </cfRule>
  </conditionalFormatting>
  <conditionalFormatting sqref="K19:M19">
    <cfRule type="expression" dxfId="10" priority="19">
      <formula>AND($F$5=7,K19&lt;-1.55)</formula>
    </cfRule>
  </conditionalFormatting>
  <conditionalFormatting sqref="K13 C7 C13">
    <cfRule type="expression" dxfId="9" priority="9">
      <formula>AND($H$13="ok",$I$13="ok")</formula>
    </cfRule>
  </conditionalFormatting>
  <conditionalFormatting sqref="K12 C6 C12">
    <cfRule type="expression" dxfId="8" priority="1">
      <formula>AND($H$12="ok",$I$12="ok",$H$13="ok",$I$13="ok",$F$6&gt;=$F$7,OR(AND($F$5=4,$G$18&gt;=$H$18,$H$18&gt;=$I$18,$I$18&gt;=$J$18,OR($J$18&gt;=0.4,$J$19&gt;-1.55)), AND($F$5=7,$G$18&gt;=$H$18,$H$18&gt;=$I$18,$I$18&gt;=$J$18,$J$18&gt;=$K$18,$K$18&gt;=$L$18,$L$18&gt;=$M$18,OR($M$18&gt;=0.25,$M$19&gt;-1.55))))</formula>
    </cfRule>
  </conditionalFormatting>
  <dataValidations count="2">
    <dataValidation type="list" allowBlank="1" showInputMessage="1" showErrorMessage="1" sqref="F5" xr:uid="{FF9EC846-9BB1-4470-A3A9-D4EAF7E33AA3}">
      <formula1>$U$2:$U$3</formula1>
    </dataValidation>
    <dataValidation type="list" allowBlank="1" showInputMessage="1" showErrorMessage="1" sqref="F6:F7" xr:uid="{58E80B52-2C84-4DED-A28F-8F17D4D7EC2D}">
      <formula1>$V$2:$V$146</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theme="8" tint="0.39997558519241921"/>
  </sheetPr>
  <dimension ref="A1:BB77"/>
  <sheetViews>
    <sheetView zoomScaleNormal="100" workbookViewId="0">
      <selection sqref="A1:A200"/>
    </sheetView>
  </sheetViews>
  <sheetFormatPr defaultColWidth="8.85546875" defaultRowHeight="12.75" x14ac:dyDescent="0.2"/>
  <cols>
    <col min="1" max="1" width="8.7109375" style="109" customWidth="1"/>
    <col min="2" max="2" width="58.42578125" style="109" customWidth="1"/>
    <col min="3" max="6" width="8.7109375" style="109" customWidth="1"/>
    <col min="7" max="16384" width="8.85546875" style="109"/>
  </cols>
  <sheetData>
    <row r="1" spans="1:54" s="45" customFormat="1" ht="24.75" customHeight="1" x14ac:dyDescent="0.2">
      <c r="B1" s="102"/>
    </row>
    <row r="2" spans="1:54" s="45" customFormat="1" ht="11.25" customHeight="1" x14ac:dyDescent="0.2">
      <c r="B2" s="103"/>
    </row>
    <row r="3" spans="1:54" s="45" customFormat="1" ht="11.25" customHeight="1" x14ac:dyDescent="0.2">
      <c r="B3" s="104" t="s">
        <v>11</v>
      </c>
      <c r="C3" s="105" t="s">
        <v>111</v>
      </c>
    </row>
    <row r="4" spans="1:54" s="45" customFormat="1" ht="11.25" customHeight="1" x14ac:dyDescent="0.2">
      <c r="B4" s="106"/>
      <c r="C4" s="12"/>
    </row>
    <row r="5" spans="1:54" s="45" customFormat="1" ht="11.25" customHeight="1" x14ac:dyDescent="0.2">
      <c r="B5" s="107" t="s">
        <v>119</v>
      </c>
      <c r="C5" s="12">
        <v>2024</v>
      </c>
    </row>
    <row r="6" spans="1:54" x14ac:dyDescent="0.2">
      <c r="A6" s="45"/>
      <c r="B6" s="108" t="s">
        <v>22</v>
      </c>
      <c r="C6" s="233">
        <f>C5+'Criteria results'!$F$5</f>
        <v>2028</v>
      </c>
    </row>
    <row r="8" spans="1:54" s="110" customFormat="1" ht="12" customHeight="1" x14ac:dyDescent="0.2">
      <c r="B8" s="111" t="s">
        <v>23</v>
      </c>
      <c r="C8" s="112"/>
      <c r="D8" s="112"/>
      <c r="E8" s="112"/>
      <c r="F8" s="112"/>
      <c r="G8" s="112"/>
      <c r="H8" s="112"/>
      <c r="I8" s="112"/>
      <c r="J8" s="112"/>
      <c r="K8" s="112"/>
      <c r="L8" s="112"/>
      <c r="M8" s="112"/>
      <c r="N8" s="112"/>
      <c r="O8" s="112"/>
    </row>
    <row r="9" spans="1:54" x14ac:dyDescent="0.2">
      <c r="B9" s="45"/>
      <c r="C9" s="113">
        <v>2021</v>
      </c>
      <c r="D9" s="113">
        <v>2022</v>
      </c>
      <c r="E9" s="113">
        <v>2023</v>
      </c>
      <c r="F9" s="113">
        <v>2024</v>
      </c>
      <c r="G9" s="113">
        <v>2025</v>
      </c>
      <c r="H9" s="113">
        <v>2026</v>
      </c>
      <c r="I9" s="113">
        <v>2027</v>
      </c>
      <c r="J9" s="113">
        <v>2028</v>
      </c>
      <c r="K9" s="113">
        <v>2029</v>
      </c>
      <c r="L9" s="113">
        <v>2030</v>
      </c>
      <c r="M9" s="113">
        <v>2031</v>
      </c>
      <c r="N9" s="113">
        <v>2032</v>
      </c>
      <c r="O9" s="113">
        <v>2033</v>
      </c>
      <c r="P9" s="113">
        <v>2034</v>
      </c>
      <c r="Q9" s="113">
        <v>2035</v>
      </c>
      <c r="R9" s="113">
        <v>2036</v>
      </c>
      <c r="S9" s="113">
        <v>2037</v>
      </c>
      <c r="T9" s="113">
        <v>2038</v>
      </c>
      <c r="U9" s="113">
        <v>2039</v>
      </c>
      <c r="V9" s="113">
        <v>2040</v>
      </c>
      <c r="W9" s="113">
        <v>2041</v>
      </c>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row>
    <row r="10" spans="1:54" s="114" customFormat="1" x14ac:dyDescent="0.2">
      <c r="B10" s="115" t="s">
        <v>24</v>
      </c>
      <c r="C10" s="116"/>
      <c r="D10" s="116"/>
      <c r="E10" s="116"/>
      <c r="F10" s="116"/>
      <c r="G10" s="116"/>
      <c r="H10" s="116"/>
      <c r="I10" s="116"/>
      <c r="J10" s="116"/>
      <c r="K10" s="116"/>
      <c r="L10" s="116"/>
      <c r="M10" s="116"/>
      <c r="N10" s="116"/>
      <c r="O10" s="116"/>
    </row>
    <row r="11" spans="1:54" x14ac:dyDescent="0.2">
      <c r="B11" s="117" t="s">
        <v>194</v>
      </c>
      <c r="C11" s="118"/>
      <c r="D11" s="118"/>
      <c r="E11" s="118"/>
      <c r="F11" s="118"/>
      <c r="G11" s="118"/>
      <c r="H11" s="118"/>
      <c r="I11" s="118"/>
      <c r="J11" s="118"/>
      <c r="K11" s="118"/>
      <c r="L11" s="118"/>
      <c r="M11" s="118"/>
      <c r="N11" s="118"/>
      <c r="O11" s="118"/>
    </row>
    <row r="12" spans="1:54" x14ac:dyDescent="0.2">
      <c r="A12" s="45"/>
      <c r="B12" s="45" t="s">
        <v>21</v>
      </c>
      <c r="C12" s="44">
        <v>54.398470000000003</v>
      </c>
      <c r="D12" s="119">
        <v>44.391779999999997</v>
      </c>
      <c r="E12" s="119">
        <v>43.730440000000002</v>
      </c>
      <c r="F12" s="119">
        <v>42.488840000000003</v>
      </c>
      <c r="G12" s="44" t="s">
        <v>25</v>
      </c>
      <c r="H12" s="44" t="s">
        <v>25</v>
      </c>
      <c r="I12" s="44" t="s">
        <v>25</v>
      </c>
      <c r="J12" s="44" t="s">
        <v>25</v>
      </c>
      <c r="K12" s="44" t="s">
        <v>25</v>
      </c>
      <c r="L12" s="44" t="s">
        <v>25</v>
      </c>
      <c r="M12" s="44" t="s">
        <v>25</v>
      </c>
      <c r="N12" s="44" t="s">
        <v>25</v>
      </c>
      <c r="O12" s="44" t="s">
        <v>25</v>
      </c>
    </row>
    <row r="13" spans="1:54" x14ac:dyDescent="0.2">
      <c r="A13" s="45"/>
      <c r="B13" s="45" t="s">
        <v>26</v>
      </c>
      <c r="C13" s="44">
        <v>-3.1653180000000001</v>
      </c>
      <c r="D13" s="119">
        <v>-2.376722</v>
      </c>
      <c r="E13" s="119">
        <v>1.7124649999999999</v>
      </c>
      <c r="F13" s="119">
        <v>2.5288010000000001</v>
      </c>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row>
    <row r="14" spans="1:54" x14ac:dyDescent="0.2">
      <c r="A14" s="45"/>
      <c r="B14" s="45" t="s">
        <v>27</v>
      </c>
      <c r="C14" s="44">
        <v>0</v>
      </c>
      <c r="D14" s="119">
        <v>0</v>
      </c>
      <c r="E14" s="119">
        <v>0</v>
      </c>
      <c r="F14" s="119">
        <v>0</v>
      </c>
      <c r="G14" s="119">
        <v>0</v>
      </c>
      <c r="H14" s="119">
        <v>0</v>
      </c>
      <c r="I14" s="119">
        <v>0</v>
      </c>
      <c r="J14" s="119">
        <v>0</v>
      </c>
      <c r="K14" s="119">
        <v>0</v>
      </c>
      <c r="L14" s="119">
        <v>0</v>
      </c>
      <c r="M14" s="119">
        <v>0</v>
      </c>
      <c r="N14" s="119">
        <v>0</v>
      </c>
      <c r="O14" s="119">
        <v>0</v>
      </c>
      <c r="P14" s="119">
        <v>0</v>
      </c>
      <c r="Q14" s="119">
        <v>0</v>
      </c>
      <c r="R14" s="119">
        <v>0</v>
      </c>
      <c r="S14" s="119">
        <v>0</v>
      </c>
      <c r="T14" s="119">
        <v>0</v>
      </c>
      <c r="U14" s="119">
        <v>0</v>
      </c>
      <c r="V14" s="119">
        <v>0</v>
      </c>
      <c r="W14" s="119">
        <v>0</v>
      </c>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row>
    <row r="15" spans="1:54" x14ac:dyDescent="0.2">
      <c r="A15" s="45"/>
      <c r="B15" s="45" t="s">
        <v>28</v>
      </c>
      <c r="C15" s="44">
        <v>2.6902740000000001</v>
      </c>
      <c r="D15" s="119">
        <v>-0.54206140000000003</v>
      </c>
      <c r="E15" s="119">
        <v>0.84280860000000002</v>
      </c>
      <c r="F15" s="119">
        <v>1.636568</v>
      </c>
      <c r="G15" s="119">
        <v>2.20024</v>
      </c>
      <c r="H15" s="119">
        <v>0</v>
      </c>
      <c r="I15" s="119">
        <v>0</v>
      </c>
      <c r="J15" s="119">
        <v>0</v>
      </c>
      <c r="K15" s="119">
        <v>0</v>
      </c>
      <c r="L15" s="119">
        <v>0</v>
      </c>
      <c r="M15" s="119">
        <v>0</v>
      </c>
      <c r="N15" s="119">
        <v>0</v>
      </c>
      <c r="O15" s="119">
        <v>0</v>
      </c>
      <c r="P15" s="119">
        <v>0</v>
      </c>
      <c r="Q15" s="119">
        <v>0</v>
      </c>
      <c r="R15" s="119">
        <v>0</v>
      </c>
      <c r="S15" s="119">
        <v>0</v>
      </c>
      <c r="T15" s="119">
        <v>0</v>
      </c>
      <c r="U15" s="119">
        <v>0</v>
      </c>
      <c r="V15" s="119">
        <v>0</v>
      </c>
      <c r="W15" s="119">
        <v>0</v>
      </c>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row>
    <row r="16" spans="1:54" x14ac:dyDescent="0.2">
      <c r="A16" s="45"/>
      <c r="B16" s="45" t="s">
        <v>29</v>
      </c>
      <c r="C16" s="44">
        <v>2.6902750000000002</v>
      </c>
      <c r="D16" s="119">
        <v>-0.54205939999999997</v>
      </c>
      <c r="E16" s="119">
        <v>0.84280659999999996</v>
      </c>
      <c r="F16" s="119">
        <v>1.6365670000000001</v>
      </c>
      <c r="G16" s="119">
        <v>2.2002419999999998</v>
      </c>
      <c r="H16" s="119">
        <v>0</v>
      </c>
      <c r="I16" s="119">
        <v>0</v>
      </c>
      <c r="J16" s="119">
        <v>0</v>
      </c>
      <c r="K16" s="119">
        <v>0</v>
      </c>
      <c r="L16" s="119">
        <v>0</v>
      </c>
      <c r="M16" s="119">
        <v>0</v>
      </c>
      <c r="N16" s="119">
        <v>0</v>
      </c>
      <c r="O16" s="119">
        <v>0</v>
      </c>
      <c r="P16" s="119">
        <v>0</v>
      </c>
      <c r="Q16" s="119">
        <v>0</v>
      </c>
      <c r="R16" s="119">
        <v>0</v>
      </c>
      <c r="S16" s="119">
        <v>0</v>
      </c>
      <c r="T16" s="119">
        <v>0</v>
      </c>
      <c r="U16" s="119">
        <v>0</v>
      </c>
      <c r="V16" s="119">
        <v>0</v>
      </c>
      <c r="W16" s="119">
        <v>0</v>
      </c>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row>
    <row r="17" spans="1:54" x14ac:dyDescent="0.2">
      <c r="A17" s="45"/>
      <c r="B17" s="301" t="s">
        <v>193</v>
      </c>
      <c r="C17" s="44"/>
      <c r="D17" s="302">
        <v>0</v>
      </c>
      <c r="E17" s="302">
        <v>0</v>
      </c>
      <c r="F17" s="302">
        <v>0</v>
      </c>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row>
    <row r="18" spans="1:54" x14ac:dyDescent="0.2">
      <c r="A18" s="45"/>
      <c r="B18" s="45"/>
      <c r="C18" s="44"/>
      <c r="D18" s="44"/>
      <c r="E18" s="44"/>
      <c r="F18" s="44"/>
      <c r="G18" s="44"/>
      <c r="H18" s="44"/>
      <c r="I18" s="44"/>
      <c r="J18" s="44"/>
      <c r="K18" s="44"/>
      <c r="L18" s="44"/>
      <c r="M18" s="44"/>
      <c r="N18" s="44"/>
      <c r="O18" s="44"/>
    </row>
    <row r="19" spans="1:54" x14ac:dyDescent="0.2">
      <c r="A19" s="45"/>
      <c r="B19" s="117" t="s">
        <v>190</v>
      </c>
      <c r="C19" s="44"/>
      <c r="D19" s="44"/>
      <c r="E19" s="44"/>
      <c r="F19" s="44"/>
      <c r="G19" s="44"/>
      <c r="H19" s="44"/>
      <c r="I19" s="44"/>
      <c r="J19" s="44"/>
      <c r="K19" s="44"/>
      <c r="L19" s="44"/>
      <c r="M19" s="44"/>
      <c r="N19" s="44"/>
      <c r="O19" s="44"/>
    </row>
    <row r="20" spans="1:54" x14ac:dyDescent="0.2">
      <c r="A20" s="45"/>
      <c r="B20" s="45" t="s">
        <v>30</v>
      </c>
      <c r="C20" s="44">
        <f t="shared" ref="C20:T20" si="0">(C21+C22+C23+C24-C25)</f>
        <v>0</v>
      </c>
      <c r="D20" s="120">
        <f t="shared" si="0"/>
        <v>11.98063</v>
      </c>
      <c r="E20" s="120">
        <f t="shared" si="0"/>
        <v>11.588229999999999</v>
      </c>
      <c r="F20" s="120">
        <f t="shared" si="0"/>
        <v>11.59789</v>
      </c>
      <c r="G20" s="120">
        <f t="shared" si="0"/>
        <v>11.651579999999999</v>
      </c>
      <c r="H20" s="120">
        <f t="shared" si="0"/>
        <v>11.82718</v>
      </c>
      <c r="I20" s="120">
        <f t="shared" si="0"/>
        <v>12.010150000000001</v>
      </c>
      <c r="J20" s="120">
        <f t="shared" si="0"/>
        <v>12.141079999999999</v>
      </c>
      <c r="K20" s="120">
        <f t="shared" si="0"/>
        <v>12.226990000000001</v>
      </c>
      <c r="L20" s="120">
        <f t="shared" si="0"/>
        <v>12.335329999999999</v>
      </c>
      <c r="M20" s="120">
        <f t="shared" si="0"/>
        <v>12.45979</v>
      </c>
      <c r="N20" s="120">
        <f t="shared" si="0"/>
        <v>12.64282</v>
      </c>
      <c r="O20" s="120">
        <f t="shared" si="0"/>
        <v>12.72106</v>
      </c>
      <c r="P20" s="120">
        <f t="shared" si="0"/>
        <v>12.846260000000001</v>
      </c>
      <c r="Q20" s="120">
        <f t="shared" si="0"/>
        <v>12.96374</v>
      </c>
      <c r="R20" s="120">
        <f t="shared" si="0"/>
        <v>13.096490000000001</v>
      </c>
      <c r="S20" s="120">
        <f t="shared" si="0"/>
        <v>13.246269999999999</v>
      </c>
      <c r="T20" s="120">
        <f t="shared" si="0"/>
        <v>13.310990000000002</v>
      </c>
      <c r="U20" s="120">
        <f t="shared" ref="U20:W20" si="1">(U21+U22+U23+U24-U25)</f>
        <v>13.428369999999999</v>
      </c>
      <c r="V20" s="120">
        <f t="shared" si="1"/>
        <v>13.554639999999999</v>
      </c>
      <c r="W20" s="120">
        <f t="shared" si="1"/>
        <v>13.691049999999999</v>
      </c>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row>
    <row r="21" spans="1:54" x14ac:dyDescent="0.2">
      <c r="A21" s="45"/>
      <c r="B21" s="121" t="s">
        <v>31</v>
      </c>
      <c r="C21" s="44">
        <v>0</v>
      </c>
      <c r="D21" s="120">
        <v>3.8210899999999999</v>
      </c>
      <c r="E21" s="120">
        <v>3.6100500000000002</v>
      </c>
      <c r="F21" s="120">
        <v>3.6218800000000004</v>
      </c>
      <c r="G21" s="120">
        <v>3.6589499999999999</v>
      </c>
      <c r="H21" s="120">
        <v>3.8009099999999996</v>
      </c>
      <c r="I21" s="120">
        <v>3.9251</v>
      </c>
      <c r="J21" s="120">
        <v>4.0158699999999996</v>
      </c>
      <c r="K21" s="120">
        <v>4.0698600000000003</v>
      </c>
      <c r="L21" s="120">
        <v>4.1507899999999998</v>
      </c>
      <c r="M21" s="120">
        <v>4.2542600000000004</v>
      </c>
      <c r="N21" s="120">
        <v>4.4167900000000007</v>
      </c>
      <c r="O21" s="120">
        <v>4.47248</v>
      </c>
      <c r="P21" s="120">
        <v>4.5712099999999998</v>
      </c>
      <c r="Q21" s="120">
        <v>4.6594700000000007</v>
      </c>
      <c r="R21" s="120">
        <v>4.7588600000000003</v>
      </c>
      <c r="S21" s="120">
        <v>4.87392</v>
      </c>
      <c r="T21" s="120">
        <v>4.8967000000000001</v>
      </c>
      <c r="U21" s="120">
        <v>4.9666600000000001</v>
      </c>
      <c r="V21" s="120">
        <v>5.0415099999999997</v>
      </c>
      <c r="W21" s="120">
        <v>5.1208099999999996</v>
      </c>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row>
    <row r="22" spans="1:54" x14ac:dyDescent="0.2">
      <c r="A22" s="45"/>
      <c r="B22" s="122" t="s">
        <v>32</v>
      </c>
      <c r="C22" s="44">
        <v>0</v>
      </c>
      <c r="D22" s="120">
        <v>4.1103899999999998</v>
      </c>
      <c r="E22" s="120">
        <v>4.0060699999999994</v>
      </c>
      <c r="F22" s="120">
        <v>4.0538800000000004</v>
      </c>
      <c r="G22" s="120">
        <v>4.1012199999999996</v>
      </c>
      <c r="H22" s="120">
        <v>4.1456800000000005</v>
      </c>
      <c r="I22" s="120">
        <v>4.1897900000000003</v>
      </c>
      <c r="J22" s="120">
        <v>4.2373500000000002</v>
      </c>
      <c r="K22" s="120">
        <v>4.2830000000000004</v>
      </c>
      <c r="L22" s="120">
        <v>4.3287599999999999</v>
      </c>
      <c r="M22" s="120">
        <v>4.3717600000000001</v>
      </c>
      <c r="N22" s="120">
        <v>4.4128800000000004</v>
      </c>
      <c r="O22" s="120">
        <v>4.4528299999999996</v>
      </c>
      <c r="P22" s="120">
        <v>4.4927099999999998</v>
      </c>
      <c r="Q22" s="120">
        <v>4.53085</v>
      </c>
      <c r="R22" s="120">
        <v>4.56982</v>
      </c>
      <c r="S22" s="120">
        <v>4.6059299999999999</v>
      </c>
      <c r="T22" s="120">
        <v>4.6435200000000005</v>
      </c>
      <c r="U22" s="120">
        <v>4.6796999999999995</v>
      </c>
      <c r="V22" s="120">
        <v>4.7143699999999997</v>
      </c>
      <c r="W22" s="120">
        <v>4.7496900000000002</v>
      </c>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row>
    <row r="23" spans="1:54" x14ac:dyDescent="0.2">
      <c r="A23" s="45"/>
      <c r="B23" s="122" t="s">
        <v>33</v>
      </c>
      <c r="C23" s="44">
        <v>0</v>
      </c>
      <c r="D23" s="120">
        <v>1.2267600000000001</v>
      </c>
      <c r="E23" s="120">
        <v>1.2215099999999999</v>
      </c>
      <c r="F23" s="120">
        <v>1.23167</v>
      </c>
      <c r="G23" s="120">
        <v>1.2494399999999999</v>
      </c>
      <c r="H23" s="120">
        <v>1.2727999999999999</v>
      </c>
      <c r="I23" s="120">
        <v>1.31549</v>
      </c>
      <c r="J23" s="120">
        <v>1.33901</v>
      </c>
      <c r="K23" s="120">
        <v>1.3625500000000001</v>
      </c>
      <c r="L23" s="120">
        <v>1.3854599999999999</v>
      </c>
      <c r="M23" s="120">
        <v>1.40747</v>
      </c>
      <c r="N23" s="120">
        <v>1.4294499999999999</v>
      </c>
      <c r="O23" s="120">
        <v>1.4527999999999999</v>
      </c>
      <c r="P23" s="120">
        <v>1.4765300000000001</v>
      </c>
      <c r="Q23" s="120">
        <v>1.50085</v>
      </c>
      <c r="R23" s="120">
        <v>1.52518</v>
      </c>
      <c r="S23" s="120">
        <v>1.54983</v>
      </c>
      <c r="T23" s="120">
        <v>1.5752599999999999</v>
      </c>
      <c r="U23" s="120">
        <v>1.6029200000000001</v>
      </c>
      <c r="V23" s="120">
        <v>1.6310399999999998</v>
      </c>
      <c r="W23" s="120">
        <v>1.65937</v>
      </c>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row>
    <row r="24" spans="1:54" x14ac:dyDescent="0.2">
      <c r="A24" s="45"/>
      <c r="B24" s="122" t="s">
        <v>34</v>
      </c>
      <c r="C24" s="44">
        <v>0</v>
      </c>
      <c r="D24" s="120">
        <v>2.82239</v>
      </c>
      <c r="E24" s="120">
        <v>2.7505999999999999</v>
      </c>
      <c r="F24" s="120">
        <v>2.6904599999999999</v>
      </c>
      <c r="G24" s="120">
        <v>2.6419700000000002</v>
      </c>
      <c r="H24" s="120">
        <v>2.6077900000000001</v>
      </c>
      <c r="I24" s="120">
        <v>2.5797699999999999</v>
      </c>
      <c r="J24" s="120">
        <v>2.5488500000000003</v>
      </c>
      <c r="K24" s="120">
        <v>2.5115799999999999</v>
      </c>
      <c r="L24" s="120">
        <v>2.4703200000000001</v>
      </c>
      <c r="M24" s="120">
        <v>2.4262999999999999</v>
      </c>
      <c r="N24" s="120">
        <v>2.3837000000000002</v>
      </c>
      <c r="O24" s="120">
        <v>2.3429500000000001</v>
      </c>
      <c r="P24" s="120">
        <v>2.3058100000000001</v>
      </c>
      <c r="Q24" s="120">
        <v>2.27257</v>
      </c>
      <c r="R24" s="120">
        <v>2.2426300000000001</v>
      </c>
      <c r="S24" s="120">
        <v>2.2165900000000001</v>
      </c>
      <c r="T24" s="120">
        <v>2.1955100000000001</v>
      </c>
      <c r="U24" s="120">
        <v>2.17909</v>
      </c>
      <c r="V24" s="120">
        <v>2.1677200000000001</v>
      </c>
      <c r="W24" s="120">
        <v>2.1611799999999999</v>
      </c>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row>
    <row r="25" spans="1:54" x14ac:dyDescent="0.2">
      <c r="A25" s="45"/>
      <c r="B25" s="122" t="s">
        <v>35</v>
      </c>
      <c r="C25" s="44">
        <v>0</v>
      </c>
      <c r="D25" s="120">
        <v>0</v>
      </c>
      <c r="E25" s="120">
        <v>0</v>
      </c>
      <c r="F25" s="120">
        <v>0</v>
      </c>
      <c r="G25" s="120">
        <v>0</v>
      </c>
      <c r="H25" s="120">
        <v>0</v>
      </c>
      <c r="I25" s="120">
        <v>0</v>
      </c>
      <c r="J25" s="120">
        <v>0</v>
      </c>
      <c r="K25" s="120">
        <v>0</v>
      </c>
      <c r="L25" s="120">
        <v>0</v>
      </c>
      <c r="M25" s="120">
        <v>0</v>
      </c>
      <c r="N25" s="120">
        <v>0</v>
      </c>
      <c r="O25" s="120">
        <v>0</v>
      </c>
      <c r="P25" s="120">
        <v>0</v>
      </c>
      <c r="Q25" s="120">
        <v>0</v>
      </c>
      <c r="R25" s="120">
        <v>0</v>
      </c>
      <c r="S25" s="120">
        <v>0</v>
      </c>
      <c r="T25" s="120">
        <v>0</v>
      </c>
      <c r="U25" s="120">
        <v>0</v>
      </c>
      <c r="V25" s="120">
        <v>0</v>
      </c>
      <c r="W25" s="120">
        <v>0</v>
      </c>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row>
    <row r="26" spans="1:54" x14ac:dyDescent="0.2">
      <c r="A26" s="45"/>
      <c r="B26" s="121" t="s">
        <v>36</v>
      </c>
      <c r="C26" s="44">
        <v>0.1107195</v>
      </c>
      <c r="D26" s="120">
        <v>0.13275200000000001</v>
      </c>
      <c r="E26" s="120">
        <v>0.13495019999999999</v>
      </c>
      <c r="F26" s="120">
        <v>0.1371484</v>
      </c>
      <c r="G26" s="120">
        <v>0.13934659999999999</v>
      </c>
      <c r="H26" s="120">
        <v>0.1415448</v>
      </c>
      <c r="I26" s="120">
        <v>0.14374300000000001</v>
      </c>
      <c r="J26" s="120">
        <v>0.14594119999999999</v>
      </c>
      <c r="K26" s="120">
        <v>0.1481394</v>
      </c>
      <c r="L26" s="120">
        <v>0.15033759999999999</v>
      </c>
      <c r="M26" s="120">
        <v>0.1525358</v>
      </c>
      <c r="N26" s="120">
        <v>0.15473400000000001</v>
      </c>
      <c r="O26" s="120">
        <v>0.15693219999999999</v>
      </c>
      <c r="P26" s="120">
        <v>0.15913050000000001</v>
      </c>
      <c r="Q26" s="120">
        <v>0.16132869999999999</v>
      </c>
      <c r="R26" s="120">
        <v>0.1635269</v>
      </c>
      <c r="S26" s="120">
        <v>0.16572509999999999</v>
      </c>
      <c r="T26" s="120">
        <v>0.1679233</v>
      </c>
      <c r="U26" s="120">
        <v>0.17012150000000001</v>
      </c>
      <c r="V26" s="120">
        <v>0.17231969999999999</v>
      </c>
      <c r="W26" s="120">
        <v>0.1745179</v>
      </c>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row>
    <row r="27" spans="1:54" x14ac:dyDescent="0.2">
      <c r="A27" s="45"/>
      <c r="B27" s="45"/>
      <c r="C27" s="45"/>
      <c r="D27" s="45"/>
      <c r="E27" s="45"/>
      <c r="F27" s="45"/>
      <c r="G27" s="45"/>
      <c r="H27" s="45"/>
      <c r="I27" s="45"/>
      <c r="J27" s="45"/>
      <c r="K27" s="45"/>
      <c r="L27" s="45"/>
      <c r="M27" s="45"/>
      <c r="N27" s="45"/>
      <c r="O27" s="45"/>
    </row>
    <row r="28" spans="1:54" s="114" customFormat="1" x14ac:dyDescent="0.2">
      <c r="A28" s="123"/>
      <c r="B28" s="115" t="s">
        <v>171</v>
      </c>
      <c r="C28" s="123"/>
      <c r="D28" s="123"/>
      <c r="E28" s="123"/>
      <c r="F28" s="123"/>
      <c r="G28" s="123"/>
      <c r="H28" s="123"/>
      <c r="I28" s="123"/>
      <c r="J28" s="123"/>
      <c r="K28" s="123"/>
      <c r="L28" s="123"/>
      <c r="M28" s="123"/>
      <c r="N28" s="123"/>
      <c r="O28" s="123"/>
    </row>
    <row r="29" spans="1:54" x14ac:dyDescent="0.2">
      <c r="A29" s="45"/>
      <c r="B29" s="117" t="s">
        <v>37</v>
      </c>
      <c r="C29" s="45"/>
      <c r="D29" s="45"/>
      <c r="E29" s="45"/>
      <c r="F29" s="45"/>
      <c r="G29" s="45"/>
      <c r="H29" s="45"/>
      <c r="I29" s="45"/>
      <c r="J29" s="45"/>
      <c r="K29" s="45"/>
      <c r="L29" s="45"/>
      <c r="M29" s="45"/>
      <c r="N29" s="45"/>
      <c r="O29" s="45"/>
    </row>
    <row r="30" spans="1:54" x14ac:dyDescent="0.2">
      <c r="A30" s="45"/>
      <c r="B30" s="45" t="s">
        <v>38</v>
      </c>
      <c r="C30" s="124">
        <v>15.125220000000001</v>
      </c>
      <c r="D30" s="125">
        <v>9.4330219999999994</v>
      </c>
      <c r="E30" s="125">
        <v>-3.198788</v>
      </c>
      <c r="F30" s="125">
        <v>1.2437020000000001</v>
      </c>
      <c r="G30" s="125">
        <v>3.3938060000000001</v>
      </c>
      <c r="H30" s="125">
        <v>3.7461139999999999</v>
      </c>
      <c r="I30" s="125">
        <v>3.8023690000000001</v>
      </c>
      <c r="J30" s="125">
        <v>3.5773860000000002</v>
      </c>
      <c r="K30" s="125">
        <v>3.1642039999999998</v>
      </c>
      <c r="L30" s="125">
        <v>2.9380139999999999</v>
      </c>
      <c r="M30" s="125">
        <v>2.6694110000000002</v>
      </c>
      <c r="N30" s="125">
        <v>2.3597860000000002</v>
      </c>
      <c r="O30" s="125">
        <v>2.0134089999999998</v>
      </c>
      <c r="P30" s="126">
        <v>1.9504570000000001</v>
      </c>
      <c r="Q30" s="126">
        <v>1.887507</v>
      </c>
      <c r="R30" s="126">
        <v>1.8245469999999999</v>
      </c>
      <c r="S30" s="126">
        <v>1.823224</v>
      </c>
      <c r="T30" s="126">
        <v>1.7845059999999999</v>
      </c>
      <c r="U30" s="126">
        <v>1.734372</v>
      </c>
      <c r="V30" s="126">
        <v>1.6682140000000001</v>
      </c>
      <c r="W30" s="126">
        <v>1.5711120000000001</v>
      </c>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row>
    <row r="31" spans="1:54" x14ac:dyDescent="0.2">
      <c r="A31" s="45"/>
      <c r="B31" s="259" t="s">
        <v>145</v>
      </c>
      <c r="C31" s="124">
        <v>410.94639999999998</v>
      </c>
    </row>
    <row r="32" spans="1:54" x14ac:dyDescent="0.2">
      <c r="A32" s="45"/>
      <c r="B32" s="117" t="s">
        <v>40</v>
      </c>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row>
    <row r="33" spans="1:54" x14ac:dyDescent="0.2">
      <c r="A33" s="45"/>
      <c r="B33" s="45" t="s">
        <v>38</v>
      </c>
      <c r="C33" s="124">
        <v>4.3490169999999999</v>
      </c>
      <c r="D33" s="125">
        <v>4.9580349999999997</v>
      </c>
      <c r="E33" s="125">
        <v>4.3335239999999997</v>
      </c>
      <c r="F33" s="125">
        <v>3.6155910000000002</v>
      </c>
      <c r="G33" s="125">
        <v>3.285812</v>
      </c>
      <c r="H33" s="125">
        <v>3.394844</v>
      </c>
      <c r="I33" s="125">
        <v>3.3358690000000002</v>
      </c>
      <c r="J33" s="125">
        <v>3.3451610000000001</v>
      </c>
      <c r="K33" s="125">
        <v>3.1642049999999999</v>
      </c>
      <c r="L33" s="125">
        <v>2.9380139999999999</v>
      </c>
      <c r="M33" s="125">
        <v>2.6694089999999999</v>
      </c>
      <c r="N33" s="125">
        <v>2.3597839999999999</v>
      </c>
      <c r="O33" s="125">
        <v>2.0134099999999999</v>
      </c>
      <c r="P33" s="126">
        <v>1.950456</v>
      </c>
      <c r="Q33" s="126">
        <v>1.8875029999999999</v>
      </c>
      <c r="R33" s="126">
        <v>1.824549</v>
      </c>
      <c r="S33" s="126">
        <v>1.823226</v>
      </c>
      <c r="T33" s="126">
        <v>1.7845040000000001</v>
      </c>
      <c r="U33" s="126">
        <v>1.7343679999999999</v>
      </c>
      <c r="V33" s="126">
        <v>1.6682110000000001</v>
      </c>
      <c r="W33" s="126">
        <v>1.5711079999999999</v>
      </c>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row>
    <row r="34" spans="1:54" x14ac:dyDescent="0.2">
      <c r="A34" s="45"/>
      <c r="B34" s="259" t="s">
        <v>145</v>
      </c>
      <c r="C34" s="124">
        <v>392.80360000000002</v>
      </c>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row>
    <row r="35" spans="1:54" x14ac:dyDescent="0.2">
      <c r="A35" s="45"/>
      <c r="B35" s="259"/>
      <c r="C35" s="124"/>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row>
    <row r="36" spans="1:54" s="114" customFormat="1" x14ac:dyDescent="0.2">
      <c r="A36" s="123"/>
      <c r="B36" s="115" t="s">
        <v>186</v>
      </c>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row>
    <row r="37" spans="1:54" x14ac:dyDescent="0.2">
      <c r="A37" s="45"/>
      <c r="B37" s="45" t="s">
        <v>41</v>
      </c>
      <c r="C37" s="44">
        <v>1.510173</v>
      </c>
      <c r="D37" s="119">
        <v>1.408838</v>
      </c>
      <c r="E37" s="119">
        <v>1.550894</v>
      </c>
      <c r="F37" s="119">
        <v>1.641526</v>
      </c>
      <c r="G37" s="119">
        <v>1.6843859999999999</v>
      </c>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row>
    <row r="38" spans="1:54" x14ac:dyDescent="0.2">
      <c r="A38" s="45"/>
      <c r="B38" s="121" t="s">
        <v>42</v>
      </c>
      <c r="D38" s="119">
        <v>0.35</v>
      </c>
      <c r="E38" s="119">
        <v>3.43</v>
      </c>
      <c r="F38" s="249">
        <v>3.5642079999999998</v>
      </c>
      <c r="G38" s="250">
        <v>2.8163749999999999</v>
      </c>
      <c r="H38" s="44"/>
    </row>
    <row r="39" spans="1:54" x14ac:dyDescent="0.2">
      <c r="A39" s="45"/>
      <c r="B39" s="121" t="s">
        <v>43</v>
      </c>
      <c r="D39" s="119">
        <v>1.75</v>
      </c>
      <c r="E39" s="119">
        <v>2.87</v>
      </c>
      <c r="F39" s="251">
        <v>2.837221</v>
      </c>
      <c r="G39" s="252">
        <v>2.9036849999999998</v>
      </c>
      <c r="H39" s="44"/>
    </row>
    <row r="40" spans="1:54" x14ac:dyDescent="0.2">
      <c r="A40" s="45"/>
      <c r="B40" s="122"/>
      <c r="C40" s="44"/>
      <c r="D40" s="44"/>
      <c r="E40" s="127"/>
      <c r="F40" s="248" t="s">
        <v>49</v>
      </c>
      <c r="G40" s="127"/>
      <c r="H40" s="127"/>
      <c r="I40" s="127"/>
      <c r="J40" s="127"/>
      <c r="K40" s="127"/>
      <c r="L40" s="127"/>
      <c r="M40" s="127"/>
      <c r="N40" s="127"/>
      <c r="O40" s="127"/>
      <c r="P40" s="127"/>
      <c r="Q40" s="127"/>
      <c r="R40" s="127"/>
      <c r="S40" s="127"/>
      <c r="T40" s="127"/>
      <c r="U40" s="127"/>
      <c r="V40" s="127"/>
      <c r="W40" s="127"/>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row>
    <row r="41" spans="1:54" s="114" customFormat="1" x14ac:dyDescent="0.2">
      <c r="A41" s="123"/>
      <c r="B41" s="128" t="s">
        <v>187</v>
      </c>
      <c r="C41" s="129"/>
      <c r="D41" s="129"/>
      <c r="E41" s="129"/>
      <c r="F41" s="129"/>
      <c r="G41" s="130"/>
      <c r="H41" s="130"/>
      <c r="I41" s="130"/>
      <c r="J41" s="130"/>
      <c r="K41" s="130"/>
      <c r="L41" s="130"/>
      <c r="M41" s="130"/>
      <c r="N41" s="130"/>
      <c r="O41" s="130"/>
      <c r="P41" s="130"/>
      <c r="Q41" s="130"/>
      <c r="R41" s="130"/>
      <c r="S41" s="130"/>
      <c r="T41" s="130"/>
      <c r="U41" s="130"/>
      <c r="V41" s="130"/>
      <c r="W41" s="130"/>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row>
    <row r="42" spans="1:54" x14ac:dyDescent="0.2">
      <c r="A42" s="45"/>
      <c r="B42" s="45" t="s">
        <v>44</v>
      </c>
      <c r="C42" s="44">
        <v>0.47748259999999998</v>
      </c>
      <c r="D42" s="119">
        <v>6.5822690000000001</v>
      </c>
      <c r="E42" s="119">
        <v>2.965217</v>
      </c>
      <c r="F42" s="119">
        <v>2.5743459999999998</v>
      </c>
      <c r="G42" s="119">
        <v>1.9148970000000001</v>
      </c>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row>
    <row r="43" spans="1:54" x14ac:dyDescent="0.2">
      <c r="A43" s="45"/>
    </row>
    <row r="44" spans="1:54" s="114" customFormat="1" x14ac:dyDescent="0.2">
      <c r="A44" s="123"/>
      <c r="B44" s="128" t="s">
        <v>188</v>
      </c>
      <c r="C44" s="129"/>
      <c r="D44" s="129"/>
      <c r="E44" s="129"/>
      <c r="F44" s="129"/>
      <c r="G44" s="130"/>
      <c r="H44" s="130"/>
      <c r="I44" s="130"/>
      <c r="J44" s="130"/>
      <c r="K44" s="130"/>
      <c r="L44" s="130"/>
      <c r="M44" s="130"/>
      <c r="N44" s="130"/>
      <c r="O44" s="130"/>
      <c r="P44" s="130"/>
      <c r="Q44" s="130"/>
      <c r="R44" s="130"/>
      <c r="S44" s="130"/>
      <c r="T44" s="130"/>
      <c r="U44" s="130"/>
      <c r="V44" s="130"/>
      <c r="W44" s="130"/>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row>
    <row r="45" spans="1:54" x14ac:dyDescent="0.2">
      <c r="A45" s="45"/>
      <c r="B45" s="45" t="s">
        <v>15</v>
      </c>
      <c r="C45" s="44">
        <v>6.1387469309113536</v>
      </c>
      <c r="D45" s="119">
        <v>14.052580532637272</v>
      </c>
      <c r="E45" s="119">
        <v>13.567155408847679</v>
      </c>
      <c r="F45" s="119">
        <v>7.3776443059073022</v>
      </c>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row>
    <row r="46" spans="1:54" x14ac:dyDescent="0.2">
      <c r="A46" s="45"/>
    </row>
    <row r="47" spans="1:54" s="110" customFormat="1" x14ac:dyDescent="0.2">
      <c r="A47" s="112"/>
      <c r="B47" s="111" t="s">
        <v>45</v>
      </c>
      <c r="C47" s="131"/>
      <c r="D47" s="131"/>
    </row>
    <row r="48" spans="1:54" x14ac:dyDescent="0.2">
      <c r="A48" s="45"/>
      <c r="B48" s="132"/>
      <c r="C48" s="44"/>
      <c r="D48" s="44"/>
      <c r="E48" s="260" t="s">
        <v>128</v>
      </c>
    </row>
    <row r="49" spans="1:5" x14ac:dyDescent="0.2">
      <c r="A49" s="45"/>
      <c r="B49" s="45" t="s">
        <v>46</v>
      </c>
      <c r="C49" s="48">
        <v>0.75</v>
      </c>
      <c r="D49" s="44"/>
      <c r="E49" s="45" t="s">
        <v>47</v>
      </c>
    </row>
    <row r="50" spans="1:5" x14ac:dyDescent="0.2">
      <c r="A50" s="45"/>
      <c r="B50" s="45" t="s">
        <v>189</v>
      </c>
      <c r="C50" s="44">
        <v>0.52200000000000002</v>
      </c>
      <c r="D50" s="44"/>
      <c r="E50" s="45" t="s">
        <v>48</v>
      </c>
    </row>
    <row r="51" spans="1:5" x14ac:dyDescent="0.2">
      <c r="A51" s="45"/>
      <c r="B51" s="45"/>
      <c r="C51" s="44"/>
      <c r="D51" s="44"/>
    </row>
    <row r="52" spans="1:5" x14ac:dyDescent="0.2">
      <c r="A52" s="45"/>
      <c r="B52" s="121" t="s">
        <v>176</v>
      </c>
      <c r="C52" s="133">
        <v>3.6640600000000001</v>
      </c>
      <c r="D52" s="44"/>
      <c r="E52" s="45" t="s">
        <v>49</v>
      </c>
    </row>
    <row r="53" spans="1:5" x14ac:dyDescent="0.2">
      <c r="A53" s="45"/>
      <c r="B53" s="121" t="s">
        <v>177</v>
      </c>
      <c r="C53" s="133">
        <v>2.7260900000000001</v>
      </c>
      <c r="D53" s="44"/>
      <c r="E53" s="45" t="s">
        <v>49</v>
      </c>
    </row>
    <row r="54" spans="1:5" x14ac:dyDescent="0.2">
      <c r="A54" s="45"/>
      <c r="B54" s="121" t="s">
        <v>178</v>
      </c>
      <c r="C54" s="119">
        <v>4</v>
      </c>
      <c r="D54" s="44"/>
      <c r="E54" s="45" t="s">
        <v>50</v>
      </c>
    </row>
    <row r="55" spans="1:5" x14ac:dyDescent="0.2">
      <c r="A55" s="45"/>
      <c r="B55" s="121" t="s">
        <v>179</v>
      </c>
      <c r="C55" s="119">
        <v>2</v>
      </c>
      <c r="D55" s="44"/>
      <c r="E55" s="45" t="s">
        <v>50</v>
      </c>
    </row>
    <row r="56" spans="1:5" x14ac:dyDescent="0.2">
      <c r="A56" s="45"/>
      <c r="B56" s="121"/>
      <c r="C56" s="44"/>
      <c r="D56" s="44"/>
    </row>
    <row r="57" spans="1:5" x14ac:dyDescent="0.2">
      <c r="A57" s="45"/>
      <c r="B57" s="45" t="s">
        <v>51</v>
      </c>
      <c r="C57" s="124">
        <v>0.119508</v>
      </c>
      <c r="D57" s="147"/>
      <c r="E57" s="259" t="s">
        <v>129</v>
      </c>
    </row>
    <row r="58" spans="1:5" x14ac:dyDescent="0.2">
      <c r="A58" s="45"/>
      <c r="B58" s="45" t="s">
        <v>52</v>
      </c>
      <c r="C58" s="23">
        <f>1-C57</f>
        <v>0.88049200000000005</v>
      </c>
      <c r="E58" s="259" t="s">
        <v>129</v>
      </c>
    </row>
    <row r="59" spans="1:5" x14ac:dyDescent="0.2">
      <c r="A59" s="45"/>
      <c r="B59" s="45" t="s">
        <v>180</v>
      </c>
      <c r="C59" s="124">
        <v>0.10431984</v>
      </c>
      <c r="E59" s="259" t="s">
        <v>130</v>
      </c>
    </row>
    <row r="60" spans="1:5" x14ac:dyDescent="0.2">
      <c r="A60" s="45"/>
      <c r="B60" s="45"/>
      <c r="C60" s="124"/>
    </row>
    <row r="61" spans="1:5" x14ac:dyDescent="0.2">
      <c r="A61" s="45"/>
      <c r="B61" s="45" t="s">
        <v>181</v>
      </c>
      <c r="C61" s="134">
        <v>2.5499999999999998</v>
      </c>
      <c r="E61" s="45" t="s">
        <v>53</v>
      </c>
    </row>
    <row r="62" spans="1:5" x14ac:dyDescent="0.2">
      <c r="A62" s="45"/>
      <c r="B62" s="45" t="s">
        <v>182</v>
      </c>
      <c r="C62" s="124">
        <v>2</v>
      </c>
      <c r="E62" s="45" t="s">
        <v>54</v>
      </c>
    </row>
    <row r="63" spans="1:5" x14ac:dyDescent="0.2">
      <c r="A63" s="45"/>
      <c r="B63" s="45"/>
      <c r="C63" s="124"/>
      <c r="E63" s="45"/>
    </row>
    <row r="64" spans="1:5" x14ac:dyDescent="0.2">
      <c r="A64" s="45"/>
      <c r="B64" s="45" t="s">
        <v>175</v>
      </c>
      <c r="C64" s="119">
        <v>22.752842072517506</v>
      </c>
      <c r="E64" s="45" t="s">
        <v>170</v>
      </c>
    </row>
    <row r="65" spans="1:7" x14ac:dyDescent="0.2">
      <c r="A65" s="45"/>
      <c r="B65" s="45"/>
      <c r="C65" s="124"/>
      <c r="E65" s="45"/>
    </row>
    <row r="66" spans="1:7" x14ac:dyDescent="0.2">
      <c r="A66" s="45"/>
      <c r="B66" s="45" t="s">
        <v>55</v>
      </c>
      <c r="C66" s="138">
        <v>0.84286955828308763</v>
      </c>
      <c r="D66" s="1"/>
      <c r="E66" s="45" t="s">
        <v>56</v>
      </c>
    </row>
    <row r="67" spans="1:7" x14ac:dyDescent="0.2">
      <c r="A67" s="45"/>
      <c r="B67" s="258" t="s">
        <v>131</v>
      </c>
      <c r="C67" s="138">
        <v>5.1963989729630129E-2</v>
      </c>
      <c r="D67" s="1"/>
      <c r="E67" s="45" t="s">
        <v>56</v>
      </c>
    </row>
    <row r="68" spans="1:7" x14ac:dyDescent="0.2">
      <c r="A68" s="45"/>
      <c r="B68" s="258" t="s">
        <v>132</v>
      </c>
      <c r="C68" s="138">
        <v>0.10516633935381732</v>
      </c>
      <c r="D68" s="1"/>
      <c r="E68" s="45" t="s">
        <v>56</v>
      </c>
    </row>
    <row r="69" spans="1:7" x14ac:dyDescent="0.2">
      <c r="A69" s="45"/>
      <c r="B69" s="121" t="s">
        <v>57</v>
      </c>
      <c r="C69" s="138">
        <v>0</v>
      </c>
      <c r="D69" s="1"/>
      <c r="E69" s="45" t="s">
        <v>56</v>
      </c>
    </row>
    <row r="70" spans="1:7" x14ac:dyDescent="0.2">
      <c r="A70" s="45"/>
      <c r="B70" s="121" t="s">
        <v>58</v>
      </c>
      <c r="C70" s="138">
        <v>0</v>
      </c>
      <c r="D70" s="1"/>
      <c r="E70" s="45" t="s">
        <v>56</v>
      </c>
    </row>
    <row r="71" spans="1:7" x14ac:dyDescent="0.2">
      <c r="A71" s="45"/>
      <c r="B71" s="121"/>
      <c r="C71" s="44"/>
      <c r="E71" s="45"/>
    </row>
    <row r="72" spans="1:7" s="110" customFormat="1" x14ac:dyDescent="0.2">
      <c r="B72" s="111"/>
      <c r="C72" s="131"/>
      <c r="D72" s="131"/>
    </row>
    <row r="73" spans="1:7" x14ac:dyDescent="0.2">
      <c r="B73" s="135"/>
      <c r="C73" s="136"/>
      <c r="D73" s="136"/>
      <c r="E73" s="137"/>
      <c r="F73" s="137"/>
      <c r="G73" s="137"/>
    </row>
    <row r="74" spans="1:7" x14ac:dyDescent="0.2">
      <c r="A74" s="45"/>
      <c r="B74" s="259"/>
      <c r="C74" s="23"/>
      <c r="D74" s="23"/>
      <c r="E74" s="23"/>
      <c r="F74" s="23"/>
      <c r="G74" s="23"/>
    </row>
    <row r="75" spans="1:7" x14ac:dyDescent="0.2">
      <c r="A75" s="45"/>
      <c r="B75" s="259"/>
      <c r="C75" s="23"/>
      <c r="D75" s="23"/>
      <c r="E75" s="23"/>
      <c r="F75" s="23"/>
      <c r="G75" s="23"/>
    </row>
    <row r="76" spans="1:7" x14ac:dyDescent="0.2">
      <c r="A76" s="45"/>
      <c r="B76" s="259"/>
      <c r="C76" s="23"/>
      <c r="D76" s="23"/>
      <c r="E76" s="23"/>
      <c r="F76" s="23"/>
      <c r="G76" s="23"/>
    </row>
    <row r="77" spans="1:7" x14ac:dyDescent="0.2">
      <c r="A77" s="45"/>
      <c r="B77" s="259"/>
      <c r="C77" s="23"/>
      <c r="D77" s="23"/>
      <c r="E77" s="23"/>
      <c r="F77" s="23"/>
      <c r="G77" s="23"/>
    </row>
  </sheetData>
  <phoneticPr fontId="14" type="noConversion"/>
  <pageMargins left="0.7" right="0.7" top="0.75" bottom="0.75" header="0.3" footer="0.3"/>
  <pageSetup paperSize="9" orientation="portrait" r:id="rId1"/>
  <ignoredErrors>
    <ignoredError sqref="X58:Y58 C4:C5 D58 F58:W58 C18:Y20 C58"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70C0"/>
  </sheetPr>
  <dimension ref="A1:AY123"/>
  <sheetViews>
    <sheetView zoomScaleNormal="100" workbookViewId="0"/>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51" ht="24.75" customHeight="1" x14ac:dyDescent="0.2">
      <c r="B1" s="28"/>
    </row>
    <row r="2" spans="1:51" ht="11.25" customHeight="1" x14ac:dyDescent="0.2">
      <c r="B2" s="16"/>
    </row>
    <row r="3" spans="1:51" ht="11.25" customHeight="1" x14ac:dyDescent="0.2">
      <c r="B3" s="8" t="s">
        <v>11</v>
      </c>
      <c r="C3" s="9" t="str">
        <f>'Input data'!C3</f>
        <v>IE</v>
      </c>
    </row>
    <row r="4" spans="1:51" x14ac:dyDescent="0.2">
      <c r="B4" s="49" t="s">
        <v>16</v>
      </c>
      <c r="C4" s="10"/>
    </row>
    <row r="5" spans="1:51" x14ac:dyDescent="0.2">
      <c r="A5" s="18"/>
      <c r="B5" s="11" t="str">
        <f>'Input data'!B5</f>
        <v>Last year before the adjustment</v>
      </c>
      <c r="C5" s="12">
        <f>+'Input data'!C5</f>
        <v>2024</v>
      </c>
    </row>
    <row r="6" spans="1:51" x14ac:dyDescent="0.2">
      <c r="A6" s="18"/>
      <c r="B6" s="50" t="s">
        <v>22</v>
      </c>
      <c r="C6" s="12">
        <f>+C5+'Criteria results'!$F$5</f>
        <v>2028</v>
      </c>
      <c r="E6" s="30"/>
      <c r="F6" s="18"/>
    </row>
    <row r="7" spans="1:51" x14ac:dyDescent="0.2">
      <c r="A7" s="18"/>
      <c r="B7" s="13"/>
      <c r="C7" s="51"/>
      <c r="E7" s="30"/>
      <c r="F7" s="18"/>
    </row>
    <row r="8" spans="1:51" x14ac:dyDescent="0.2">
      <c r="A8" s="18"/>
      <c r="C8" s="18"/>
      <c r="E8" s="30"/>
      <c r="F8" s="18"/>
    </row>
    <row r="9" spans="1:51" s="56" customFormat="1" ht="12.75" x14ac:dyDescent="0.2">
      <c r="B9" s="14" t="s">
        <v>23</v>
      </c>
    </row>
    <row r="10" spans="1:51" x14ac:dyDescent="0.2">
      <c r="C10" s="20">
        <v>2021</v>
      </c>
      <c r="D10" s="20">
        <v>2022</v>
      </c>
      <c r="E10" s="20">
        <v>2023</v>
      </c>
      <c r="F10" s="20">
        <v>2024</v>
      </c>
      <c r="G10" s="20">
        <v>2025</v>
      </c>
      <c r="H10" s="20">
        <v>2026</v>
      </c>
      <c r="I10" s="20">
        <v>2027</v>
      </c>
      <c r="J10" s="20">
        <v>2028</v>
      </c>
      <c r="K10" s="20">
        <v>2029</v>
      </c>
      <c r="L10" s="20">
        <v>2030</v>
      </c>
      <c r="M10" s="20">
        <v>2031</v>
      </c>
      <c r="N10" s="20">
        <v>2032</v>
      </c>
      <c r="O10" s="20">
        <v>2033</v>
      </c>
      <c r="P10" s="20">
        <v>2034</v>
      </c>
      <c r="Q10" s="20">
        <v>2035</v>
      </c>
      <c r="R10" s="20">
        <v>2036</v>
      </c>
      <c r="S10" s="20">
        <v>2037</v>
      </c>
      <c r="T10" s="20">
        <v>2038</v>
      </c>
      <c r="U10" s="20">
        <v>2039</v>
      </c>
      <c r="V10" s="20">
        <v>2040</v>
      </c>
      <c r="W10" s="20">
        <v>2041</v>
      </c>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row>
    <row r="11" spans="1:51" x14ac:dyDescent="0.2">
      <c r="B11" s="17" t="s">
        <v>24</v>
      </c>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row>
    <row r="12" spans="1:51" x14ac:dyDescent="0.2">
      <c r="B12" s="15" t="s">
        <v>26</v>
      </c>
      <c r="C12" s="1">
        <f>'Input data'!C13</f>
        <v>-3.1653180000000001</v>
      </c>
      <c r="D12" s="1">
        <f>'Input data'!D13</f>
        <v>-2.376722</v>
      </c>
      <c r="E12" s="2">
        <f>'Input data'!E13</f>
        <v>1.7124649999999999</v>
      </c>
      <c r="F12" s="2">
        <f>'Input data'!F13</f>
        <v>2.5288010000000001</v>
      </c>
      <c r="G12" s="1">
        <f>F12</f>
        <v>2.5288010000000001</v>
      </c>
      <c r="H12" s="1">
        <f t="shared" ref="H12:W12" si="0">G12</f>
        <v>2.5288010000000001</v>
      </c>
      <c r="I12" s="1">
        <f t="shared" si="0"/>
        <v>2.5288010000000001</v>
      </c>
      <c r="J12" s="1">
        <f t="shared" si="0"/>
        <v>2.5288010000000001</v>
      </c>
      <c r="K12" s="1">
        <f t="shared" si="0"/>
        <v>2.5288010000000001</v>
      </c>
      <c r="L12" s="1">
        <f t="shared" si="0"/>
        <v>2.5288010000000001</v>
      </c>
      <c r="M12" s="1">
        <f t="shared" si="0"/>
        <v>2.5288010000000001</v>
      </c>
      <c r="N12" s="1">
        <f t="shared" si="0"/>
        <v>2.5288010000000001</v>
      </c>
      <c r="O12" s="1">
        <f t="shared" si="0"/>
        <v>2.5288010000000001</v>
      </c>
      <c r="P12" s="1">
        <f t="shared" si="0"/>
        <v>2.5288010000000001</v>
      </c>
      <c r="Q12" s="1">
        <f t="shared" si="0"/>
        <v>2.5288010000000001</v>
      </c>
      <c r="R12" s="1">
        <f t="shared" si="0"/>
        <v>2.5288010000000001</v>
      </c>
      <c r="S12" s="1">
        <f t="shared" si="0"/>
        <v>2.5288010000000001</v>
      </c>
      <c r="T12" s="1">
        <f t="shared" si="0"/>
        <v>2.5288010000000001</v>
      </c>
      <c r="U12" s="1">
        <f t="shared" si="0"/>
        <v>2.5288010000000001</v>
      </c>
      <c r="V12" s="1">
        <f t="shared" si="0"/>
        <v>2.5288010000000001</v>
      </c>
      <c r="W12" s="1">
        <f t="shared" si="0"/>
        <v>2.5288010000000001</v>
      </c>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5"/>
    </row>
    <row r="13" spans="1:51" x14ac:dyDescent="0.2">
      <c r="B13" s="15" t="s">
        <v>27</v>
      </c>
      <c r="C13" s="1">
        <f>'Input data'!C14</f>
        <v>0</v>
      </c>
      <c r="D13" s="1">
        <f>'Input data'!D14</f>
        <v>0</v>
      </c>
      <c r="E13" s="2">
        <f>'Input data'!E14</f>
        <v>0</v>
      </c>
      <c r="F13" s="2">
        <f>'Input data'!F14</f>
        <v>0</v>
      </c>
      <c r="G13" s="2">
        <f>'Input data'!G14</f>
        <v>0</v>
      </c>
      <c r="H13" s="2">
        <v>0</v>
      </c>
      <c r="I13" s="2">
        <v>0</v>
      </c>
      <c r="J13" s="2">
        <v>0</v>
      </c>
      <c r="K13" s="2">
        <v>0</v>
      </c>
      <c r="L13" s="2">
        <v>0</v>
      </c>
      <c r="M13" s="2">
        <v>0</v>
      </c>
      <c r="N13" s="2">
        <v>0</v>
      </c>
      <c r="O13" s="2">
        <v>0</v>
      </c>
      <c r="P13" s="2">
        <v>0</v>
      </c>
      <c r="Q13" s="2">
        <v>0</v>
      </c>
      <c r="R13" s="2">
        <v>0</v>
      </c>
      <c r="S13" s="2">
        <v>0</v>
      </c>
      <c r="T13" s="2">
        <v>0</v>
      </c>
      <c r="U13" s="2">
        <v>0</v>
      </c>
      <c r="V13" s="2">
        <v>0</v>
      </c>
      <c r="W13" s="2">
        <v>0</v>
      </c>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5"/>
    </row>
    <row r="14" spans="1:51" x14ac:dyDescent="0.2">
      <c r="B14" s="15" t="s">
        <v>59</v>
      </c>
      <c r="C14" s="1">
        <f>'Input data'!C15</f>
        <v>2.6902740000000001</v>
      </c>
      <c r="D14" s="1">
        <f>'Input data'!D15</f>
        <v>-0.54206140000000003</v>
      </c>
      <c r="E14" s="2">
        <f>'Input data'!E15</f>
        <v>0.84280860000000002</v>
      </c>
      <c r="F14" s="2">
        <f>'Input data'!F15</f>
        <v>1.636568</v>
      </c>
      <c r="G14" s="2">
        <f>'Input data'!G15</f>
        <v>2.20024</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5"/>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19"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46"/>
      <c r="B17" s="15" t="s">
        <v>30</v>
      </c>
      <c r="C17" s="1">
        <f>'Input data'!C20</f>
        <v>0</v>
      </c>
      <c r="D17" s="1">
        <f>'Input data'!D20</f>
        <v>11.98063</v>
      </c>
      <c r="E17" s="79">
        <f>'Input data'!E20</f>
        <v>11.588229999999999</v>
      </c>
      <c r="F17" s="79">
        <f>'Input data'!F20</f>
        <v>11.59789</v>
      </c>
      <c r="G17" s="79">
        <f>'Input data'!G20</f>
        <v>11.651579999999999</v>
      </c>
      <c r="H17" s="79">
        <f>'Input data'!H20</f>
        <v>11.82718</v>
      </c>
      <c r="I17" s="79">
        <f>'Input data'!I20</f>
        <v>12.010150000000001</v>
      </c>
      <c r="J17" s="79">
        <f>'Input data'!J20</f>
        <v>12.141079999999999</v>
      </c>
      <c r="K17" s="79">
        <f>'Input data'!K20</f>
        <v>12.226990000000001</v>
      </c>
      <c r="L17" s="79">
        <f>'Input data'!L20</f>
        <v>12.335329999999999</v>
      </c>
      <c r="M17" s="79">
        <f>'Input data'!M20</f>
        <v>12.45979</v>
      </c>
      <c r="N17" s="79">
        <f>'Input data'!N20</f>
        <v>12.64282</v>
      </c>
      <c r="O17" s="79">
        <f>'Input data'!O20</f>
        <v>12.72106</v>
      </c>
      <c r="P17" s="79">
        <f>'Input data'!P20</f>
        <v>12.846260000000001</v>
      </c>
      <c r="Q17" s="79">
        <f>'Input data'!Q20</f>
        <v>12.96374</v>
      </c>
      <c r="R17" s="79">
        <f>'Input data'!R20</f>
        <v>13.096490000000001</v>
      </c>
      <c r="S17" s="79">
        <f>'Input data'!S20</f>
        <v>13.246269999999999</v>
      </c>
      <c r="T17" s="79">
        <f>'Input data'!T20</f>
        <v>13.310990000000002</v>
      </c>
      <c r="U17" s="79">
        <f>'Input data'!U20</f>
        <v>13.428369999999999</v>
      </c>
      <c r="V17" s="79">
        <f>'Input data'!V20</f>
        <v>13.554639999999999</v>
      </c>
      <c r="W17" s="79">
        <f>'Input data'!W20</f>
        <v>13.691049999999999</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46"/>
      <c r="B18" s="15" t="str">
        <f>'Input data'!B26</f>
        <v>Property income</v>
      </c>
      <c r="C18" s="1">
        <f>'Input data'!C26</f>
        <v>0.1107195</v>
      </c>
      <c r="D18" s="1">
        <f>'Input data'!D26</f>
        <v>0.13275200000000001</v>
      </c>
      <c r="E18" s="79">
        <f>'Input data'!E26</f>
        <v>0.13495019999999999</v>
      </c>
      <c r="F18" s="79">
        <f>'Input data'!F26</f>
        <v>0.1371484</v>
      </c>
      <c r="G18" s="79">
        <f>'Input data'!G26</f>
        <v>0.13934659999999999</v>
      </c>
      <c r="H18" s="79">
        <f>'Input data'!H26</f>
        <v>0.1415448</v>
      </c>
      <c r="I18" s="79">
        <f>'Input data'!I26</f>
        <v>0.14374300000000001</v>
      </c>
      <c r="J18" s="79">
        <f>'Input data'!J26</f>
        <v>0.14594119999999999</v>
      </c>
      <c r="K18" s="79">
        <f>'Input data'!K26</f>
        <v>0.1481394</v>
      </c>
      <c r="L18" s="79">
        <f>'Input data'!L26</f>
        <v>0.15033759999999999</v>
      </c>
      <c r="M18" s="79">
        <f>'Input data'!M26</f>
        <v>0.1525358</v>
      </c>
      <c r="N18" s="79">
        <f>'Input data'!N26</f>
        <v>0.15473400000000001</v>
      </c>
      <c r="O18" s="79">
        <f>'Input data'!O26</f>
        <v>0.15693219999999999</v>
      </c>
      <c r="P18" s="79">
        <f>'Input data'!P26</f>
        <v>0.15913050000000001</v>
      </c>
      <c r="Q18" s="79">
        <f>'Input data'!Q26</f>
        <v>0.16132869999999999</v>
      </c>
      <c r="R18" s="79">
        <f>'Input data'!R26</f>
        <v>0.1635269</v>
      </c>
      <c r="S18" s="79">
        <f>'Input data'!S26</f>
        <v>0.16572509999999999</v>
      </c>
      <c r="T18" s="79">
        <f>'Input data'!T26</f>
        <v>0.1679233</v>
      </c>
      <c r="U18" s="79">
        <f>'Input data'!U26</f>
        <v>0.17012150000000001</v>
      </c>
      <c r="V18" s="79">
        <f>'Input data'!V26</f>
        <v>0.17231969999999999</v>
      </c>
      <c r="W18" s="79">
        <f>'Input data'!W26</f>
        <v>0.1745179</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17" t="s">
        <v>60</v>
      </c>
    </row>
    <row r="21" spans="1:50" ht="10.5" customHeight="1" x14ac:dyDescent="0.2">
      <c r="B21" s="19" t="s">
        <v>61</v>
      </c>
    </row>
    <row r="22" spans="1:50" x14ac:dyDescent="0.2">
      <c r="B22" s="15" t="s">
        <v>39</v>
      </c>
      <c r="C22" s="23">
        <f>'Input data'!C31</f>
        <v>410.94639999999998</v>
      </c>
      <c r="D22" s="23">
        <f>C22*(D23/100+1)</f>
        <v>449.71106432020798</v>
      </c>
      <c r="E22" s="78">
        <f t="shared" ref="E22:F22" si="1">D22*(E23/100+1)</f>
        <v>435.32576076006092</v>
      </c>
      <c r="F22" s="78">
        <f t="shared" si="1"/>
        <v>440.73991595314897</v>
      </c>
      <c r="G22" s="78">
        <f>F22*(G23/100+1)</f>
        <v>455.69777366516195</v>
      </c>
      <c r="H22" s="23">
        <f>IF(AND(H49&gt;1,G49&gt;1),IF(AND(H49&gt;0,G49&gt;0),H26*(H50/100+1),0)+IF(H49&gt;0,G22*(1+H51/100),0)-G22*(1+'Input data'!H30/100),IF(H49=1,H26,G22*(1+H51/100)))</f>
        <v>472.76873176212086</v>
      </c>
      <c r="I22" s="23">
        <f>IF(AND(I49&gt;1,H49&gt;1),IF(AND(I49&gt;0,H49&gt;0),I26*(I50/100+1),0)+IF(I49&gt;0,H22*(1+I51/100),0)-H22*(1+'Input data'!I30/100),IF(I49=1,I26,H22*(1+I51/100)))</f>
        <v>490.74514346033686</v>
      </c>
      <c r="J22" s="23">
        <f>IF(AND(J49&gt;1,I49&gt;1),IF(AND(J49&gt;0,I49&gt;0),J26*(J50/100+1),0)+IF(J49&gt;0,I22*(1+J51/100),0)-I22*(1+'Input data'!J30/100),IF(J49=1,J26,I22*(1+J51/100)))</f>
        <v>508.30099151816682</v>
      </c>
      <c r="K22" s="23">
        <f>IF(AND(K49&gt;1,J49&gt;1),IF(AND(K49&gt;0,J49&gt;0),K26*(K50/100+1),0)+IF(K49&gt;0,J22*(1+K51/100),0)-J22*(1+'Input data'!K30/100),IF(K49=1,K26,J22*(1+K51/100)))</f>
        <v>524.38467182382431</v>
      </c>
      <c r="L22" s="23">
        <f>IF(AND(L49&gt;1,K49&gt;1),IF(AND(L49&gt;0,K49&gt;0),L26*(L50/100+1),0)+IF(L49&gt;0,K22*(1+L51/100),0)-K22*(1+'Input data'!L30/100),IF(L49=1,L26,K22*(1+L51/100)))</f>
        <v>539.79116689586237</v>
      </c>
      <c r="M22" s="23">
        <f>IF(AND(M49&gt;1,L49&gt;1),IF(AND(M49&gt;0,L49&gt;0),M26*(M50/100+1),0)+IF(M49&gt;0,L22*(1+M51/100),0)-L22*(1+'Input data'!M30/100),IF(M49=1,M26,L22*(1+M51/100)))</f>
        <v>554.20041168200885</v>
      </c>
      <c r="N22" s="23">
        <f>IF(AND(N49&gt;1,M49&gt;1),IF(AND(N49&gt;0,M49&gt;0),N26*(N50/100+1),0)+IF(N49&gt;0,M22*(1+N51/100),0)-M22*(1+'Input data'!N30/100),IF(N49=1,N26,M22*(1+N51/100)))</f>
        <v>567.27835540882324</v>
      </c>
      <c r="O22" s="23">
        <f>IF(AND(O49&gt;1,N49&gt;1),IF(AND(O49&gt;0,N49&gt;0),O26*(O50/100+1),0)+IF(O49&gt;0,N22*(1+O51/100),0)-N22*(1+'Input data'!O30/100),IF(O49=1,O26,N22*(1+O51/100)))</f>
        <v>578.69998887167651</v>
      </c>
      <c r="P22" s="23">
        <f>IF(AND(P49&gt;1,O49&gt;1),IF(AND(P49&gt;0,O49&gt;0),P26*(P50/100+1),0)+IF(P49&gt;0,O22*(1+P51/100),0)-O22*(1+'Input data'!P30/100),IF(P49=1,P26,O22*(1+P51/100)))</f>
        <v>589.98728331362338</v>
      </c>
      <c r="Q22" s="23">
        <f>IF(AND(Q49&gt;1,P49&gt;1),IF(AND(Q49&gt;0,P49&gt;0),Q26*(Q50/100+1),0)+IF(Q49&gt;0,P22*(1+Q51/100),0)-P22*(1+'Input data'!Q30/100),IF(Q49=1,Q26,P22*(1+Q51/100)))</f>
        <v>601.1233345852778</v>
      </c>
      <c r="R22" s="23">
        <f>IF(AND(R49&gt;1,Q49&gt;1),IF(AND(R49&gt;0,Q49&gt;0),R26*(R50/100+1),0)+IF(R49&gt;0,Q22*(1+R51/100),0)-Q22*(1+'Input data'!R30/100),IF(R49=1,R26,Q22*(1+R51/100)))</f>
        <v>612.0911123527535</v>
      </c>
      <c r="S22" s="23">
        <f>IF(AND(S49&gt;1,R49&gt;1),IF(AND(S49&gt;0,R49&gt;0),S26*(S50/100+1),0)+IF(S49&gt;0,R22*(1+S51/100),0)-R22*(1+'Input data'!S30/100),IF(S49=1,S26,R22*(1+S51/100)))</f>
        <v>623.25090441503585</v>
      </c>
      <c r="T22" s="23">
        <f>IF(AND(T49&gt;1,S49&gt;1),IF(AND(T49&gt;0,S49&gt;0),T26*(T50/100+1),0)+IF(T49&gt;0,S22*(1+T51/100),0)-S22*(1+'Input data'!T30/100),IF(T49=1,T26,S22*(1+T51/100)))</f>
        <v>634.37285419937643</v>
      </c>
      <c r="U22" s="23">
        <f>IF(AND(U49&gt;1,T49&gt;1),IF(AND(U49&gt;0,T49&gt;0),U26*(U50/100+1),0)+IF(U49&gt;0,T22*(1+U51/100),0)-T22*(1+'Input data'!U30/100),IF(U49=1,U26,T22*(1+U51/100)))</f>
        <v>645.37523935821116</v>
      </c>
      <c r="V22" s="23">
        <f>IF(AND(V49&gt;1,U49&gt;1),IF(AND(V49&gt;0,U49&gt;0),V26*(V50/100+1),0)+IF(V49&gt;0,U22*(1+V51/100),0)-U22*(1+'Input data'!V30/100),IF(V49=1,V26,U22*(1+V51/100)))</f>
        <v>656.14147945371826</v>
      </c>
      <c r="W22" s="23">
        <f>IF(AND(W49&gt;1,V49&gt;1),IF(AND(W49&gt;0,V49&gt;0),W26*(W50/100+1),0)+IF(W49&gt;0,V22*(1+W51/100),0)-V22*(1+'Input data'!W30/100),IF(W49=1,W26,V22*(1+W51/100)))</f>
        <v>666.45019697439318</v>
      </c>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row>
    <row r="23" spans="1:50" x14ac:dyDescent="0.2">
      <c r="A23" s="46"/>
      <c r="B23" s="47" t="s">
        <v>38</v>
      </c>
      <c r="C23" s="23">
        <f>+'Input data'!C30</f>
        <v>15.125220000000001</v>
      </c>
      <c r="D23" s="23">
        <f>+'Input data'!D30</f>
        <v>9.4330219999999994</v>
      </c>
      <c r="E23" s="78">
        <f>+'Input data'!E30</f>
        <v>-3.198788</v>
      </c>
      <c r="F23" s="78">
        <f>+'Input data'!F30</f>
        <v>1.2437020000000001</v>
      </c>
      <c r="G23" s="78">
        <f>+'Input data'!G30</f>
        <v>3.3938060000000001</v>
      </c>
      <c r="H23" s="23">
        <f>100*(H22/G22-1)</f>
        <v>3.7461140000000004</v>
      </c>
      <c r="I23" s="23">
        <f>100*(I22/H22-1)</f>
        <v>3.8023689999999943</v>
      </c>
      <c r="J23" s="23">
        <f t="shared" ref="J23:T23" si="2">100*(J22/I22-1)</f>
        <v>3.5773859999999935</v>
      </c>
      <c r="K23" s="23">
        <f t="shared" si="2"/>
        <v>3.1642039999999927</v>
      </c>
      <c r="L23" s="23">
        <f t="shared" si="2"/>
        <v>2.9380139999999999</v>
      </c>
      <c r="M23" s="23">
        <f t="shared" si="2"/>
        <v>2.6694109999999993</v>
      </c>
      <c r="N23" s="23">
        <f t="shared" si="2"/>
        <v>2.3597859999999971</v>
      </c>
      <c r="O23" s="23">
        <f t="shared" si="2"/>
        <v>2.0134089999999993</v>
      </c>
      <c r="P23" s="23">
        <f t="shared" si="2"/>
        <v>1.9504570000000054</v>
      </c>
      <c r="Q23" s="23">
        <f t="shared" si="2"/>
        <v>1.8875069999999994</v>
      </c>
      <c r="R23" s="23">
        <f t="shared" si="2"/>
        <v>1.8245470000000097</v>
      </c>
      <c r="S23" s="23">
        <f t="shared" si="2"/>
        <v>1.82322399999999</v>
      </c>
      <c r="T23" s="23">
        <f t="shared" si="2"/>
        <v>1.7845059999999968</v>
      </c>
      <c r="U23" s="23">
        <f t="shared" ref="U23" si="3">100*(U22/T22-1)</f>
        <v>1.7343719999999951</v>
      </c>
      <c r="V23" s="23">
        <f t="shared" ref="V23" si="4">100*(V22/U22-1)</f>
        <v>1.6682139999999901</v>
      </c>
      <c r="W23" s="23">
        <f t="shared" ref="W23" si="5">100*(W22/V22-1)</f>
        <v>1.5711119999999967</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row>
    <row r="25" spans="1:50" ht="15" x14ac:dyDescent="0.2">
      <c r="A25" s="153"/>
      <c r="B25" s="19" t="s">
        <v>62</v>
      </c>
      <c r="C25" s="152"/>
      <c r="D25" s="152"/>
      <c r="E25" s="152"/>
      <c r="F25" s="152"/>
      <c r="H25" s="178"/>
      <c r="I25" s="178"/>
      <c r="J25" s="178"/>
      <c r="K25" s="178"/>
      <c r="L25" s="178"/>
      <c r="M25" s="178"/>
      <c r="N25" s="178"/>
      <c r="O25" s="178"/>
      <c r="P25" s="178"/>
      <c r="Q25" s="178"/>
      <c r="R25" s="178"/>
      <c r="S25" s="178"/>
      <c r="T25" s="178"/>
    </row>
    <row r="26" spans="1:50" x14ac:dyDescent="0.2">
      <c r="B26" s="15" t="s">
        <v>39</v>
      </c>
      <c r="C26" s="23">
        <f>'Input data'!C34</f>
        <v>392.80360000000002</v>
      </c>
      <c r="D26" s="23">
        <f>+C26*(1+'Input data'!D33/100)</f>
        <v>412.27893996926002</v>
      </c>
      <c r="E26" s="78">
        <f>+D26*(1+'Input data'!E33/100)</f>
        <v>430.14514677977348</v>
      </c>
      <c r="F26" s="78">
        <f>+E26*(1+'Input data'!F33/100)</f>
        <v>445.69743599367973</v>
      </c>
      <c r="G26" s="78">
        <f>+F26*(1+'Input data'!G33/100)</f>
        <v>460.34221582925238</v>
      </c>
      <c r="H26" s="23">
        <f>+G26*(1+'Input data'!H33/100)</f>
        <v>475.97011592279887</v>
      </c>
      <c r="I26" s="23">
        <f>+H26*(1+'Input data'!I33/100)</f>
        <v>491.84785546913162</v>
      </c>
      <c r="J26" s="23">
        <f>+I26*(1+'Input data'!J33/100)</f>
        <v>508.30095810962138</v>
      </c>
      <c r="K26" s="23">
        <f>+J26*(1+'Input data'!K33/100)</f>
        <v>524.38464244117392</v>
      </c>
      <c r="L26" s="23">
        <f>+K26*(1+'Input data'!L33/100)</f>
        <v>539.79113664994554</v>
      </c>
      <c r="M26" s="23">
        <f>+L26*(1+'Input data'!M33/100)</f>
        <v>554.20036983288139</v>
      </c>
      <c r="N26" s="23">
        <f>+M26*(1+'Input data'!N33/100)</f>
        <v>567.2783014881386</v>
      </c>
      <c r="O26" s="23">
        <f>+N26*(1+'Input data'!O33/100)</f>
        <v>578.69993953813093</v>
      </c>
      <c r="P26" s="23">
        <f>+O26*(1+'Input data'!P33/100)</f>
        <v>589.9872272308487</v>
      </c>
      <c r="Q26" s="23">
        <f>+P26*(1+'Input data'!Q33/100)</f>
        <v>601.12325384444785</v>
      </c>
      <c r="R26" s="23">
        <f>+Q26*(1+'Input data'!R33/100)</f>
        <v>612.09104216123421</v>
      </c>
      <c r="S26" s="23">
        <f>+R26*(1+'Input data'!S33/100)</f>
        <v>623.25084518558879</v>
      </c>
      <c r="T26" s="23">
        <f>+S26*(1+'Input data'!T33/100)</f>
        <v>634.37278144795948</v>
      </c>
      <c r="U26" s="23">
        <f>+T26*(1+'Input data'!U33/100)</f>
        <v>645.37513997010285</v>
      </c>
      <c r="V26" s="23">
        <f>+U26*(1+'Input data'!V33/100)</f>
        <v>656.14135904634952</v>
      </c>
      <c r="W26" s="23">
        <f>+V26*(1+'Input data'!W33/100)</f>
        <v>666.45004842963544</v>
      </c>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row>
    <row r="27" spans="1:50" ht="5.25" customHeight="1" x14ac:dyDescent="0.2">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row>
    <row r="28" spans="1:50" x14ac:dyDescent="0.2">
      <c r="B28" s="19" t="s">
        <v>63</v>
      </c>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row>
    <row r="29" spans="1:50" x14ac:dyDescent="0.2">
      <c r="B29" s="15" t="s">
        <v>63</v>
      </c>
      <c r="C29" s="23">
        <f t="shared" ref="C29:T29" si="6">100*(C22/C26-1)</f>
        <v>4.6187967727383317</v>
      </c>
      <c r="D29" s="23">
        <f t="shared" si="6"/>
        <v>9.0793200238991076</v>
      </c>
      <c r="E29" s="78">
        <f t="shared" si="6"/>
        <v>1.2043874071511418</v>
      </c>
      <c r="F29" s="78">
        <f t="shared" si="6"/>
        <v>-1.1123061611243101</v>
      </c>
      <c r="G29" s="78">
        <f t="shared" si="6"/>
        <v>-1.0089107634249972</v>
      </c>
      <c r="H29" s="23">
        <f>100*(H22/H26-1)</f>
        <v>-0.6726019246967252</v>
      </c>
      <c r="I29" s="23">
        <f t="shared" si="6"/>
        <v>-0.2241977872899259</v>
      </c>
      <c r="J29" s="23">
        <f t="shared" si="6"/>
        <v>6.5725914710768052E-6</v>
      </c>
      <c r="K29" s="23">
        <f t="shared" si="6"/>
        <v>5.6032629425217806E-6</v>
      </c>
      <c r="L29" s="23">
        <f t="shared" si="6"/>
        <v>5.6032629647262411E-6</v>
      </c>
      <c r="M29" s="23">
        <f t="shared" si="6"/>
        <v>7.5512629926777208E-6</v>
      </c>
      <c r="N29" s="23">
        <f t="shared" si="6"/>
        <v>9.5051554849234776E-6</v>
      </c>
      <c r="O29" s="23">
        <f t="shared" si="6"/>
        <v>8.5248921255498544E-6</v>
      </c>
      <c r="P29" s="23">
        <f t="shared" si="6"/>
        <v>9.5057608229254242E-6</v>
      </c>
      <c r="Q29" s="23">
        <f t="shared" si="6"/>
        <v>1.3431659717788591E-5</v>
      </c>
      <c r="R29" s="23">
        <f t="shared" si="6"/>
        <v>1.1467496574546487E-5</v>
      </c>
      <c r="S29" s="23">
        <f t="shared" si="6"/>
        <v>9.5033079405837384E-6</v>
      </c>
      <c r="T29" s="23">
        <f t="shared" si="6"/>
        <v>1.146824375464206E-5</v>
      </c>
      <c r="U29" s="23">
        <f t="shared" ref="U29:W29" si="7">100*(U22/U26-1)</f>
        <v>1.5400052189029623E-5</v>
      </c>
      <c r="V29" s="23">
        <f t="shared" si="7"/>
        <v>1.8350827457602747E-5</v>
      </c>
      <c r="W29" s="23">
        <f t="shared" si="7"/>
        <v>2.2288955947580291E-5</v>
      </c>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row>
    <row r="30" spans="1:50" ht="5.25" customHeight="1" x14ac:dyDescent="0.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row>
    <row r="31" spans="1:50" x14ac:dyDescent="0.2">
      <c r="B31" s="19" t="s">
        <v>64</v>
      </c>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row>
    <row r="32" spans="1:50" x14ac:dyDescent="0.2">
      <c r="B32" s="15" t="s">
        <v>38</v>
      </c>
      <c r="C32" s="1">
        <f t="shared" ref="C32:W32" si="8">100*((1+C23/100)*(1+C41/100)-1)</f>
        <v>15.674922893711729</v>
      </c>
      <c r="D32" s="1">
        <f t="shared" si="8"/>
        <v>16.636197882869187</v>
      </c>
      <c r="E32" s="2">
        <f t="shared" si="8"/>
        <v>-0.32842200556995049</v>
      </c>
      <c r="F32" s="2">
        <f t="shared" si="8"/>
        <v>3.8500651926889118</v>
      </c>
      <c r="G32" s="2">
        <f>100*((1+G23/100)*(1+G41/100)-1)</f>
        <v>5.3736908892798363</v>
      </c>
      <c r="H32" s="1">
        <f>100*((1+H23/100)*(1+H41/100)-1)</f>
        <v>5.815107059902247</v>
      </c>
      <c r="I32" s="1">
        <f t="shared" si="8"/>
        <v>5.9548904398074587</v>
      </c>
      <c r="J32" s="1">
        <f t="shared" si="8"/>
        <v>5.8074699143702668</v>
      </c>
      <c r="K32" s="1">
        <f t="shared" si="8"/>
        <v>5.467291724734924</v>
      </c>
      <c r="L32" s="1">
        <f t="shared" si="8"/>
        <v>5.3177724513546076</v>
      </c>
      <c r="M32" s="1">
        <f t="shared" si="8"/>
        <v>5.1244668531641668</v>
      </c>
      <c r="N32" s="1">
        <f t="shared" si="8"/>
        <v>4.8886992840400323</v>
      </c>
      <c r="O32" s="1">
        <f t="shared" si="8"/>
        <v>4.6147509295000111</v>
      </c>
      <c r="P32" s="1">
        <f t="shared" si="8"/>
        <v>4.5221572778250119</v>
      </c>
      <c r="Q32" s="1">
        <f t="shared" si="8"/>
        <v>4.429600299650005</v>
      </c>
      <c r="R32" s="1">
        <f t="shared" si="8"/>
        <v>4.3370676972250166</v>
      </c>
      <c r="S32" s="1">
        <f t="shared" si="8"/>
        <v>4.3077106655999842</v>
      </c>
      <c r="T32" s="1">
        <f t="shared" si="8"/>
        <v>4.2400572072499809</v>
      </c>
      <c r="U32" s="1">
        <f t="shared" si="8"/>
        <v>4.1607367721999911</v>
      </c>
      <c r="V32" s="1">
        <f t="shared" si="8"/>
        <v>4.0650421450499907</v>
      </c>
      <c r="W32" s="1">
        <f t="shared" si="8"/>
        <v>3.9377189095999965</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17" t="s">
        <v>65</v>
      </c>
    </row>
    <row r="35" spans="2:51" x14ac:dyDescent="0.2">
      <c r="B35" s="15" t="s">
        <v>41</v>
      </c>
      <c r="C35" s="1">
        <f>'Input data'!C37</f>
        <v>1.510173</v>
      </c>
      <c r="D35" s="1">
        <f>'Input data'!D37</f>
        <v>1.408838</v>
      </c>
      <c r="E35" s="2">
        <f>'Input data'!E37</f>
        <v>1.550894</v>
      </c>
      <c r="F35" s="2">
        <f>'Input data'!F37</f>
        <v>1.641526</v>
      </c>
      <c r="G35" s="2">
        <f>'Input data'!G37</f>
        <v>1.6843859999999999</v>
      </c>
      <c r="H35" s="1">
        <f>H96</f>
        <v>1.7995764140165587</v>
      </c>
      <c r="I35" s="1">
        <f t="shared" ref="I35:W35" si="9">I96</f>
        <v>1.8573200643695291</v>
      </c>
      <c r="J35" s="1">
        <f t="shared" si="9"/>
        <v>1.8994082462470563</v>
      </c>
      <c r="K35" s="1">
        <f t="shared" si="9"/>
        <v>1.9496329179084986</v>
      </c>
      <c r="L35" s="1">
        <f t="shared" si="9"/>
        <v>2.0061123852224405</v>
      </c>
      <c r="M35" s="1">
        <f t="shared" si="9"/>
        <v>2.0541018350825628</v>
      </c>
      <c r="N35" s="1">
        <f t="shared" si="9"/>
        <v>2.1281077422173191</v>
      </c>
      <c r="O35" s="1">
        <f t="shared" si="9"/>
        <v>2.2116500516992974</v>
      </c>
      <c r="P35" s="1">
        <f t="shared" si="9"/>
        <v>2.298009783976446</v>
      </c>
      <c r="Q35" s="1">
        <f t="shared" si="9"/>
        <v>2.3418209617953583</v>
      </c>
      <c r="R35" s="1">
        <f t="shared" si="9"/>
        <v>2.3905684622679404</v>
      </c>
      <c r="S35" s="1">
        <f t="shared" si="9"/>
        <v>2.4273747900897908</v>
      </c>
      <c r="T35" s="1">
        <f>T96</f>
        <v>2.4697908695727695</v>
      </c>
      <c r="U35" s="1">
        <f t="shared" si="9"/>
        <v>2.5110695239383469</v>
      </c>
      <c r="V35" s="1">
        <f t="shared" si="9"/>
        <v>2.5575263777014441</v>
      </c>
      <c r="W35" s="1">
        <f t="shared" si="9"/>
        <v>2.6116148434909436</v>
      </c>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5"/>
    </row>
    <row r="36" spans="2:51" x14ac:dyDescent="0.2">
      <c r="B36" s="21" t="s">
        <v>66</v>
      </c>
      <c r="C36" s="1"/>
      <c r="D36" s="1"/>
      <c r="E36" s="2">
        <f>'Input data'!E39</f>
        <v>2.87</v>
      </c>
      <c r="F36" s="138">
        <f>'Input data'!F39</f>
        <v>2.837221</v>
      </c>
      <c r="G36" s="138">
        <f>'Input data'!G39</f>
        <v>2.9036849999999998</v>
      </c>
      <c r="H36" s="1">
        <f>G36+($O$36-$G$36)/($O$10-$G$10)</f>
        <v>2.9987318749999998</v>
      </c>
      <c r="I36" s="1">
        <f t="shared" ref="I36:M36" si="10">H36+($O$36-$G$36)/($O$10-$G$10)</f>
        <v>3.0937787499999998</v>
      </c>
      <c r="J36" s="1">
        <f t="shared" si="10"/>
        <v>3.1888256249999998</v>
      </c>
      <c r="K36" s="1">
        <f t="shared" si="10"/>
        <v>3.2838724999999998</v>
      </c>
      <c r="L36" s="1">
        <f t="shared" si="10"/>
        <v>3.3789193749999997</v>
      </c>
      <c r="M36" s="1">
        <f t="shared" si="10"/>
        <v>3.4739662499999997</v>
      </c>
      <c r="N36" s="1">
        <f>M36+($O$36-$G$36)/($O$10-$G$10)</f>
        <v>3.5690131249999997</v>
      </c>
      <c r="O36" s="172">
        <f>'Input data'!$C$52</f>
        <v>3.6640600000000001</v>
      </c>
      <c r="P36" s="1">
        <f>$O$36+('Input data'!$C$54-'Input data'!$C$52)/20*('Baseline NFPC'!P$10-2033)</f>
        <v>3.680857</v>
      </c>
      <c r="Q36" s="1">
        <f>$O$36+('Input data'!$C$54-'Input data'!$C$52)/20*('Baseline NFPC'!Q$10-2033)</f>
        <v>3.697654</v>
      </c>
      <c r="R36" s="1">
        <f>$O$36+('Input data'!$C$54-'Input data'!$C$52)/20*('Baseline NFPC'!R$10-2033)</f>
        <v>3.7144509999999999</v>
      </c>
      <c r="S36" s="1">
        <f>$O$36+('Input data'!$C$54-'Input data'!$C$52)/20*('Baseline NFPC'!S$10-2033)</f>
        <v>3.7312479999999999</v>
      </c>
      <c r="T36" s="1">
        <f>$O$36+('Input data'!$C$54-'Input data'!$C$52)/20*('Baseline NFPC'!T$10-2033)</f>
        <v>3.7480450000000003</v>
      </c>
      <c r="U36" s="1">
        <f>$O$36+('Input data'!$C$54-'Input data'!$C$52)/20*('Baseline NFPC'!U$10-2033)</f>
        <v>3.7648420000000002</v>
      </c>
      <c r="V36" s="1">
        <f>$O$36+('Input data'!$C$54-'Input data'!$C$52)/20*('Baseline NFPC'!V$10-2033)</f>
        <v>3.7816390000000002</v>
      </c>
      <c r="W36" s="1">
        <f>$O$36+('Input data'!$C$54-'Input data'!$C$52)/20*('Baseline NFPC'!W$10-2033)</f>
        <v>3.7984360000000001</v>
      </c>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5"/>
    </row>
    <row r="37" spans="2:51" x14ac:dyDescent="0.2">
      <c r="B37" s="21" t="s">
        <v>67</v>
      </c>
      <c r="C37" s="1"/>
      <c r="D37" s="1"/>
      <c r="E37" s="2">
        <f>'Input data'!E$38</f>
        <v>3.43</v>
      </c>
      <c r="F37" s="138">
        <f>'Input data'!F$38</f>
        <v>3.5642079999999998</v>
      </c>
      <c r="G37" s="138">
        <f>'Input data'!G$38</f>
        <v>2.8163749999999999</v>
      </c>
      <c r="H37" s="1">
        <f>G37+($O$37-$G$37)/($O$10-$G$10)</f>
        <v>2.8050893749999997</v>
      </c>
      <c r="I37" s="1">
        <f t="shared" ref="I37:N37" si="11">H37+($O$37-$G$37)/($O$10-$G$10)</f>
        <v>2.7938037499999995</v>
      </c>
      <c r="J37" s="1">
        <f t="shared" si="11"/>
        <v>2.7825181249999993</v>
      </c>
      <c r="K37" s="1">
        <f t="shared" si="11"/>
        <v>2.7712324999999991</v>
      </c>
      <c r="L37" s="1">
        <f t="shared" si="11"/>
        <v>2.7599468749999989</v>
      </c>
      <c r="M37" s="1">
        <f t="shared" si="11"/>
        <v>2.7486612499999987</v>
      </c>
      <c r="N37" s="1">
        <f t="shared" si="11"/>
        <v>2.7373756249999985</v>
      </c>
      <c r="O37" s="172">
        <f>'Input data'!$C$53</f>
        <v>2.7260900000000001</v>
      </c>
      <c r="P37" s="1">
        <f>$O$37+('Input data'!$C$55-'Input data'!$C$53)/20*('Baseline NFPC'!P$10-2033)</f>
        <v>2.6897855000000002</v>
      </c>
      <c r="Q37" s="1">
        <f>$O$37+('Input data'!$C$55-'Input data'!$C$53)/20*('Baseline NFPC'!Q$10-2033)</f>
        <v>2.6534810000000002</v>
      </c>
      <c r="R37" s="1">
        <f>$O$37+('Input data'!$C$55-'Input data'!$C$53)/20*('Baseline NFPC'!R$10-2033)</f>
        <v>2.6171765000000002</v>
      </c>
      <c r="S37" s="1">
        <f>$O$37+('Input data'!$C$55-'Input data'!$C$53)/20*('Baseline NFPC'!S$10-2033)</f>
        <v>2.5808720000000003</v>
      </c>
      <c r="T37" s="1">
        <f>$O$37+('Input data'!$C$55-'Input data'!$C$53)/20*('Baseline NFPC'!T$10-2033)</f>
        <v>2.5445675000000003</v>
      </c>
      <c r="U37" s="1">
        <f>$O$37+('Input data'!$C$55-'Input data'!$C$53)/20*('Baseline NFPC'!U$10-2033)</f>
        <v>2.5082629999999999</v>
      </c>
      <c r="V37" s="1">
        <f>$O$37+('Input data'!$C$55-'Input data'!$C$53)/20*('Baseline NFPC'!V$10-2033)</f>
        <v>2.4719584999999999</v>
      </c>
      <c r="W37" s="1">
        <f>$O$37+('Input data'!$C$55-'Input data'!$C$53)/20*('Baseline NFPC'!W$10-2033)</f>
        <v>2.435654</v>
      </c>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5"/>
    </row>
    <row r="38" spans="2:51" x14ac:dyDescent="0.2">
      <c r="B38" s="15" t="s">
        <v>68</v>
      </c>
      <c r="C38" s="1">
        <v>1E-3</v>
      </c>
      <c r="D38" s="1">
        <v>7.5373060000000006E-2</v>
      </c>
      <c r="E38" s="1">
        <v>4.6882050000000001E-2</v>
      </c>
      <c r="F38" s="1">
        <v>5.4216720000000003E-2</v>
      </c>
      <c r="G38" s="1">
        <f>IF(OR($C$3="EL",$C$3="CY",$C$3="IE",$C$3="PT"),VLOOKUP($C$3,$B$110:$T$114,MATCH(G$10,$B$110:$T$110,0),0),$F$38+('Input data'!$C$59-$F$38)/($O$10-$F$10)*(G10-$F$10))</f>
        <v>6.7343109999999998E-2</v>
      </c>
      <c r="H38" s="1">
        <f>IF(OR($C$3="EL",$C$3="CY",$C$3="IE",$C$3="PT"),VLOOKUP($C$3,$B$110:$T$114,MATCH(H$10,$B$110:$T$110,0),0),$F$38+('Input data'!$C$59-$F$38)/($O$10-$F$10)*(H10-$F$10))</f>
        <v>7.3281109999999997E-2</v>
      </c>
      <c r="I38" s="1">
        <f>IF(OR($C$3="EL",$C$3="CY",$C$3="IE",$C$3="PT"),VLOOKUP($C$3,$B$110:$T$114,MATCH(I$10,$B$110:$T$110,0),0),$F$38+('Input data'!$C$59-$F$38)/($O$10-$F$10)*(I10-$F$10))</f>
        <v>6.3735609999999998E-2</v>
      </c>
      <c r="J38" s="1">
        <f>IF(OR($C$3="EL",$C$3="CY",$C$3="IE",$C$3="PT"),VLOOKUP($C$3,$B$110:$T$114,MATCH(J$10,$B$110:$T$110,0),0),$F$38+('Input data'!$C$59-$F$38)/($O$10-$F$10)*(J10-$F$10))</f>
        <v>7.1999019999999997E-2</v>
      </c>
      <c r="K38" s="1">
        <f>IF(OR($C$3="EL",$C$3="CY",$C$3="IE",$C$3="PT"),VLOOKUP($C$3,$B$110:$T$114,MATCH(K$10,$B$110:$T$110,0),0),$F$38+('Input data'!$C$59-$F$38)/($O$10-$F$10)*(K10-$F$10))</f>
        <v>7.7920139999999999E-2</v>
      </c>
      <c r="L38" s="1">
        <f>IF(OR($C$3="EL",$C$3="CY",$C$3="IE",$C$3="PT"),VLOOKUP($C$3,$B$110:$T$114,MATCH(L$10,$B$110:$T$110,0),0),$F$38+('Input data'!$C$59-$F$38)/($O$10-$F$10)*(L10-$F$10))</f>
        <v>7.3665930000000004E-2</v>
      </c>
      <c r="M38" s="1">
        <f>IF(OR($C$3="EL",$C$3="CY",$C$3="IE",$C$3="PT"),VLOOKUP($C$3,$B$110:$T$114,MATCH(M$10,$B$110:$T$110,0),0),$F$38+('Input data'!$C$59-$F$38)/($O$10-$F$10)*(M10-$F$10))</f>
        <v>9.2833230000000003E-2</v>
      </c>
      <c r="N38" s="1">
        <f>IF(OR($C$3="EL",$C$3="CY",$C$3="IE",$C$3="PT"),VLOOKUP($C$3,$B$110:$T$114,MATCH(N$10,$B$110:$T$110,0),0),$F$38+('Input data'!$C$59-$F$38)/($O$10-$F$10)*(N10-$F$10))</f>
        <v>9.7499160000000001E-2</v>
      </c>
      <c r="O38" s="172">
        <f>IF(OR($C$3="EL",$C$3="CY",$C$3="IE",$C$3="PT"),VLOOKUP($C$3,$B$110:$T$114,MATCH(O$10,$B$110:$T$110,0),0),'Input data'!$C$59)</f>
        <v>0.10431984</v>
      </c>
      <c r="P38" s="1">
        <f>IF(OR($C$3="EL",$C$3="CY",$C$3="IE",$C$3="PT"),VLOOKUP($C$3,$B$110:$T$114,MATCH(P$10,$B$110:$T$110,0),0),'Input data'!$C$59)</f>
        <v>7.7692949999999997E-2</v>
      </c>
      <c r="Q38" s="1">
        <f>IF(OR($C$3="EL",$C$3="CY",$C$3="IE",$C$3="PT"),VLOOKUP($C$3,$B$110:$T$114,MATCH(Q$10,$B$110:$T$110,0),0),'Input data'!$C$59)</f>
        <v>8.1896739999999996E-2</v>
      </c>
      <c r="R38" s="1">
        <f>IF(OR($C$3="EL",$C$3="CY",$C$3="IE",$C$3="PT"),VLOOKUP($C$3,$B$110:$T$114,MATCH(R$10,$B$110:$T$110,0),0),'Input data'!$C$59)</f>
        <v>7.226059E-2</v>
      </c>
      <c r="S38" s="1">
        <f>IF(OR($C$3="EL",$C$3="CY",$C$3="IE",$C$3="PT"),VLOOKUP($C$3,$B$110:$T$114,MATCH(S$10,$B$110:$T$110,0),0),'Input data'!$C$59)</f>
        <v>7.2475159999999997E-2</v>
      </c>
      <c r="T38" s="1">
        <f>IF(OR($C$3="EL",$C$3="CY",$C$3="IE",$C$3="PT"),VLOOKUP($C$3,$B$110:$T$114,MATCH(T$10,$B$110:$T$110,0),0),'Input data'!$C$59)</f>
        <v>7.2704249999999998E-2</v>
      </c>
      <c r="U38" s="1">
        <f>IF(OR($C$3="EL",$C$3="CY",$C$3="IE",$C$3="PT"),VLOOKUP($C$3,$B$110:$W$114,MATCH(U$10,$B$110:$W$110,0),0),'Input data'!$C$59)</f>
        <v>7.292216E-2</v>
      </c>
      <c r="V38" s="1">
        <f>IF(OR($C$3="EL",$C$3="CY",$C$3="IE",$C$3="PT"),VLOOKUP($C$3,$B$110:$W$114,MATCH(V$10,$B$110:$W$110,0),0),'Input data'!$C$59)</f>
        <v>7.3112590000000005E-2</v>
      </c>
      <c r="W38" s="1">
        <f>IF(OR($C$3="EL",$C$3="CY",$C$3="IE",$C$3="PT"),VLOOKUP($C$3,$B$110:$W$114,MATCH(W$10,$B$110:$W$110,0),0),'Input data'!$C$59)</f>
        <v>7.3435849999999997E-2</v>
      </c>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5"/>
    </row>
    <row r="39" spans="2:51" x14ac:dyDescent="0.2">
      <c r="C39" s="1"/>
      <c r="D39" s="1"/>
      <c r="E39" s="1"/>
      <c r="F39" s="1"/>
      <c r="G39" s="1"/>
      <c r="H39" s="1"/>
      <c r="I39" s="1"/>
      <c r="J39" s="1"/>
      <c r="K39" s="1"/>
      <c r="L39" s="1"/>
      <c r="M39" s="1"/>
      <c r="N39" s="1"/>
      <c r="O39" s="1"/>
      <c r="P39" s="1"/>
      <c r="Q39" s="1"/>
      <c r="R39" s="1"/>
      <c r="S39" s="1"/>
      <c r="T39" s="1"/>
      <c r="U39" s="1"/>
      <c r="V39" s="1"/>
      <c r="W39" s="1"/>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5"/>
    </row>
    <row r="40" spans="2:51" x14ac:dyDescent="0.2">
      <c r="B40" s="17" t="s">
        <v>69</v>
      </c>
      <c r="C40" s="1"/>
      <c r="D40" s="1"/>
      <c r="E40" s="1"/>
      <c r="F40" s="1"/>
      <c r="G40" s="81"/>
      <c r="H40" s="81"/>
      <c r="I40" s="81"/>
      <c r="J40" s="81"/>
      <c r="K40" s="81"/>
      <c r="L40" s="81"/>
      <c r="M40" s="81"/>
      <c r="N40" s="1"/>
      <c r="O40" s="81"/>
      <c r="P40" s="81"/>
      <c r="Q40" s="81"/>
      <c r="R40" s="1"/>
      <c r="S40" s="1"/>
      <c r="T40" s="1"/>
      <c r="U40" s="1"/>
      <c r="V40" s="1"/>
      <c r="W40" s="1"/>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5"/>
    </row>
    <row r="41" spans="2:51" x14ac:dyDescent="0.2">
      <c r="B41" s="15" t="s">
        <v>44</v>
      </c>
      <c r="C41" s="1">
        <f>'Input data'!C42</f>
        <v>0.47748259999999998</v>
      </c>
      <c r="D41" s="1">
        <f>'Input data'!D42</f>
        <v>6.5822690000000001</v>
      </c>
      <c r="E41" s="2">
        <f>'Input data'!E42</f>
        <v>2.965217</v>
      </c>
      <c r="F41" s="2">
        <f>'Input data'!F42</f>
        <v>2.5743459999999998</v>
      </c>
      <c r="G41" s="2">
        <f>'Input data'!G42</f>
        <v>1.9148970000000001</v>
      </c>
      <c r="H41" s="1">
        <f>$G$41+($O$41-$G$41)/($O$10-$G$10)*(H10-$G$10)</f>
        <v>1.994284875</v>
      </c>
      <c r="I41" s="1">
        <f>$G$41+($O$41-$G$41)/($O$10-$G$10)*(I10-$G$10)</f>
        <v>2.0736727500000001</v>
      </c>
      <c r="J41" s="1">
        <f t="shared" ref="J41:M41" si="12">$G$41+($O$41-$G$41)/($O$10-$G$10)*(J10-$G$10)</f>
        <v>2.1530606250000002</v>
      </c>
      <c r="K41" s="1">
        <f t="shared" si="12"/>
        <v>2.2324484999999998</v>
      </c>
      <c r="L41" s="1">
        <f t="shared" si="12"/>
        <v>2.3118363749999999</v>
      </c>
      <c r="M41" s="1">
        <f t="shared" si="12"/>
        <v>2.3912242500000001</v>
      </c>
      <c r="N41" s="1">
        <f>$G$41+($O$41-$G$41)/($O$10-$G$10)*(N10-$G$10)</f>
        <v>2.4706121249999997</v>
      </c>
      <c r="O41" s="172">
        <f>'Input data'!$C$61</f>
        <v>2.5499999999999998</v>
      </c>
      <c r="P41" s="1">
        <f>$O$41+('Input data'!$C$62-'Input data'!$C$61)/20*(P$10-2033)</f>
        <v>2.5225</v>
      </c>
      <c r="Q41" s="1">
        <f>$O$41+('Input data'!$C$62-'Input data'!$C$61)/20*(Q$10-2033)</f>
        <v>2.4949999999999997</v>
      </c>
      <c r="R41" s="1">
        <f>$O$41+('Input data'!$C$62-'Input data'!$C$61)/20*(R$10-2033)</f>
        <v>2.4674999999999998</v>
      </c>
      <c r="S41" s="1">
        <f>$O$41+('Input data'!$C$62-'Input data'!$C$61)/20*(S$10-2033)</f>
        <v>2.44</v>
      </c>
      <c r="T41" s="1">
        <f>$O$41+('Input data'!$C$62-'Input data'!$C$61)/20*(T$10-2033)</f>
        <v>2.4124999999999996</v>
      </c>
      <c r="U41" s="1">
        <f>$O$41+('Input data'!$C$62-'Input data'!$C$61)/20*(U$10-2033)</f>
        <v>2.3849999999999998</v>
      </c>
      <c r="V41" s="1">
        <f>$O$41+('Input data'!$C$62-'Input data'!$C$61)/20*(V$10-2033)</f>
        <v>2.3574999999999999</v>
      </c>
      <c r="W41" s="1">
        <f>$O$41+('Input data'!$C$62-'Input data'!$C$61)/20*(W$10-2033)</f>
        <v>2.33</v>
      </c>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5"/>
    </row>
    <row r="42" spans="2:51" x14ac:dyDescent="0.2">
      <c r="B42" s="15" t="s">
        <v>70</v>
      </c>
      <c r="C42" s="1">
        <v>1</v>
      </c>
      <c r="D42" s="1">
        <v>1</v>
      </c>
      <c r="E42" s="1">
        <v>0.99999990000000005</v>
      </c>
      <c r="F42" s="1">
        <v>1</v>
      </c>
      <c r="G42" s="1">
        <v>1</v>
      </c>
      <c r="H42" s="1">
        <v>1</v>
      </c>
      <c r="I42" s="1">
        <v>1</v>
      </c>
      <c r="J42" s="1">
        <v>1</v>
      </c>
      <c r="K42" s="1">
        <v>1</v>
      </c>
      <c r="L42" s="1">
        <v>1</v>
      </c>
      <c r="M42" s="1">
        <v>1</v>
      </c>
      <c r="N42" s="1">
        <v>1</v>
      </c>
      <c r="O42" s="1">
        <v>1</v>
      </c>
      <c r="P42" s="1">
        <v>1</v>
      </c>
      <c r="Q42" s="1">
        <v>1</v>
      </c>
      <c r="R42" s="1">
        <v>1</v>
      </c>
      <c r="S42" s="1">
        <v>1</v>
      </c>
      <c r="T42" s="1">
        <v>1</v>
      </c>
      <c r="U42" s="1">
        <v>1</v>
      </c>
      <c r="V42" s="1">
        <v>1</v>
      </c>
      <c r="W42" s="1">
        <v>1</v>
      </c>
      <c r="X42" s="1"/>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5"/>
    </row>
    <row r="43" spans="2:51" x14ac:dyDescent="0.2">
      <c r="C43" s="25"/>
    </row>
    <row r="44" spans="2:51" s="56" customFormat="1" ht="12.75" x14ac:dyDescent="0.2">
      <c r="B44" s="60" t="s">
        <v>71</v>
      </c>
      <c r="C44" s="61"/>
    </row>
    <row r="45" spans="2:51" x14ac:dyDescent="0.2">
      <c r="C45" s="25"/>
    </row>
    <row r="46" spans="2:51" x14ac:dyDescent="0.2">
      <c r="B46" s="39" t="s">
        <v>46</v>
      </c>
      <c r="C46" s="40">
        <f>'Input data'!C49</f>
        <v>0.75</v>
      </c>
    </row>
    <row r="47" spans="2:51" x14ac:dyDescent="0.2">
      <c r="B47" s="41" t="s">
        <v>189</v>
      </c>
      <c r="C47" s="42">
        <f>'Input data'!C50</f>
        <v>0.52200000000000002</v>
      </c>
    </row>
    <row r="48" spans="2:51" x14ac:dyDescent="0.2">
      <c r="C48" s="43"/>
    </row>
    <row r="49" spans="2:48" outlineLevel="1" x14ac:dyDescent="0.2">
      <c r="B49" s="15" t="s">
        <v>72</v>
      </c>
      <c r="C49" s="23"/>
      <c r="D49" s="23">
        <f>IF(AND(ABS((D12-C12)-('Input data'!D13-'Input data'!C13))&gt;0.0001,ABS(D12-C12)&gt;0.0001,D$10&gt;$C$5),4,IF(C49=4,3,IF(C49=3,2,IF(C49=2,1,0))))</f>
        <v>0</v>
      </c>
      <c r="E49" s="23">
        <f>IF(AND(ABS((E12-D12)-('Input data'!E13-'Input data'!D13))&gt;0.0001,ABS(E12-D12)&gt;0.0001,E$10&gt;$C$5),4,IF(D49=4,3,IF(D49=3,2,IF(D49=2,1,0))))</f>
        <v>0</v>
      </c>
      <c r="F49" s="23">
        <f>IF(AND(ABS((F12-E12)-('Input data'!F13-'Input data'!E13))&gt;0.0001,ABS(F12-E12)&gt;0.0001,F$10&gt;$C$5),4,IF(E49=4,3,IF(E49=3,2,IF(E49=2,1,0))))</f>
        <v>0</v>
      </c>
      <c r="G49" s="23">
        <f>IF(AND(ABS((G12-F12)-('Input data'!G13-'Input data'!F13))&gt;0.0001,ABS(G12-F12)&gt;0.0001,G$10&gt;$C$5),4,IF(F49=4,3,IF(F49=3,2,IF(F49=2,1,0))))</f>
        <v>0</v>
      </c>
      <c r="H49" s="23">
        <f>IF(AND(ABS((H12-G12)-('Input data'!H13-'Input data'!G13))&gt;0.0001,ABS(H12-G12)&gt;0.0001,H$10&gt;$C$5),4,IF(G49=4,3,IF(G49=3,2,IF(G49=2,1,0))))</f>
        <v>0</v>
      </c>
      <c r="I49" s="23">
        <f>IF(AND(ABS((I12-H12)-('Input data'!I13-'Input data'!H13))&gt;0.0001,ABS(I12-H12)&gt;0.0001,I$10&gt;$C$5),4,IF(H49=4,3,IF(H49=3,2,IF(H49=2,1,0))))</f>
        <v>0</v>
      </c>
      <c r="J49" s="23">
        <f>IF(AND(ABS((J12-I12)-('Input data'!J13-'Input data'!I13))&gt;0.0001,ABS(J12-I12)&gt;0.0001,J$10&gt;$C$5),4,IF(I49=4,3,IF(I49=3,2,IF(I49=2,1,0))))</f>
        <v>0</v>
      </c>
      <c r="K49" s="23">
        <f>IF(AND(ABS((K12-J12)-('Input data'!K13-'Input data'!J13))&gt;0.0001,ABS(K12-J12)&gt;0.0001,K$10&gt;$C$5),4,IF(J49=4,3,IF(J49=3,2,IF(J49=2,1,0))))</f>
        <v>0</v>
      </c>
      <c r="L49" s="23">
        <f>IF(AND(ABS((L12-K12)-('Input data'!L13-'Input data'!K13))&gt;0.0001,ABS(L12-K12)&gt;0.0001,L$10&gt;$C$5),4,IF(K49=4,3,IF(K49=3,2,IF(K49=2,1,0))))</f>
        <v>0</v>
      </c>
      <c r="M49" s="23">
        <f>IF(AND(ABS((M12-L12)-('Input data'!M13-'Input data'!L13))&gt;0.0001,ABS(M12-L12)&gt;0.0001,M$10&gt;$C$5),4,IF(L49=4,3,IF(L49=3,2,IF(L49=2,1,0))))</f>
        <v>0</v>
      </c>
      <c r="N49" s="23">
        <f>IF(AND(ABS((N12-M12)-('Input data'!N13-'Input data'!M13))&gt;0.0001,ABS(N12-M12)&gt;0.0001,N$10&gt;$C$5),4,IF(M49=4,3,IF(M49=3,2,IF(M49=2,1,0))))</f>
        <v>0</v>
      </c>
      <c r="O49" s="23">
        <f>IF(AND(ABS((O12-N12)-('Input data'!O13-'Input data'!N13))&gt;0.0001,ABS(O12-N12)&gt;0.0001,O$10&gt;$C$5),4,IF(N49=4,3,IF(N49=3,2,IF(N49=2,1,0))))</f>
        <v>0</v>
      </c>
      <c r="P49" s="23">
        <f>IF(AND(ABS((P12-O12)-('Input data'!P13-'Input data'!O13))&gt;0.0001,ABS(P12-O12)&gt;0.0001,P$10&gt;$C$5),4,IF(O49=4,3,IF(O49=3,2,IF(O49=2,1,0))))</f>
        <v>0</v>
      </c>
      <c r="Q49" s="23">
        <f>IF(AND(ABS((Q12-P12)-('Input data'!Q13-'Input data'!P13))&gt;0.0001,ABS(Q12-P12)&gt;0.0001,Q$10&gt;$C$5),4,IF(P49=4,3,IF(P49=3,2,IF(P49=2,1,0))))</f>
        <v>0</v>
      </c>
      <c r="R49" s="23">
        <f>IF(AND(ABS((R12-Q12)-('Input data'!R13-'Input data'!Q13))&gt;0.0001,ABS(R12-Q12)&gt;0.0001,R$10&gt;$C$5),4,IF(Q49=4,3,IF(Q49=3,2,IF(Q49=2,1,0))))</f>
        <v>0</v>
      </c>
      <c r="S49" s="23">
        <f>IF(AND(ABS((S12-R12)-('Input data'!S13-'Input data'!R13))&gt;0.0001,ABS(S12-R12)&gt;0.0001,S$10&gt;$C$5),4,IF(R49=4,3,IF(R49=3,2,IF(R49=2,1,0))))</f>
        <v>0</v>
      </c>
      <c r="T49" s="23">
        <f>IF(AND(ABS((T12-S12)-('Input data'!T13-'Input data'!S13))&gt;0.0001,ABS(T12-S12)&gt;0.0001,T$10&gt;$C$5),4,IF(S49=4,3,IF(S49=3,2,IF(S49=2,1,0))))</f>
        <v>0</v>
      </c>
      <c r="U49" s="23">
        <f>IF(AND(ABS((U12-T12)-('Input data'!U13-'Input data'!T13))&gt;0.0001,ABS(U12-T12)&gt;0.0001,U$10&gt;$C$5),4,IF(T49=4,3,IF(T49=3,2,IF(T49=2,1,0))))</f>
        <v>0</v>
      </c>
      <c r="V49" s="23">
        <f>IF(AND(ABS((V12-U12)-('Input data'!V13-'Input data'!U13))&gt;0.0001,ABS(V12-U12)&gt;0.0001,V$10&gt;$C$5),4,IF(U49=4,3,IF(U49=3,2,IF(U49=2,1,0))))</f>
        <v>0</v>
      </c>
      <c r="W49" s="23">
        <f>IF(AND(ABS((W12-V12)-('Input data'!W13-'Input data'!V13))&gt;0.0001,ABS(W12-V12)&gt;0.0001,W$10&gt;$C$5),4,IF(V49=4,3,IF(V49=3,2,IF(V49=2,1,0))))</f>
        <v>0</v>
      </c>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row>
    <row r="50" spans="2:48" outlineLevel="1" x14ac:dyDescent="0.2">
      <c r="B50" s="15" t="s">
        <v>73</v>
      </c>
      <c r="C50" s="23"/>
      <c r="D50" s="23">
        <f t="shared" ref="D50:W50" si="13">IF(C49=4,2/3*C29,IF(C49=3,1/3*B29,0))</f>
        <v>0</v>
      </c>
      <c r="E50" s="23">
        <f t="shared" si="13"/>
        <v>0</v>
      </c>
      <c r="F50" s="23">
        <f t="shared" si="13"/>
        <v>0</v>
      </c>
      <c r="G50" s="23">
        <f t="shared" si="13"/>
        <v>0</v>
      </c>
      <c r="H50" s="23">
        <f t="shared" si="13"/>
        <v>0</v>
      </c>
      <c r="I50" s="23">
        <f t="shared" si="13"/>
        <v>0</v>
      </c>
      <c r="J50" s="23">
        <f t="shared" si="13"/>
        <v>0</v>
      </c>
      <c r="K50" s="23">
        <f t="shared" si="13"/>
        <v>0</v>
      </c>
      <c r="L50" s="23">
        <f t="shared" si="13"/>
        <v>0</v>
      </c>
      <c r="M50" s="23">
        <f t="shared" si="13"/>
        <v>0</v>
      </c>
      <c r="N50" s="23">
        <f t="shared" si="13"/>
        <v>0</v>
      </c>
      <c r="O50" s="23">
        <f t="shared" si="13"/>
        <v>0</v>
      </c>
      <c r="P50" s="23">
        <f t="shared" si="13"/>
        <v>0</v>
      </c>
      <c r="Q50" s="23">
        <f t="shared" si="13"/>
        <v>0</v>
      </c>
      <c r="R50" s="23">
        <f t="shared" si="13"/>
        <v>0</v>
      </c>
      <c r="S50" s="23">
        <f t="shared" si="13"/>
        <v>0</v>
      </c>
      <c r="T50" s="23">
        <f t="shared" si="13"/>
        <v>0</v>
      </c>
      <c r="U50" s="23">
        <f t="shared" si="13"/>
        <v>0</v>
      </c>
      <c r="V50" s="23">
        <f t="shared" si="13"/>
        <v>0</v>
      </c>
      <c r="W50" s="23">
        <f t="shared" si="13"/>
        <v>0</v>
      </c>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row>
    <row r="51" spans="2:48" outlineLevel="1" x14ac:dyDescent="0.2">
      <c r="B51" s="15" t="s">
        <v>74</v>
      </c>
      <c r="C51" s="23"/>
      <c r="D51" s="23">
        <f>'Input data'!D30-$C$46*((D12-C12)-('Input data'!D13-'Input data'!C13))</f>
        <v>9.4330219999999994</v>
      </c>
      <c r="E51" s="23">
        <f>'Input data'!E30-$C$46*((E12-D12)-('Input data'!E13-'Input data'!D13))</f>
        <v>-3.198788</v>
      </c>
      <c r="F51" s="23">
        <f>'Input data'!F30-$C$46*((F12-E12)-('Input data'!F13-'Input data'!E13))</f>
        <v>1.2437020000000001</v>
      </c>
      <c r="G51" s="23">
        <f>'Input data'!G30-$C$46*((G12-F12)-('Input data'!G13-'Input data'!F13))</f>
        <v>1.4972052499999999</v>
      </c>
      <c r="H51" s="23">
        <f>'Input data'!H30-$C$46*((H12-G12))</f>
        <v>3.7461139999999999</v>
      </c>
      <c r="I51" s="23">
        <f>'Input data'!I30-$C$46*((I12-H12))</f>
        <v>3.8023690000000001</v>
      </c>
      <c r="J51" s="23">
        <f>'Input data'!J30-$C$46*((J12-I12))</f>
        <v>3.5773860000000002</v>
      </c>
      <c r="K51" s="23">
        <f>'Input data'!K30-$C$46*((K12-J12))</f>
        <v>3.1642039999999998</v>
      </c>
      <c r="L51" s="23">
        <f>'Input data'!L30-$C$46*((L12-K12))</f>
        <v>2.9380139999999999</v>
      </c>
      <c r="M51" s="23">
        <f>'Input data'!M30-$C$46*((M12-L12))</f>
        <v>2.6694110000000002</v>
      </c>
      <c r="N51" s="23">
        <f>'Input data'!N30-$C$46*((N12-M12))</f>
        <v>2.3597860000000002</v>
      </c>
      <c r="O51" s="23">
        <f>'Input data'!O30-$C$46*((O12-N12))</f>
        <v>2.0134089999999998</v>
      </c>
      <c r="P51" s="23">
        <f>'Input data'!P30-$C$46*((P12-O12))</f>
        <v>1.9504570000000001</v>
      </c>
      <c r="Q51" s="23">
        <f>'Input data'!Q30-$C$46*((Q12-P12))</f>
        <v>1.887507</v>
      </c>
      <c r="R51" s="23">
        <f>'Input data'!R30-$C$46*((R12-Q12))</f>
        <v>1.8245469999999999</v>
      </c>
      <c r="S51" s="23">
        <f>'Input data'!S30-$C$46*((S12-R12))</f>
        <v>1.823224</v>
      </c>
      <c r="T51" s="23">
        <f>'Input data'!T30-$C$46*((T12-S12))</f>
        <v>1.7845059999999999</v>
      </c>
      <c r="U51" s="23">
        <f>'Input data'!U30-$C$46*((U12-T12))</f>
        <v>1.734372</v>
      </c>
      <c r="V51" s="23">
        <f>'Input data'!V30-$C$46*((V12-U12))</f>
        <v>1.6682140000000001</v>
      </c>
      <c r="W51" s="23">
        <f>'Input data'!W30-$C$46*((W12-V12))</f>
        <v>1.5711120000000001</v>
      </c>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row>
    <row r="52" spans="2:48" x14ac:dyDescent="0.2">
      <c r="C52" s="25"/>
    </row>
    <row r="53" spans="2:48" s="56" customFormat="1" ht="12.75" outlineLevel="1" x14ac:dyDescent="0.2">
      <c r="B53" s="57" t="s">
        <v>75</v>
      </c>
      <c r="C53" s="58"/>
      <c r="E53" s="59"/>
      <c r="F53" s="58"/>
    </row>
    <row r="54" spans="2:48" outlineLevel="1" x14ac:dyDescent="0.2">
      <c r="B54" s="30"/>
      <c r="C54" s="18"/>
      <c r="E54" s="31"/>
      <c r="F54" s="18"/>
    </row>
    <row r="55" spans="2:48" outlineLevel="1" x14ac:dyDescent="0.2">
      <c r="B55" s="66"/>
      <c r="C55" s="67">
        <v>2021</v>
      </c>
      <c r="D55" s="67">
        <v>2022</v>
      </c>
      <c r="E55" s="67">
        <v>2023</v>
      </c>
      <c r="F55" s="67">
        <v>2024</v>
      </c>
      <c r="G55" s="67">
        <v>2025</v>
      </c>
      <c r="H55" s="67">
        <v>2026</v>
      </c>
      <c r="I55" s="67">
        <v>2027</v>
      </c>
      <c r="J55" s="67">
        <v>2028</v>
      </c>
      <c r="K55" s="67">
        <v>2029</v>
      </c>
      <c r="L55" s="67">
        <v>2030</v>
      </c>
      <c r="M55" s="67">
        <v>2031</v>
      </c>
      <c r="N55" s="67">
        <v>2032</v>
      </c>
      <c r="O55" s="67">
        <v>2033</v>
      </c>
      <c r="P55" s="67">
        <v>2034</v>
      </c>
      <c r="Q55" s="67">
        <v>2035</v>
      </c>
      <c r="R55" s="67">
        <v>2036</v>
      </c>
      <c r="S55" s="67">
        <v>2037</v>
      </c>
      <c r="T55" s="67">
        <v>2038</v>
      </c>
      <c r="U55" s="67">
        <v>2039</v>
      </c>
      <c r="V55" s="67">
        <v>2040</v>
      </c>
      <c r="W55" s="67">
        <v>2041</v>
      </c>
    </row>
    <row r="56" spans="2:48" ht="10.5" customHeight="1" outlineLevel="1" x14ac:dyDescent="0.2">
      <c r="B56" s="68" t="s">
        <v>76</v>
      </c>
      <c r="C56" s="32">
        <f>+'Input data'!C12</f>
        <v>54.398470000000003</v>
      </c>
      <c r="D56" s="32">
        <f>+C56+D57</f>
        <v>44.391771547524669</v>
      </c>
      <c r="E56" s="32">
        <f t="shared" ref="E56:T56" si="14">+D56+E57</f>
        <v>43.730433720991776</v>
      </c>
      <c r="F56" s="32">
        <f>+E56+F57</f>
        <v>42.488825337098667</v>
      </c>
      <c r="G56" s="32">
        <f>+F56+G57</f>
        <v>41.250805555606519</v>
      </c>
      <c r="H56" s="32">
        <f t="shared" si="14"/>
        <v>37.732587804956118</v>
      </c>
      <c r="I56" s="32">
        <f t="shared" si="14"/>
        <v>34.267259309002434</v>
      </c>
      <c r="J56" s="32">
        <f t="shared" si="14"/>
        <v>31.007170527595999</v>
      </c>
      <c r="K56" s="32">
        <f t="shared" si="14"/>
        <v>28.06229102567865</v>
      </c>
      <c r="L56" s="32">
        <f t="shared" si="14"/>
        <v>25.375334424222139</v>
      </c>
      <c r="M56" s="32">
        <f t="shared" si="14"/>
        <v>22.951905965719654</v>
      </c>
      <c r="N56" s="32">
        <f t="shared" si="14"/>
        <v>20.846367531017659</v>
      </c>
      <c r="O56" s="32">
        <f t="shared" si="14"/>
        <v>18.942087282286764</v>
      </c>
      <c r="P56" s="32">
        <f t="shared" si="14"/>
        <v>17.236596828220435</v>
      </c>
      <c r="Q56" s="32">
        <f t="shared" si="14"/>
        <v>15.704860715029163</v>
      </c>
      <c r="R56" s="32">
        <f>+Q56+R57</f>
        <v>14.35528731931441</v>
      </c>
      <c r="S56" s="32">
        <f t="shared" si="14"/>
        <v>13.18750453986471</v>
      </c>
      <c r="T56" s="32">
        <f t="shared" si="14"/>
        <v>12.117064647370229</v>
      </c>
      <c r="U56" s="32">
        <f t="shared" ref="U56" si="15">+T56+U57</f>
        <v>11.193855986822118</v>
      </c>
      <c r="V56" s="32">
        <f t="shared" ref="V56" si="16">+U56+V57</f>
        <v>10.4244667294801</v>
      </c>
      <c r="W56" s="32">
        <f t="shared" ref="W56" si="17">+V56+W57</f>
        <v>9.8184425636018169</v>
      </c>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row>
    <row r="57" spans="2:48" outlineLevel="1" x14ac:dyDescent="0.2">
      <c r="B57" s="69" t="s">
        <v>77</v>
      </c>
      <c r="C57" s="33"/>
      <c r="D57" s="33">
        <f>-D58+D66+D71</f>
        <v>-10.006698452475334</v>
      </c>
      <c r="E57" s="33">
        <f t="shared" ref="E57:T57" si="18">-E58+E66+E71</f>
        <v>-0.66133782653289608</v>
      </c>
      <c r="F57" s="33">
        <f>-F58+F66+F71</f>
        <v>-1.2416083838931098</v>
      </c>
      <c r="G57" s="33">
        <f>-G58+G66+G71</f>
        <v>-1.2380197814921519</v>
      </c>
      <c r="H57" s="33">
        <f t="shared" si="18"/>
        <v>-3.5182177506503978</v>
      </c>
      <c r="I57" s="33">
        <f t="shared" si="18"/>
        <v>-3.4653284959536879</v>
      </c>
      <c r="J57" s="33">
        <f t="shared" si="18"/>
        <v>-3.2600887814064343</v>
      </c>
      <c r="K57" s="33">
        <f t="shared" si="18"/>
        <v>-2.9448795019173497</v>
      </c>
      <c r="L57" s="33">
        <f t="shared" si="18"/>
        <v>-2.6869566014565112</v>
      </c>
      <c r="M57" s="33">
        <f t="shared" si="18"/>
        <v>-2.4234284585024839</v>
      </c>
      <c r="N57" s="33">
        <f t="shared" si="18"/>
        <v>-2.1055384347019941</v>
      </c>
      <c r="O57" s="33">
        <f t="shared" si="18"/>
        <v>-1.904280248730897</v>
      </c>
      <c r="P57" s="33">
        <f t="shared" si="18"/>
        <v>-1.7054904540663287</v>
      </c>
      <c r="Q57" s="33">
        <f t="shared" si="18"/>
        <v>-1.5317361131912728</v>
      </c>
      <c r="R57" s="33">
        <f>-R58+R66+R71</f>
        <v>-1.3495733957147533</v>
      </c>
      <c r="S57" s="33">
        <f t="shared" si="18"/>
        <v>-1.1677827794496998</v>
      </c>
      <c r="T57" s="33">
        <f t="shared" si="18"/>
        <v>-1.0704398924944811</v>
      </c>
      <c r="U57" s="33">
        <f t="shared" ref="U57:W57" si="19">-U58+U66+U71</f>
        <v>-0.92320866054811024</v>
      </c>
      <c r="V57" s="33">
        <f t="shared" si="19"/>
        <v>-0.76938925734201813</v>
      </c>
      <c r="W57" s="33">
        <f t="shared" si="19"/>
        <v>-0.60602416587828345</v>
      </c>
    </row>
    <row r="58" spans="2:48" outlineLevel="1" x14ac:dyDescent="0.2">
      <c r="B58" s="65" t="s">
        <v>78</v>
      </c>
      <c r="C58" s="34"/>
      <c r="D58" s="34">
        <f>D59+D60-D61-D62-D63-D64-D65</f>
        <v>2.3626830524753339</v>
      </c>
      <c r="E58" s="34">
        <f>E59+E60-E61-E62-E63-E64-E65</f>
        <v>2.3411552265328961</v>
      </c>
      <c r="F58" s="34">
        <f>F59+F60-F61-F62-F63-F64-F65</f>
        <v>1.9481771838931101</v>
      </c>
      <c r="G58" s="34">
        <f t="shared" ref="G58:T58" si="20">G59+G60-G61-G62-G63-G64-G65</f>
        <v>1.950657781492152</v>
      </c>
      <c r="H58" s="34">
        <f t="shared" si="20"/>
        <v>1.9528091953083089</v>
      </c>
      <c r="I58" s="34">
        <f t="shared" si="20"/>
        <v>2.0061043550346573</v>
      </c>
      <c r="J58" s="34">
        <f t="shared" si="20"/>
        <v>1.994407230892749</v>
      </c>
      <c r="K58" s="34">
        <f t="shared" si="20"/>
        <v>1.910694924903255</v>
      </c>
      <c r="L58" s="34">
        <f t="shared" si="20"/>
        <v>1.8045531249032682</v>
      </c>
      <c r="M58" s="34">
        <f t="shared" si="20"/>
        <v>1.6822923417592819</v>
      </c>
      <c r="N58" s="34">
        <f t="shared" si="20"/>
        <v>1.5014615616911626</v>
      </c>
      <c r="O58" s="34">
        <f t="shared" si="20"/>
        <v>1.4254192499936895</v>
      </c>
      <c r="P58" s="34">
        <f t="shared" si="20"/>
        <v>1.3024180620071484</v>
      </c>
      <c r="Q58" s="34">
        <f t="shared" si="20"/>
        <v>1.1871383113263729</v>
      </c>
      <c r="R58" s="34">
        <f t="shared" si="20"/>
        <v>1.0565854860332105</v>
      </c>
      <c r="S58" s="34">
        <f t="shared" si="20"/>
        <v>0.90900266072674551</v>
      </c>
      <c r="T58" s="34">
        <f t="shared" si="20"/>
        <v>0.8464818864232373</v>
      </c>
      <c r="U58" s="34">
        <f t="shared" ref="U58:W58" si="21">U59+U60-U61-U62-U63-U64-U65</f>
        <v>0.73130213882724293</v>
      </c>
      <c r="V58" s="34">
        <f t="shared" si="21"/>
        <v>0.60723187913193355</v>
      </c>
      <c r="W58" s="34">
        <f t="shared" si="21"/>
        <v>0.4730221348350056</v>
      </c>
    </row>
    <row r="59" spans="2:48" outlineLevel="1" x14ac:dyDescent="0.2">
      <c r="B59" s="64" t="s">
        <v>79</v>
      </c>
      <c r="C59" s="1"/>
      <c r="D59" s="1">
        <f>D12</f>
        <v>-2.376722</v>
      </c>
      <c r="E59" s="1">
        <f>E12</f>
        <v>1.7124649999999999</v>
      </c>
      <c r="F59" s="1">
        <f>F12</f>
        <v>2.5288010000000001</v>
      </c>
      <c r="G59" s="1">
        <f t="shared" ref="G59:W59" si="22">IF(G12="",F59,G12)</f>
        <v>2.5288010000000001</v>
      </c>
      <c r="H59" s="1">
        <f>IF(H12="",G59,H12)</f>
        <v>2.5288010000000001</v>
      </c>
      <c r="I59" s="1">
        <f t="shared" si="22"/>
        <v>2.5288010000000001</v>
      </c>
      <c r="J59" s="1">
        <f t="shared" si="22"/>
        <v>2.5288010000000001</v>
      </c>
      <c r="K59" s="1">
        <f t="shared" si="22"/>
        <v>2.5288010000000001</v>
      </c>
      <c r="L59" s="1">
        <f t="shared" si="22"/>
        <v>2.5288010000000001</v>
      </c>
      <c r="M59" s="1">
        <f t="shared" si="22"/>
        <v>2.5288010000000001</v>
      </c>
      <c r="N59" s="1">
        <f t="shared" si="22"/>
        <v>2.5288010000000001</v>
      </c>
      <c r="O59" s="1">
        <f t="shared" si="22"/>
        <v>2.5288010000000001</v>
      </c>
      <c r="P59" s="1">
        <f t="shared" si="22"/>
        <v>2.5288010000000001</v>
      </c>
      <c r="Q59" s="1">
        <f t="shared" si="22"/>
        <v>2.5288010000000001</v>
      </c>
      <c r="R59" s="1">
        <f t="shared" si="22"/>
        <v>2.5288010000000001</v>
      </c>
      <c r="S59" s="1">
        <f t="shared" si="22"/>
        <v>2.5288010000000001</v>
      </c>
      <c r="T59" s="1">
        <f t="shared" si="22"/>
        <v>2.5288010000000001</v>
      </c>
      <c r="U59" s="1">
        <f t="shared" si="22"/>
        <v>2.5288010000000001</v>
      </c>
      <c r="V59" s="1">
        <f t="shared" si="22"/>
        <v>2.5288010000000001</v>
      </c>
      <c r="W59" s="1">
        <f t="shared" si="22"/>
        <v>2.5288010000000001</v>
      </c>
    </row>
    <row r="60" spans="2:48" outlineLevel="1" x14ac:dyDescent="0.2">
      <c r="B60" s="64" t="s">
        <v>80</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64" t="s">
        <v>81</v>
      </c>
      <c r="C61" s="1"/>
      <c r="D61" s="1">
        <f t="shared" ref="D61:W61" si="23">-$C$47*D29</f>
        <v>-4.7394050524753339</v>
      </c>
      <c r="E61" s="1">
        <f t="shared" si="23"/>
        <v>-0.62869022653289608</v>
      </c>
      <c r="F61" s="1">
        <f t="shared" si="23"/>
        <v>0.58062381610688996</v>
      </c>
      <c r="G61" s="1">
        <f t="shared" si="23"/>
        <v>0.52665141850784858</v>
      </c>
      <c r="H61" s="1">
        <f>-$C$47*H29</f>
        <v>0.35109820469169056</v>
      </c>
      <c r="I61" s="1">
        <f t="shared" si="23"/>
        <v>0.11703124496534133</v>
      </c>
      <c r="J61" s="1">
        <f>-$C$47*J29</f>
        <v>-3.4308927479020923E-6</v>
      </c>
      <c r="K61" s="1">
        <f t="shared" si="23"/>
        <v>-2.9249032559963697E-6</v>
      </c>
      <c r="L61" s="1">
        <f t="shared" si="23"/>
        <v>-2.9249032675870978E-6</v>
      </c>
      <c r="M61" s="1">
        <f t="shared" si="23"/>
        <v>-3.9417592821777706E-6</v>
      </c>
      <c r="N61" s="1">
        <f t="shared" si="23"/>
        <v>-4.9616911631300557E-6</v>
      </c>
      <c r="O61" s="1">
        <f t="shared" si="23"/>
        <v>-4.449993689537024E-6</v>
      </c>
      <c r="P61" s="1">
        <f t="shared" si="23"/>
        <v>-4.9620071495670713E-6</v>
      </c>
      <c r="Q61" s="1">
        <f t="shared" si="23"/>
        <v>-7.0113263726856449E-6</v>
      </c>
      <c r="R61" s="1">
        <f t="shared" si="23"/>
        <v>-5.9860332119132669E-6</v>
      </c>
      <c r="S61" s="1">
        <f t="shared" si="23"/>
        <v>-4.9607267449847116E-6</v>
      </c>
      <c r="T61" s="1">
        <f t="shared" si="23"/>
        <v>-5.9864232399231559E-6</v>
      </c>
      <c r="U61" s="1">
        <f t="shared" si="23"/>
        <v>-8.0388272426734627E-6</v>
      </c>
      <c r="V61" s="1">
        <f t="shared" si="23"/>
        <v>-9.5791319328686345E-6</v>
      </c>
      <c r="W61" s="1">
        <f t="shared" si="23"/>
        <v>-1.1634835004636912E-5</v>
      </c>
    </row>
    <row r="62" spans="2:48" outlineLevel="1" x14ac:dyDescent="0.2">
      <c r="B62" s="64" t="s">
        <v>82</v>
      </c>
      <c r="C62" s="1"/>
      <c r="D62" s="1">
        <f t="shared" ref="D62:W62" si="24">-D13</f>
        <v>0</v>
      </c>
      <c r="E62" s="1">
        <f t="shared" si="24"/>
        <v>0</v>
      </c>
      <c r="F62" s="1">
        <f t="shared" si="24"/>
        <v>0</v>
      </c>
      <c r="G62" s="1">
        <f t="shared" si="24"/>
        <v>0</v>
      </c>
      <c r="H62" s="1">
        <f>-H13</f>
        <v>0</v>
      </c>
      <c r="I62" s="1">
        <f t="shared" si="24"/>
        <v>0</v>
      </c>
      <c r="J62" s="1">
        <f t="shared" si="24"/>
        <v>0</v>
      </c>
      <c r="K62" s="1">
        <f t="shared" si="24"/>
        <v>0</v>
      </c>
      <c r="L62" s="1">
        <f t="shared" si="24"/>
        <v>0</v>
      </c>
      <c r="M62" s="1">
        <f t="shared" si="24"/>
        <v>0</v>
      </c>
      <c r="N62" s="1">
        <f t="shared" si="24"/>
        <v>0</v>
      </c>
      <c r="O62" s="1">
        <f t="shared" si="24"/>
        <v>0</v>
      </c>
      <c r="P62" s="1">
        <f t="shared" si="24"/>
        <v>0</v>
      </c>
      <c r="Q62" s="1">
        <f t="shared" si="24"/>
        <v>0</v>
      </c>
      <c r="R62" s="1">
        <f t="shared" si="24"/>
        <v>0</v>
      </c>
      <c r="S62" s="1">
        <f t="shared" si="24"/>
        <v>0</v>
      </c>
      <c r="T62" s="1">
        <f t="shared" si="24"/>
        <v>0</v>
      </c>
      <c r="U62" s="1">
        <f t="shared" si="24"/>
        <v>0</v>
      </c>
      <c r="V62" s="1">
        <f t="shared" si="24"/>
        <v>0</v>
      </c>
      <c r="W62" s="1">
        <f t="shared" si="24"/>
        <v>0</v>
      </c>
    </row>
    <row r="63" spans="2:48" outlineLevel="1" x14ac:dyDescent="0.2">
      <c r="B63" s="64" t="s">
        <v>83</v>
      </c>
      <c r="C63" s="1"/>
      <c r="D63" s="1">
        <f>IF(D$55&lt;=$C$5,0,HLOOKUP(D$55,'Input data'!$C$9:$BB$26,12,FALSE)-HLOOKUP($C$5,'Input data'!$C$9:$BB$26,12,FALSE))</f>
        <v>0</v>
      </c>
      <c r="E63" s="1">
        <f>IF(E$55&lt;=$C$5,0,HLOOKUP(E$55,'Input data'!$C$9:$BB$26,12,FALSE)-HLOOKUP($C$5,'Input data'!$C$9:$BB$26,12,FALSE))</f>
        <v>0</v>
      </c>
      <c r="F63" s="1">
        <f>IF(F$55&lt;=$C$5,0,HLOOKUP(F$55,'Input data'!$C$9:$BB$26,12,FALSE)-HLOOKUP($C$5,'Input data'!$C$9:$BB$26,12,FALSE))</f>
        <v>0</v>
      </c>
      <c r="G63" s="1">
        <f>IF(G$55&lt;=$C$5,0,HLOOKUP(G$55,'Input data'!$C$9:$BB$26,12,FALSE)-HLOOKUP($C$5,'Input data'!$C$9:$BB$26,12,FALSE))</f>
        <v>5.3689999999999571E-2</v>
      </c>
      <c r="H63" s="1">
        <f>IF(H$55&lt;=$C$5,0,HLOOKUP(H$55,'Input data'!$C$9:$BB$26,12,FALSE)-HLOOKUP($C$5,'Input data'!$C$9:$BB$26,12,FALSE))</f>
        <v>0.22929000000000066</v>
      </c>
      <c r="I63" s="1">
        <f>IF(I$55&lt;=$C$5,0,HLOOKUP(I$55,'Input data'!$C$9:$BB$26,12,FALSE)-HLOOKUP($C$5,'Input data'!$C$9:$BB$26,12,FALSE))</f>
        <v>0.41226000000000163</v>
      </c>
      <c r="J63" s="1">
        <f>IF(J$55&lt;=$C$5,0,HLOOKUP(J$55,'Input data'!$C$9:$BB$26,12,FALSE)-HLOOKUP($C$5,'Input data'!$C$9:$BB$26,12,FALSE))</f>
        <v>0.54318999999999917</v>
      </c>
      <c r="K63" s="1">
        <f>IF(K$55&lt;=$C$5,0,HLOOKUP(K$55,'Input data'!$C$9:$BB$26,12,FALSE)-HLOOKUP($C$5,'Input data'!$C$9:$BB$26,12,FALSE))</f>
        <v>0.6291000000000011</v>
      </c>
      <c r="L63" s="1">
        <f>IF(L$55&lt;=$C$5,0,HLOOKUP(L$55,'Input data'!$C$9:$BB$26,12,FALSE)-HLOOKUP($C$5,'Input data'!$C$9:$BB$26,12,FALSE))</f>
        <v>0.73743999999999943</v>
      </c>
      <c r="M63" s="1">
        <f>IF(M$55&lt;=$C$5,0,HLOOKUP(M$55,'Input data'!$C$9:$BB$26,12,FALSE)-HLOOKUP($C$5,'Input data'!$C$9:$BB$26,12,FALSE))</f>
        <v>0.86190000000000033</v>
      </c>
      <c r="N63" s="1">
        <f>IF(N$55&lt;=$C$5,0,HLOOKUP(N$55,'Input data'!$C$9:$BB$26,12,FALSE)-HLOOKUP($C$5,'Input data'!$C$9:$BB$26,12,FALSE))</f>
        <v>1.0449300000000008</v>
      </c>
      <c r="O63" s="1">
        <f>IF(O$55&lt;=$C$5,0,HLOOKUP(O$55,'Input data'!$C$9:$BB$26,12,FALSE)-HLOOKUP($C$5,'Input data'!$C$9:$BB$26,12,FALSE))</f>
        <v>1.12317</v>
      </c>
      <c r="P63" s="1">
        <f>IF(P$55&lt;=$C$5,0,HLOOKUP(P$55,'Input data'!$C$9:$BB$26,12,FALSE)-HLOOKUP($C$5,'Input data'!$C$9:$BB$26,12,FALSE))</f>
        <v>1.2483700000000013</v>
      </c>
      <c r="Q63" s="1">
        <f>IF(Q$55&lt;=$C$5,0,HLOOKUP(Q$55,'Input data'!$C$9:$BB$26,12,FALSE)-HLOOKUP($C$5,'Input data'!$C$9:$BB$26,12,FALSE))</f>
        <v>1.36585</v>
      </c>
      <c r="R63" s="1">
        <f>IF(R$55&lt;=$C$5,0,HLOOKUP(R$55,'Input data'!$C$9:$BB$26,12,FALSE)-HLOOKUP($C$5,'Input data'!$C$9:$BB$26,12,FALSE))</f>
        <v>1.4986000000000015</v>
      </c>
      <c r="S63" s="1">
        <f>IF(S$55&lt;=$C$5,0,HLOOKUP(S$55,'Input data'!$C$9:$BB$26,12,FALSE)-HLOOKUP($C$5,'Input data'!$C$9:$BB$26,12,FALSE))</f>
        <v>1.6483799999999995</v>
      </c>
      <c r="T63" s="1">
        <f>IF(T$55&lt;=$C$5,0,HLOOKUP(T$55,'Input data'!$C$9:$BB$26,12,FALSE)-HLOOKUP($C$5,'Input data'!$C$9:$BB$26,12,FALSE))</f>
        <v>1.7131000000000025</v>
      </c>
      <c r="U63" s="1">
        <f>IF(U$55&lt;=$C$5,0,HLOOKUP(U$55,'Input data'!$C$9:$BB$26,12,FALSE)-HLOOKUP($C$5,'Input data'!$C$9:$BB$26,12,FALSE))</f>
        <v>1.8304799999999997</v>
      </c>
      <c r="V63" s="1">
        <f>IF(V$55&lt;=$C$5,0,HLOOKUP(V$55,'Input data'!$C$9:$BB$26,12,FALSE)-HLOOKUP($C$5,'Input data'!$C$9:$BB$26,12,FALSE))</f>
        <v>1.9567499999999995</v>
      </c>
      <c r="W63" s="1">
        <f>IF(W$55&lt;=$C$5,0,HLOOKUP(W$55,'Input data'!$C$9:$BB$26,12,FALSE)-HLOOKUP($C$5,'Input data'!$C$9:$BB$26,12,FALSE))</f>
        <v>2.0931599999999992</v>
      </c>
    </row>
    <row r="64" spans="2:48" outlineLevel="1" x14ac:dyDescent="0.2">
      <c r="B64" s="64" t="s">
        <v>84</v>
      </c>
      <c r="C64" s="1"/>
      <c r="D64" s="1">
        <f>IF(D$55&lt;=$C$5,0,-HLOOKUP(D$55,'Input data'!$C$9:$BB$26,18,FALSE)+HLOOKUP($C$5,'Input data'!$C$9:$BB$26,18,FALSE))</f>
        <v>0</v>
      </c>
      <c r="E64" s="1">
        <f>IF(E$55&lt;=$C$5,0,-HLOOKUP(E$55,'Input data'!$C$9:$BB$26,18,FALSE)+HLOOKUP($C$5,'Input data'!$C$9:$BB$26,18,FALSE))</f>
        <v>0</v>
      </c>
      <c r="F64" s="1">
        <f>IF(F$55&lt;=$C$5,0,-HLOOKUP(F$55,'Input data'!$C$9:$BB$26,18,FALSE)+HLOOKUP($C$5,'Input data'!$C$9:$BB$26,18,FALSE))</f>
        <v>0</v>
      </c>
      <c r="G64" s="1">
        <f>IF(G$55&lt;=$C$5,0,-HLOOKUP(G$55,'Input data'!$C$9:$BB$26,18,FALSE)+HLOOKUP($C$5,'Input data'!$C$9:$BB$26,18,FALSE))</f>
        <v>-2.1981999999999835E-3</v>
      </c>
      <c r="H64" s="1">
        <f>IF(H$55&lt;=$C$5,0,-HLOOKUP(H$55,'Input data'!$C$9:$BB$26,18,FALSE)+HLOOKUP($C$5,'Input data'!$C$9:$BB$26,18,FALSE))</f>
        <v>-4.3963999999999948E-3</v>
      </c>
      <c r="I64" s="1">
        <f>IF(I$55&lt;=$C$5,0,-HLOOKUP(I$55,'Input data'!$C$9:$BB$26,18,FALSE)+HLOOKUP($C$5,'Input data'!$C$9:$BB$26,18,FALSE))</f>
        <v>-6.594600000000006E-3</v>
      </c>
      <c r="J64" s="1">
        <f>IF(J$55&lt;=$C$5,0,-HLOOKUP(J$55,'Input data'!$C$9:$BB$26,18,FALSE)+HLOOKUP($C$5,'Input data'!$C$9:$BB$26,18,FALSE))</f>
        <v>-8.7927999999999895E-3</v>
      </c>
      <c r="K64" s="1">
        <f>IF(K$55&lt;=$C$5,0,-HLOOKUP(K$55,'Input data'!$C$9:$BB$26,18,FALSE)+HLOOKUP($C$5,'Input data'!$C$9:$BB$26,18,FALSE))</f>
        <v>-1.0991000000000001E-2</v>
      </c>
      <c r="L64" s="1">
        <f>IF(L$55&lt;=$C$5,0,-HLOOKUP(L$55,'Input data'!$C$9:$BB$26,18,FALSE)+HLOOKUP($C$5,'Input data'!$C$9:$BB$26,18,FALSE))</f>
        <v>-1.3189199999999984E-2</v>
      </c>
      <c r="M64" s="1">
        <f>IF(M$55&lt;=$C$5,0,-HLOOKUP(M$55,'Input data'!$C$9:$BB$26,18,FALSE)+HLOOKUP($C$5,'Input data'!$C$9:$BB$26,18,FALSE))</f>
        <v>-1.5387399999999996E-2</v>
      </c>
      <c r="N64" s="1">
        <f>IF(N$55&lt;=$C$5,0,-HLOOKUP(N$55,'Input data'!$C$9:$BB$26,18,FALSE)+HLOOKUP($C$5,'Input data'!$C$9:$BB$26,18,FALSE))</f>
        <v>-1.7585600000000007E-2</v>
      </c>
      <c r="O64" s="1">
        <f>IF(O$55&lt;=$C$5,0,-HLOOKUP(O$55,'Input data'!$C$9:$BB$26,18,FALSE)+HLOOKUP($C$5,'Input data'!$C$9:$BB$26,18,FALSE))</f>
        <v>-1.978379999999999E-2</v>
      </c>
      <c r="P64" s="1">
        <f>IF(P$55&lt;=$C$5,0,-HLOOKUP(P$55,'Input data'!$C$9:$BB$26,18,FALSE)+HLOOKUP($C$5,'Input data'!$C$9:$BB$26,18,FALSE))</f>
        <v>-2.1982100000000004E-2</v>
      </c>
      <c r="Q64" s="1">
        <f>IF(Q$55&lt;=$C$5,0,-HLOOKUP(Q$55,'Input data'!$C$9:$BB$26,18,FALSE)+HLOOKUP($C$5,'Input data'!$C$9:$BB$26,18,FALSE))</f>
        <v>-2.4180299999999988E-2</v>
      </c>
      <c r="R64" s="1">
        <f>IF(R$55&lt;=$C$5,0,-HLOOKUP(R$55,'Input data'!$C$9:$BB$26,18,FALSE)+HLOOKUP($C$5,'Input data'!$C$9:$BB$26,18,FALSE))</f>
        <v>-2.6378499999999999E-2</v>
      </c>
      <c r="S64" s="1">
        <f>IF(S$55&lt;=$C$5,0,-HLOOKUP(S$55,'Input data'!$C$9:$BB$26,18,FALSE)+HLOOKUP($C$5,'Input data'!$C$9:$BB$26,18,FALSE))</f>
        <v>-2.8576699999999983E-2</v>
      </c>
      <c r="T64" s="1">
        <f>IF(T$55&lt;=$C$5,0,-HLOOKUP(T$55,'Input data'!$C$9:$BB$26,18,FALSE)+HLOOKUP($C$5,'Input data'!$C$9:$BB$26,18,FALSE))</f>
        <v>-3.0774899999999994E-2</v>
      </c>
      <c r="U64" s="1">
        <f>IF(U$55&lt;=$C$5,0,-HLOOKUP(U$55,'Input data'!$C$9:$BB$26,18,FALSE)+HLOOKUP($C$5,'Input data'!$C$9:$BB$26,18,FALSE))</f>
        <v>-3.2973100000000005E-2</v>
      </c>
      <c r="V64" s="1">
        <f>IF(V$55&lt;=$C$5,0,-HLOOKUP(V$55,'Input data'!$C$9:$BB$26,18,FALSE)+HLOOKUP($C$5,'Input data'!$C$9:$BB$26,18,FALSE))</f>
        <v>-3.5171299999999989E-2</v>
      </c>
      <c r="W64" s="1">
        <f>IF(W$55&lt;=$C$5,0,-HLOOKUP(W$55,'Input data'!$C$9:$BB$26,18,FALSE)+HLOOKUP($C$5,'Input data'!$C$9:$BB$26,18,FALSE))</f>
        <v>-3.73695E-2</v>
      </c>
    </row>
    <row r="65" spans="2:23" outlineLevel="1" x14ac:dyDescent="0.2">
      <c r="B65" s="64" t="s">
        <v>85</v>
      </c>
      <c r="C65" s="26"/>
      <c r="D65" s="26">
        <v>0</v>
      </c>
      <c r="E65" s="26">
        <v>0</v>
      </c>
      <c r="F65" s="26">
        <v>0</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row>
    <row r="66" spans="2:23" outlineLevel="1" x14ac:dyDescent="0.2">
      <c r="B66" s="65" t="s">
        <v>86</v>
      </c>
      <c r="C66" s="34"/>
      <c r="D66" s="34">
        <f>SUM(D67:D70)</f>
        <v>-7.1019560000000004</v>
      </c>
      <c r="E66" s="34">
        <f t="shared" ref="E66:T66" si="25">SUM(E67:E70)</f>
        <v>0.83701080000000005</v>
      </c>
      <c r="F66" s="34">
        <f t="shared" si="25"/>
        <v>-0.9299982</v>
      </c>
      <c r="G66" s="34">
        <f>SUM(G67:G70)</f>
        <v>-1.4876039999999999</v>
      </c>
      <c r="H66" s="34">
        <f t="shared" si="25"/>
        <v>-1.5654085553420889</v>
      </c>
      <c r="I66" s="34">
        <f t="shared" si="25"/>
        <v>-1.4592241409190305</v>
      </c>
      <c r="J66" s="34">
        <f t="shared" si="25"/>
        <v>-1.2656815505136856</v>
      </c>
      <c r="K66" s="34">
        <f t="shared" si="25"/>
        <v>-1.0341845770140945</v>
      </c>
      <c r="L66" s="34">
        <f t="shared" si="25"/>
        <v>-0.8824034765532428</v>
      </c>
      <c r="M66" s="34">
        <f t="shared" si="25"/>
        <v>-0.74113611674320201</v>
      </c>
      <c r="N66" s="34">
        <f t="shared" si="25"/>
        <v>-0.60407687301083146</v>
      </c>
      <c r="O66" s="34">
        <f t="shared" si="25"/>
        <v>-0.4788609987372075</v>
      </c>
      <c r="P66" s="34">
        <f t="shared" si="25"/>
        <v>-0.40307239205918022</v>
      </c>
      <c r="Q66" s="34">
        <f t="shared" si="25"/>
        <v>-0.34459780186489974</v>
      </c>
      <c r="R66" s="34">
        <f t="shared" si="25"/>
        <v>-0.29298790968154298</v>
      </c>
      <c r="S66" s="34">
        <f t="shared" si="25"/>
        <v>-0.25878011872295414</v>
      </c>
      <c r="T66" s="34">
        <f t="shared" si="25"/>
        <v>-0.22395800607124389</v>
      </c>
      <c r="U66" s="34">
        <f t="shared" ref="U66:W66" si="26">SUM(U67:U70)</f>
        <v>-0.19190652172086733</v>
      </c>
      <c r="V66" s="34">
        <f t="shared" si="26"/>
        <v>-0.16215737821008458</v>
      </c>
      <c r="W66" s="34">
        <f t="shared" si="26"/>
        <v>-0.13300203104327779</v>
      </c>
    </row>
    <row r="67" spans="2:23" outlineLevel="1" x14ac:dyDescent="0.2">
      <c r="B67" s="64" t="s">
        <v>87</v>
      </c>
      <c r="C67" s="23"/>
      <c r="D67" s="23">
        <f t="shared" ref="D67:W67" si="27">C56*D35/100*(1/(1+D32/100))</f>
        <v>0.65707415938595348</v>
      </c>
      <c r="E67" s="23">
        <f t="shared" si="27"/>
        <v>0.69073785654596631</v>
      </c>
      <c r="F67" s="23">
        <f t="shared" si="27"/>
        <v>0.69123349909402287</v>
      </c>
      <c r="G67" s="23">
        <f>F56*G35/100*(1/(1+G32/100))</f>
        <v>0.67917885337672257</v>
      </c>
      <c r="H67" s="23">
        <f>G56*H35/100*(1/(1+H32/100))</f>
        <v>0.70154421991019333</v>
      </c>
      <c r="I67" s="23">
        <f t="shared" si="27"/>
        <v>0.66142763321097497</v>
      </c>
      <c r="J67" s="23">
        <f t="shared" si="27"/>
        <v>0.61515047057150696</v>
      </c>
      <c r="K67" s="23">
        <f t="shared" si="27"/>
        <v>0.5731881359917923</v>
      </c>
      <c r="L67" s="23">
        <f t="shared" si="27"/>
        <v>0.53453570346195067</v>
      </c>
      <c r="M67" s="23">
        <f t="shared" si="27"/>
        <v>0.49582673346095119</v>
      </c>
      <c r="N67" s="23">
        <f t="shared" si="27"/>
        <v>0.46567579841963053</v>
      </c>
      <c r="O67" s="23">
        <f t="shared" si="27"/>
        <v>0.44071098404457215</v>
      </c>
      <c r="P67" s="23">
        <f t="shared" si="27"/>
        <v>0.4164581275138467</v>
      </c>
      <c r="Q67" s="23">
        <f t="shared" si="27"/>
        <v>0.3865285670587526</v>
      </c>
      <c r="R67" s="23">
        <f t="shared" si="27"/>
        <v>0.35982940251499873</v>
      </c>
      <c r="S67" s="23">
        <f t="shared" si="27"/>
        <v>0.33406602753569337</v>
      </c>
      <c r="T67" s="23">
        <f t="shared" si="27"/>
        <v>0.31245549146477264</v>
      </c>
      <c r="U67" s="23">
        <f t="shared" si="27"/>
        <v>0.29211383001394919</v>
      </c>
      <c r="V67" s="23">
        <f t="shared" si="27"/>
        <v>0.27510277576772746</v>
      </c>
      <c r="W67" s="23">
        <f t="shared" si="27"/>
        <v>0.26193274522280446</v>
      </c>
    </row>
    <row r="68" spans="2:23" outlineLevel="1" x14ac:dyDescent="0.2">
      <c r="B68" s="64" t="s">
        <v>88</v>
      </c>
      <c r="C68" s="23"/>
      <c r="D68" s="23">
        <f t="shared" ref="D68:W68" si="28">-C56*(D23/100)*(1/(1+D32/100))</f>
        <v>-4.3995086738994873</v>
      </c>
      <c r="E68" s="23">
        <f t="shared" si="28"/>
        <v>1.4246776160491681</v>
      </c>
      <c r="F68" s="23">
        <f t="shared" si="28"/>
        <v>-0.52371298736068417</v>
      </c>
      <c r="G68" s="23">
        <f t="shared" si="28"/>
        <v>-1.3684519270897773</v>
      </c>
      <c r="H68" s="23">
        <f t="shared" si="28"/>
        <v>-1.4603795667442399</v>
      </c>
      <c r="I68" s="23">
        <f t="shared" si="28"/>
        <v>-1.3540972159359603</v>
      </c>
      <c r="J68" s="23">
        <f t="shared" si="28"/>
        <v>-1.1585875156981289</v>
      </c>
      <c r="K68" s="23">
        <f t="shared" si="28"/>
        <v>-0.93026957844117086</v>
      </c>
      <c r="L68" s="23">
        <f t="shared" si="28"/>
        <v>-0.78284416757485065</v>
      </c>
      <c r="M68" s="23">
        <f t="shared" si="28"/>
        <v>-0.64435234601770908</v>
      </c>
      <c r="N68" s="23">
        <f t="shared" si="28"/>
        <v>-0.51637198993717459</v>
      </c>
      <c r="O68" s="23">
        <f t="shared" si="28"/>
        <v>-0.40120789497978038</v>
      </c>
      <c r="P68" s="23">
        <f t="shared" si="28"/>
        <v>-0.35347267695732437</v>
      </c>
      <c r="Q68" s="23">
        <f t="shared" si="28"/>
        <v>-0.31154191030215878</v>
      </c>
      <c r="R68" s="23">
        <f t="shared" si="28"/>
        <v>-0.27463160634508194</v>
      </c>
      <c r="S68" s="23">
        <f t="shared" si="28"/>
        <v>-0.25092013045303285</v>
      </c>
      <c r="T68" s="23">
        <f t="shared" si="28"/>
        <v>-0.2257594787158177</v>
      </c>
      <c r="U68" s="23">
        <f t="shared" si="28"/>
        <v>-0.20176026301109726</v>
      </c>
      <c r="V68" s="23">
        <f t="shared" si="28"/>
        <v>-0.17944303760692426</v>
      </c>
      <c r="W68" s="23">
        <f t="shared" si="28"/>
        <v>-0.1575751800607795</v>
      </c>
    </row>
    <row r="69" spans="2:23" outlineLevel="1" x14ac:dyDescent="0.2">
      <c r="B69" s="64" t="s">
        <v>89</v>
      </c>
      <c r="C69" s="23"/>
      <c r="D69" s="23">
        <f>-C56*D41/100*(1/(1+D41/100))</f>
        <v>-3.3595209230198506</v>
      </c>
      <c r="E69" s="23">
        <f t="shared" ref="E69:T69" si="29">-D56*E41/100*(1/(1+E41/100))</f>
        <v>-1.2784048777640751</v>
      </c>
      <c r="F69" s="23">
        <f>-E56*F41/100*(1/(1+F41/100))</f>
        <v>-1.0975187414590026</v>
      </c>
      <c r="G69" s="23">
        <f>-F56*G41/100*(1/(1+G41/100))</f>
        <v>-0.79833004365921334</v>
      </c>
      <c r="H69" s="23">
        <f t="shared" si="29"/>
        <v>-0.80657320850804237</v>
      </c>
      <c r="I69" s="23">
        <f t="shared" si="29"/>
        <v>-0.76655455819404528</v>
      </c>
      <c r="J69" s="23">
        <f t="shared" si="29"/>
        <v>-0.72224450538706364</v>
      </c>
      <c r="K69" s="23">
        <f t="shared" si="29"/>
        <v>-0.67710313456471594</v>
      </c>
      <c r="L69" s="23">
        <f t="shared" si="29"/>
        <v>-0.63409501244034283</v>
      </c>
      <c r="M69" s="23">
        <f t="shared" si="29"/>
        <v>-0.59261050418644412</v>
      </c>
      <c r="N69" s="23">
        <f t="shared" si="29"/>
        <v>-0.55338068149328734</v>
      </c>
      <c r="O69" s="23">
        <f t="shared" si="29"/>
        <v>-0.51836408780199927</v>
      </c>
      <c r="P69" s="23">
        <f t="shared" si="29"/>
        <v>-0.46605784261570254</v>
      </c>
      <c r="Q69" s="23">
        <f t="shared" si="29"/>
        <v>-0.41958445862149357</v>
      </c>
      <c r="R69" s="23">
        <f t="shared" si="29"/>
        <v>-0.37818570585145977</v>
      </c>
      <c r="S69" s="23">
        <f t="shared" si="29"/>
        <v>-0.34192601580561466</v>
      </c>
      <c r="T69" s="23">
        <f t="shared" si="29"/>
        <v>-0.31065401882019883</v>
      </c>
      <c r="U69" s="23">
        <f t="shared" ref="U69" si="30">-T56*U41/100*(1/(1+U41/100))</f>
        <v>-0.28226008872371927</v>
      </c>
      <c r="V69" s="23">
        <f t="shared" ref="V69" si="31">-U56*V41/100*(1/(1+V41/100))</f>
        <v>-0.25781711637088778</v>
      </c>
      <c r="W69" s="23">
        <f t="shared" ref="W69" si="32">-V56*W41/100*(1/(1+W41/100))</f>
        <v>-0.23735959620530275</v>
      </c>
    </row>
    <row r="70" spans="2:23" outlineLevel="1" x14ac:dyDescent="0.2">
      <c r="B70" s="64" t="s">
        <v>90</v>
      </c>
      <c r="C70" s="35"/>
      <c r="D70" s="35">
        <v>-5.6246661639391959E-7</v>
      </c>
      <c r="E70" s="35">
        <v>2.0516894094768645E-7</v>
      </c>
      <c r="F70" s="35">
        <v>2.97256639303356E-8</v>
      </c>
      <c r="G70" s="35">
        <v>-8.8262773201286393E-7</v>
      </c>
      <c r="H70" s="35">
        <v>0</v>
      </c>
      <c r="I70" s="35">
        <v>0</v>
      </c>
      <c r="J70" s="35">
        <v>0</v>
      </c>
      <c r="K70" s="35">
        <v>0</v>
      </c>
      <c r="L70" s="35">
        <v>0</v>
      </c>
      <c r="M70" s="35">
        <v>0</v>
      </c>
      <c r="N70" s="35">
        <v>0</v>
      </c>
      <c r="O70" s="35">
        <v>0</v>
      </c>
      <c r="P70" s="35">
        <v>0</v>
      </c>
      <c r="Q70" s="35">
        <v>0</v>
      </c>
      <c r="R70" s="35">
        <v>0</v>
      </c>
      <c r="S70" s="35">
        <v>0</v>
      </c>
      <c r="T70" s="35">
        <v>0</v>
      </c>
      <c r="U70" s="35">
        <v>0</v>
      </c>
      <c r="V70" s="35">
        <v>0</v>
      </c>
      <c r="W70" s="35">
        <v>0</v>
      </c>
    </row>
    <row r="71" spans="2:23" outlineLevel="1" x14ac:dyDescent="0.2">
      <c r="B71" s="65" t="s">
        <v>91</v>
      </c>
      <c r="C71" s="36"/>
      <c r="D71" s="36">
        <f>'Input data'!D16</f>
        <v>-0.54205939999999997</v>
      </c>
      <c r="E71" s="36">
        <f>'Input data'!E16</f>
        <v>0.84280659999999996</v>
      </c>
      <c r="F71" s="36">
        <f>'Input data'!F16</f>
        <v>1.6365670000000001</v>
      </c>
      <c r="G71" s="36">
        <f>'Input data'!G16</f>
        <v>2.2002419999999998</v>
      </c>
      <c r="H71" s="36">
        <f>'Input data'!H16</f>
        <v>0</v>
      </c>
      <c r="I71" s="36">
        <f>'Input data'!I16</f>
        <v>0</v>
      </c>
      <c r="J71" s="36">
        <f>'Input data'!J16</f>
        <v>0</v>
      </c>
      <c r="K71" s="36">
        <f>'Input data'!K16</f>
        <v>0</v>
      </c>
      <c r="L71" s="36">
        <f>'Input data'!L16</f>
        <v>0</v>
      </c>
      <c r="M71" s="36">
        <f>'Input data'!M16</f>
        <v>0</v>
      </c>
      <c r="N71" s="36">
        <f>'Input data'!N16</f>
        <v>0</v>
      </c>
      <c r="O71" s="36">
        <f>'Input data'!O16</f>
        <v>0</v>
      </c>
      <c r="P71" s="36">
        <f>'Input data'!P16</f>
        <v>0</v>
      </c>
      <c r="Q71" s="36">
        <f>'Input data'!Q16</f>
        <v>0</v>
      </c>
      <c r="R71" s="36">
        <f>'Input data'!R16</f>
        <v>0</v>
      </c>
      <c r="S71" s="36">
        <f>'Input data'!S16</f>
        <v>0</v>
      </c>
      <c r="T71" s="36">
        <f>'Input data'!T16</f>
        <v>0</v>
      </c>
      <c r="U71" s="36">
        <f>'Input data'!U16</f>
        <v>0</v>
      </c>
      <c r="V71" s="36">
        <f>'Input data'!V16</f>
        <v>0</v>
      </c>
      <c r="W71" s="36">
        <f>'Input data'!W16</f>
        <v>0</v>
      </c>
    </row>
    <row r="72" spans="2:23" outlineLevel="1" x14ac:dyDescent="0.2">
      <c r="B72" s="64" t="s">
        <v>92</v>
      </c>
      <c r="C72" s="23"/>
      <c r="D72" s="23">
        <f t="shared" ref="D72:W72" si="33">D14</f>
        <v>-0.54206140000000003</v>
      </c>
      <c r="E72" s="23">
        <f t="shared" si="33"/>
        <v>0.84280860000000002</v>
      </c>
      <c r="F72" s="23">
        <f t="shared" si="33"/>
        <v>1.636568</v>
      </c>
      <c r="G72" s="23">
        <f t="shared" si="33"/>
        <v>2.20024</v>
      </c>
      <c r="H72" s="23">
        <f>H14</f>
        <v>0</v>
      </c>
      <c r="I72" s="23">
        <f t="shared" si="33"/>
        <v>0</v>
      </c>
      <c r="J72" s="23">
        <f t="shared" si="33"/>
        <v>0</v>
      </c>
      <c r="K72" s="23">
        <f t="shared" si="33"/>
        <v>0</v>
      </c>
      <c r="L72" s="23">
        <f t="shared" si="33"/>
        <v>0</v>
      </c>
      <c r="M72" s="23">
        <f t="shared" si="33"/>
        <v>0</v>
      </c>
      <c r="N72" s="23">
        <f t="shared" si="33"/>
        <v>0</v>
      </c>
      <c r="O72" s="23">
        <f t="shared" si="33"/>
        <v>0</v>
      </c>
      <c r="P72" s="23">
        <f t="shared" si="33"/>
        <v>0</v>
      </c>
      <c r="Q72" s="23">
        <f t="shared" si="33"/>
        <v>0</v>
      </c>
      <c r="R72" s="23">
        <f t="shared" si="33"/>
        <v>0</v>
      </c>
      <c r="S72" s="23">
        <f t="shared" si="33"/>
        <v>0</v>
      </c>
      <c r="T72" s="23">
        <f t="shared" si="33"/>
        <v>0</v>
      </c>
      <c r="U72" s="23">
        <f t="shared" si="33"/>
        <v>0</v>
      </c>
      <c r="V72" s="23">
        <f t="shared" si="33"/>
        <v>0</v>
      </c>
      <c r="W72" s="23">
        <f t="shared" si="33"/>
        <v>0</v>
      </c>
    </row>
    <row r="73" spans="2:23" outlineLevel="1" x14ac:dyDescent="0.2">
      <c r="B73" s="70" t="s">
        <v>93</v>
      </c>
      <c r="C73" s="35"/>
      <c r="D73" s="35">
        <f>+D71-D72</f>
        <v>2.0000000000575113E-6</v>
      </c>
      <c r="E73" s="35">
        <f t="shared" ref="E73:T73" si="34">+E71-E72</f>
        <v>-2.0000000000575113E-6</v>
      </c>
      <c r="F73" s="35">
        <f>+F71-F72</f>
        <v>-9.9999999991773336E-7</v>
      </c>
      <c r="G73" s="35">
        <f t="shared" si="34"/>
        <v>1.9999999998354667E-6</v>
      </c>
      <c r="H73" s="35">
        <f t="shared" si="34"/>
        <v>0</v>
      </c>
      <c r="I73" s="35">
        <f t="shared" si="34"/>
        <v>0</v>
      </c>
      <c r="J73" s="35">
        <f t="shared" si="34"/>
        <v>0</v>
      </c>
      <c r="K73" s="35">
        <f t="shared" si="34"/>
        <v>0</v>
      </c>
      <c r="L73" s="35">
        <f t="shared" si="34"/>
        <v>0</v>
      </c>
      <c r="M73" s="35">
        <f t="shared" si="34"/>
        <v>0</v>
      </c>
      <c r="N73" s="35">
        <f t="shared" si="34"/>
        <v>0</v>
      </c>
      <c r="O73" s="35">
        <f t="shared" si="34"/>
        <v>0</v>
      </c>
      <c r="P73" s="35">
        <f t="shared" si="34"/>
        <v>0</v>
      </c>
      <c r="Q73" s="35">
        <f t="shared" si="34"/>
        <v>0</v>
      </c>
      <c r="R73" s="35">
        <f t="shared" si="34"/>
        <v>0</v>
      </c>
      <c r="S73" s="35">
        <f t="shared" si="34"/>
        <v>0</v>
      </c>
      <c r="T73" s="35">
        <f t="shared" si="34"/>
        <v>0</v>
      </c>
      <c r="U73" s="35">
        <f t="shared" ref="U73:W73" si="35">+U71-U72</f>
        <v>0</v>
      </c>
      <c r="V73" s="35">
        <f t="shared" si="35"/>
        <v>0</v>
      </c>
      <c r="W73" s="35">
        <f t="shared" si="35"/>
        <v>0</v>
      </c>
    </row>
    <row r="74" spans="2:23" outlineLevel="1" x14ac:dyDescent="0.2">
      <c r="B74" s="64"/>
      <c r="C74" s="23"/>
      <c r="D74" s="23"/>
      <c r="E74" s="23"/>
      <c r="F74" s="23"/>
      <c r="G74" s="23"/>
      <c r="H74" s="23"/>
      <c r="I74" s="23"/>
      <c r="J74" s="23"/>
      <c r="K74" s="23"/>
      <c r="L74" s="23"/>
      <c r="M74" s="23"/>
      <c r="N74" s="23"/>
      <c r="O74" s="23"/>
      <c r="P74" s="23"/>
      <c r="Q74" s="23"/>
      <c r="R74" s="23"/>
      <c r="S74" s="23"/>
      <c r="T74" s="23"/>
      <c r="U74" s="23"/>
      <c r="V74" s="23"/>
      <c r="W74" s="23"/>
    </row>
    <row r="75" spans="2:23" ht="10.5" customHeight="1" outlineLevel="1" x14ac:dyDescent="0.2">
      <c r="B75" s="71" t="s">
        <v>94</v>
      </c>
    </row>
    <row r="76" spans="2:23" x14ac:dyDescent="0.2">
      <c r="B76" s="62" t="s">
        <v>19</v>
      </c>
      <c r="C76" s="62"/>
      <c r="D76" s="63">
        <f>D58-D67</f>
        <v>1.7056088930893805</v>
      </c>
      <c r="E76" s="63">
        <f t="shared" ref="E76:T76" si="36">E58-E67</f>
        <v>1.6504173699869298</v>
      </c>
      <c r="F76" s="63">
        <f t="shared" si="36"/>
        <v>1.2569436847990874</v>
      </c>
      <c r="G76" s="63">
        <f t="shared" si="36"/>
        <v>1.2714789281154295</v>
      </c>
      <c r="H76" s="63">
        <f t="shared" si="36"/>
        <v>1.2512649753981155</v>
      </c>
      <c r="I76" s="63">
        <f t="shared" si="36"/>
        <v>1.3446767218236824</v>
      </c>
      <c r="J76" s="63">
        <f t="shared" si="36"/>
        <v>1.379256760321242</v>
      </c>
      <c r="K76" s="63">
        <f t="shared" si="36"/>
        <v>1.3375067889114627</v>
      </c>
      <c r="L76" s="63">
        <f t="shared" si="36"/>
        <v>1.2700174214413176</v>
      </c>
      <c r="M76" s="63">
        <f t="shared" si="36"/>
        <v>1.1864656082983307</v>
      </c>
      <c r="N76" s="63">
        <f t="shared" si="36"/>
        <v>1.0357857632715322</v>
      </c>
      <c r="O76" s="63">
        <f t="shared" si="36"/>
        <v>0.98470826594911731</v>
      </c>
      <c r="P76" s="63">
        <f t="shared" si="36"/>
        <v>0.88595993449330168</v>
      </c>
      <c r="Q76" s="63">
        <f t="shared" si="36"/>
        <v>0.80060974426762033</v>
      </c>
      <c r="R76" s="63">
        <f t="shared" si="36"/>
        <v>0.69675608351821172</v>
      </c>
      <c r="S76" s="63">
        <f t="shared" si="36"/>
        <v>0.57493663319105215</v>
      </c>
      <c r="T76" s="63">
        <f t="shared" si="36"/>
        <v>0.53402639495846471</v>
      </c>
      <c r="U76" s="63">
        <f t="shared" ref="U76:W76" si="37">U58-U67</f>
        <v>0.43918830881329374</v>
      </c>
      <c r="V76" s="63">
        <f t="shared" si="37"/>
        <v>0.33212910336420609</v>
      </c>
      <c r="W76" s="63">
        <f t="shared" si="37"/>
        <v>0.21108938961220114</v>
      </c>
    </row>
    <row r="77" spans="2:23" x14ac:dyDescent="0.2">
      <c r="B77" s="15" t="s">
        <v>20</v>
      </c>
      <c r="D77" s="23">
        <f>D59-D67-D63-D64-D65</f>
        <v>-3.0337961593859535</v>
      </c>
      <c r="E77" s="23">
        <f>E59-E67-E63-E64-E65</f>
        <v>1.0217271434540336</v>
      </c>
      <c r="F77" s="23">
        <f t="shared" ref="F77:W77" si="38">F59-F67-F63-F64-F65</f>
        <v>1.8375675009059771</v>
      </c>
      <c r="G77" s="23">
        <f t="shared" si="38"/>
        <v>1.7981303466232781</v>
      </c>
      <c r="H77" s="23">
        <f t="shared" si="38"/>
        <v>1.6023631800898062</v>
      </c>
      <c r="I77" s="23">
        <f t="shared" si="38"/>
        <v>1.4617079667890236</v>
      </c>
      <c r="J77" s="23">
        <f t="shared" si="38"/>
        <v>1.3792533294284939</v>
      </c>
      <c r="K77" s="23">
        <f t="shared" si="38"/>
        <v>1.3375038640082066</v>
      </c>
      <c r="L77" s="23">
        <f t="shared" si="38"/>
        <v>1.27001449653805</v>
      </c>
      <c r="M77" s="23">
        <f t="shared" si="38"/>
        <v>1.1864616665390486</v>
      </c>
      <c r="N77" s="23">
        <f t="shared" si="38"/>
        <v>1.0357808015803689</v>
      </c>
      <c r="O77" s="23">
        <f t="shared" si="38"/>
        <v>0.98470381595542789</v>
      </c>
      <c r="P77" s="23">
        <f t="shared" si="38"/>
        <v>0.88595497248615218</v>
      </c>
      <c r="Q77" s="23">
        <f t="shared" si="38"/>
        <v>0.80060273294124751</v>
      </c>
      <c r="R77" s="23">
        <f t="shared" si="38"/>
        <v>0.69675009748499994</v>
      </c>
      <c r="S77" s="23">
        <f t="shared" si="38"/>
        <v>0.57493167246430732</v>
      </c>
      <c r="T77" s="23">
        <f t="shared" si="38"/>
        <v>0.5340204085352247</v>
      </c>
      <c r="U77" s="23">
        <f t="shared" si="38"/>
        <v>0.4391802699860512</v>
      </c>
      <c r="V77" s="23">
        <f t="shared" si="38"/>
        <v>0.3321195242322732</v>
      </c>
      <c r="W77" s="23">
        <f t="shared" si="38"/>
        <v>0.2110777547771962</v>
      </c>
    </row>
    <row r="78" spans="2:23" x14ac:dyDescent="0.2">
      <c r="B78" s="24" t="s">
        <v>95</v>
      </c>
      <c r="C78" s="24"/>
      <c r="D78" s="229">
        <f>'Input data'!D45</f>
        <v>14.052580532637272</v>
      </c>
      <c r="E78" s="229">
        <f>'Input data'!E45</f>
        <v>13.567155408847679</v>
      </c>
      <c r="F78" s="229">
        <f>'Input data'!F45</f>
        <v>7.3776443059073022</v>
      </c>
      <c r="G78" s="35">
        <f>'Input data'!G33+G41-(G$12-F$12)/'Input data'!$C$64*100</f>
        <v>5.2007089999999998</v>
      </c>
      <c r="H78" s="35">
        <f>'Input data'!H33+H41-(H$12-G$12)/'Input data'!$C$64*100</f>
        <v>5.3891288749999999</v>
      </c>
      <c r="I78" s="35">
        <f>'Input data'!I33+I41-(I$12-H$12)/'Input data'!$C$64*100</f>
        <v>5.4095417500000007</v>
      </c>
      <c r="J78" s="35">
        <f>'Input data'!J33+J41-(J$12-I$12)/'Input data'!$C$64*100</f>
        <v>5.4982216250000002</v>
      </c>
      <c r="K78" s="35">
        <f>'Input data'!K33+K41-(K$12-J$12)/'Input data'!$C$64*100</f>
        <v>5.3966534999999993</v>
      </c>
      <c r="L78" s="35">
        <f>'Input data'!L33+L41-(L$12-K$12)/'Input data'!$C$64*100</f>
        <v>5.2498503749999994</v>
      </c>
      <c r="M78" s="35">
        <f>'Input data'!M33+M41-(M$12-L$12)/'Input data'!$C$64*100</f>
        <v>5.0606332500000004</v>
      </c>
      <c r="N78" s="35">
        <f>'Input data'!N33+N41-(N$12-M$12)/'Input data'!$C$64*100</f>
        <v>4.830396125</v>
      </c>
      <c r="O78" s="35">
        <f>'Input data'!O33+O41-(O$12-N$12)/'Input data'!$C$64*100</f>
        <v>4.5634099999999993</v>
      </c>
      <c r="P78" s="35">
        <f>'Input data'!P33+P41-(P$12-O$12)/'Input data'!$C$64*100</f>
        <v>4.4729559999999999</v>
      </c>
      <c r="Q78" s="35">
        <f>'Input data'!Q33+Q41-(Q$12-P$12)/'Input data'!$C$64*100</f>
        <v>4.3825029999999998</v>
      </c>
      <c r="R78" s="35">
        <f>'Input data'!R33+R41-(R$12-Q$12)/'Input data'!$C$64*100</f>
        <v>4.2920489999999996</v>
      </c>
      <c r="S78" s="35">
        <f>'Input data'!S33+S41-(S$12-R$12)/'Input data'!$C$64*100</f>
        <v>4.2632259999999995</v>
      </c>
      <c r="T78" s="35">
        <f>'Input data'!T33+T41-(T$12-S$12)/'Input data'!$C$64*100</f>
        <v>4.1970039999999997</v>
      </c>
      <c r="U78" s="35">
        <f>'Input data'!U33+U41-(U$12-T$12)/'Input data'!$C$64*100</f>
        <v>4.1193679999999997</v>
      </c>
      <c r="V78" s="35">
        <f>'Input data'!V33+V41-(V$12-U$12)/'Input data'!$C$64*100</f>
        <v>4.0257110000000003</v>
      </c>
      <c r="W78" s="35">
        <f>'Input data'!W33+W41-(W$12-V$12)/'Input data'!$C$64*100</f>
        <v>3.9011079999999998</v>
      </c>
    </row>
    <row r="79" spans="2:23" x14ac:dyDescent="0.2">
      <c r="D79" s="23"/>
      <c r="E79" s="23"/>
      <c r="F79" s="23"/>
      <c r="G79" s="23"/>
      <c r="H79" s="23"/>
      <c r="I79" s="23"/>
      <c r="J79" s="23"/>
      <c r="K79" s="23"/>
      <c r="L79" s="23"/>
      <c r="M79" s="23"/>
      <c r="N79" s="23"/>
      <c r="O79" s="23"/>
      <c r="P79" s="23"/>
      <c r="Q79" s="23"/>
      <c r="R79" s="23"/>
      <c r="S79" s="23"/>
      <c r="T79" s="23"/>
      <c r="U79" s="23"/>
      <c r="V79" s="23"/>
      <c r="W79" s="23"/>
    </row>
    <row r="80" spans="2:23" x14ac:dyDescent="0.2">
      <c r="D80" s="38"/>
    </row>
    <row r="81" spans="2:23" s="72" customFormat="1" ht="12.75" outlineLevel="1" x14ac:dyDescent="0.2">
      <c r="B81" s="73" t="s">
        <v>96</v>
      </c>
      <c r="C81" s="74"/>
      <c r="E81" s="75"/>
      <c r="F81" s="74"/>
    </row>
    <row r="82" spans="2:23" x14ac:dyDescent="0.2">
      <c r="C82" s="23"/>
      <c r="D82" s="23"/>
      <c r="E82" s="23"/>
      <c r="F82" s="23"/>
      <c r="G82" s="23"/>
      <c r="H82" s="23"/>
      <c r="I82" s="23"/>
      <c r="J82" s="23"/>
      <c r="K82" s="23"/>
      <c r="L82" s="23"/>
      <c r="M82" s="23"/>
      <c r="N82" s="23"/>
      <c r="O82" s="23"/>
      <c r="P82" s="23"/>
      <c r="Q82" s="23"/>
      <c r="R82" s="23"/>
      <c r="S82" s="23"/>
      <c r="T82" s="23"/>
      <c r="U82" s="23"/>
      <c r="V82" s="23"/>
      <c r="W82" s="23"/>
    </row>
    <row r="83" spans="2:23" x14ac:dyDescent="0.2">
      <c r="B83" s="15" t="s">
        <v>97</v>
      </c>
      <c r="D83" s="18">
        <f t="shared" ref="D83:W83" si="39">IF((D87-C87*D42/((1+D23/100)*(1+D41/100)))&gt;0,1,0)</f>
        <v>0</v>
      </c>
      <c r="E83" s="18">
        <f t="shared" si="39"/>
        <v>0</v>
      </c>
      <c r="F83" s="18">
        <f t="shared" si="39"/>
        <v>1</v>
      </c>
      <c r="G83" s="18">
        <f t="shared" si="39"/>
        <v>1</v>
      </c>
      <c r="H83" s="18">
        <f t="shared" si="39"/>
        <v>0</v>
      </c>
      <c r="I83" s="18">
        <f t="shared" si="39"/>
        <v>0</v>
      </c>
      <c r="J83" s="18">
        <f t="shared" si="39"/>
        <v>0</v>
      </c>
      <c r="K83" s="18">
        <f t="shared" si="39"/>
        <v>0</v>
      </c>
      <c r="L83" s="18">
        <f t="shared" si="39"/>
        <v>0</v>
      </c>
      <c r="M83" s="18">
        <f t="shared" si="39"/>
        <v>0</v>
      </c>
      <c r="N83" s="18">
        <f t="shared" si="39"/>
        <v>0</v>
      </c>
      <c r="O83" s="18">
        <f t="shared" si="39"/>
        <v>0</v>
      </c>
      <c r="P83" s="18">
        <f t="shared" si="39"/>
        <v>0</v>
      </c>
      <c r="Q83" s="18">
        <f t="shared" si="39"/>
        <v>0</v>
      </c>
      <c r="R83" s="18">
        <f t="shared" si="39"/>
        <v>0</v>
      </c>
      <c r="S83" s="18">
        <f t="shared" si="39"/>
        <v>0</v>
      </c>
      <c r="T83" s="18">
        <f t="shared" si="39"/>
        <v>0</v>
      </c>
      <c r="U83" s="18">
        <f t="shared" si="39"/>
        <v>0</v>
      </c>
      <c r="V83" s="18">
        <f t="shared" si="39"/>
        <v>0</v>
      </c>
      <c r="W83" s="18">
        <f t="shared" si="39"/>
        <v>0</v>
      </c>
    </row>
    <row r="84" spans="2:23" x14ac:dyDescent="0.2">
      <c r="B84" s="15" t="s">
        <v>98</v>
      </c>
      <c r="D84" s="18">
        <f t="shared" ref="D84:W84" si="40">IF(AND(D83=0,ABS(D87-C87*D42/((1+D23/100)*(1+D41/100)))&lt;((C93*C87*D42/((1+D23/100)*(1+D41/100))+(D38*C87*C94*D42/((1+D23/100)*(1+D41/100)))))),1,0)</f>
        <v>0</v>
      </c>
      <c r="E84" s="18">
        <f t="shared" si="40"/>
        <v>1</v>
      </c>
      <c r="F84" s="18">
        <f t="shared" si="40"/>
        <v>0</v>
      </c>
      <c r="G84" s="18">
        <f t="shared" si="40"/>
        <v>0</v>
      </c>
      <c r="H84" s="18">
        <f t="shared" si="40"/>
        <v>1</v>
      </c>
      <c r="I84" s="18">
        <f t="shared" si="40"/>
        <v>1</v>
      </c>
      <c r="J84" s="18">
        <f t="shared" si="40"/>
        <v>1</v>
      </c>
      <c r="K84" s="18">
        <f t="shared" si="40"/>
        <v>1</v>
      </c>
      <c r="L84" s="18">
        <f t="shared" si="40"/>
        <v>1</v>
      </c>
      <c r="M84" s="18">
        <f t="shared" si="40"/>
        <v>1</v>
      </c>
      <c r="N84" s="18">
        <f t="shared" si="40"/>
        <v>1</v>
      </c>
      <c r="O84" s="18">
        <f t="shared" si="40"/>
        <v>1</v>
      </c>
      <c r="P84" s="18">
        <f t="shared" si="40"/>
        <v>1</v>
      </c>
      <c r="Q84" s="18">
        <f t="shared" si="40"/>
        <v>1</v>
      </c>
      <c r="R84" s="18">
        <f t="shared" si="40"/>
        <v>1</v>
      </c>
      <c r="S84" s="18">
        <f t="shared" si="40"/>
        <v>1</v>
      </c>
      <c r="T84" s="18">
        <f t="shared" si="40"/>
        <v>1</v>
      </c>
      <c r="U84" s="18">
        <f t="shared" si="40"/>
        <v>1</v>
      </c>
      <c r="V84" s="18">
        <f t="shared" si="40"/>
        <v>1</v>
      </c>
      <c r="W84" s="18">
        <f t="shared" si="40"/>
        <v>1</v>
      </c>
    </row>
    <row r="86" spans="2:23" x14ac:dyDescent="0.2">
      <c r="B86" s="37"/>
      <c r="C86" s="67">
        <v>2021</v>
      </c>
      <c r="D86" s="67">
        <v>2022</v>
      </c>
      <c r="E86" s="67">
        <v>2023</v>
      </c>
      <c r="F86" s="67">
        <v>2024</v>
      </c>
      <c r="G86" s="67">
        <v>2025</v>
      </c>
      <c r="H86" s="67">
        <v>2026</v>
      </c>
      <c r="I86" s="67">
        <v>2027</v>
      </c>
      <c r="J86" s="67">
        <v>2028</v>
      </c>
      <c r="K86" s="67">
        <v>2029</v>
      </c>
      <c r="L86" s="67">
        <v>2030</v>
      </c>
      <c r="M86" s="67">
        <v>2031</v>
      </c>
      <c r="N86" s="67">
        <v>2032</v>
      </c>
      <c r="O86" s="67">
        <v>2033</v>
      </c>
      <c r="P86" s="67">
        <v>2034</v>
      </c>
      <c r="Q86" s="67">
        <v>2035</v>
      </c>
      <c r="R86" s="67">
        <v>2036</v>
      </c>
      <c r="S86" s="67">
        <v>2037</v>
      </c>
      <c r="T86" s="67">
        <v>2038</v>
      </c>
      <c r="U86" s="67">
        <v>2039</v>
      </c>
      <c r="V86" s="67">
        <v>2040</v>
      </c>
      <c r="W86" s="67">
        <v>2041</v>
      </c>
    </row>
    <row r="87" spans="2:23" x14ac:dyDescent="0.2">
      <c r="B87" s="84" t="s">
        <v>76</v>
      </c>
      <c r="C87" s="88">
        <f>C56</f>
        <v>54.398470000000003</v>
      </c>
      <c r="D87" s="88">
        <f>D56</f>
        <v>44.391771547524669</v>
      </c>
      <c r="E87" s="88">
        <f>E56</f>
        <v>43.730433720991776</v>
      </c>
      <c r="F87" s="88">
        <f>F56</f>
        <v>42.488825337098667</v>
      </c>
      <c r="G87" s="88">
        <f>G56</f>
        <v>41.250805555606519</v>
      </c>
      <c r="H87" s="88">
        <f t="shared" ref="H87:W87" si="41">G87*(1+H101/100)*H42-H59-H60+H61+H62+H63+H64+H65+H71</f>
        <v>37.732587804956118</v>
      </c>
      <c r="I87" s="88">
        <f t="shared" si="41"/>
        <v>34.267259309002426</v>
      </c>
      <c r="J87" s="88">
        <f t="shared" si="41"/>
        <v>31.007170527595989</v>
      </c>
      <c r="K87" s="88">
        <f t="shared" si="41"/>
        <v>28.062291025678643</v>
      </c>
      <c r="L87" s="88">
        <f t="shared" si="41"/>
        <v>25.375334424222128</v>
      </c>
      <c r="M87" s="88">
        <f t="shared" si="41"/>
        <v>22.951905965719639</v>
      </c>
      <c r="N87" s="88">
        <f t="shared" si="41"/>
        <v>20.846367531017648</v>
      </c>
      <c r="O87" s="88">
        <f t="shared" si="41"/>
        <v>18.942087282286749</v>
      </c>
      <c r="P87" s="88">
        <f t="shared" si="41"/>
        <v>17.236596828220421</v>
      </c>
      <c r="Q87" s="88">
        <f t="shared" si="41"/>
        <v>15.704860715029149</v>
      </c>
      <c r="R87" s="88">
        <f t="shared" si="41"/>
        <v>14.355287319314396</v>
      </c>
      <c r="S87" s="88">
        <f t="shared" si="41"/>
        <v>13.187504539864698</v>
      </c>
      <c r="T87" s="88">
        <f t="shared" si="41"/>
        <v>12.117064647370219</v>
      </c>
      <c r="U87" s="88">
        <f t="shared" si="41"/>
        <v>11.193855986822108</v>
      </c>
      <c r="V87" s="88">
        <f t="shared" si="41"/>
        <v>10.424466729480089</v>
      </c>
      <c r="W87" s="88">
        <f t="shared" si="41"/>
        <v>9.818442563601808</v>
      </c>
    </row>
    <row r="88" spans="2:23" x14ac:dyDescent="0.2">
      <c r="B88" s="15" t="s">
        <v>99</v>
      </c>
      <c r="C88" s="23"/>
      <c r="D88" s="174">
        <f>'Input data'!C66*$D$87</f>
        <v>37.416472875665853</v>
      </c>
      <c r="E88" s="23">
        <f t="shared" ref="E88:W88" si="42">IF(E87=0,0,IF(E83=1,D87*E42/((1+E23/100)*(1+E41/100))-E89-E90,IF(AND(E83=0,E84=1),(1-D93-E38*D94)*D87*E42/((1+E23/100)*(1+E41/100)),E87)))</f>
        <v>37.985688785691551</v>
      </c>
      <c r="F88" s="23">
        <f t="shared" si="42"/>
        <v>36.086220755244689</v>
      </c>
      <c r="G88" s="23">
        <f t="shared" si="42"/>
        <v>34.066502287729229</v>
      </c>
      <c r="H88" s="23">
        <f t="shared" si="42"/>
        <v>32.705585103946063</v>
      </c>
      <c r="I88" s="23">
        <f t="shared" si="42"/>
        <v>30.72994348613339</v>
      </c>
      <c r="J88" s="23">
        <f t="shared" si="42"/>
        <v>28.281573626394202</v>
      </c>
      <c r="K88" s="23">
        <f t="shared" si="42"/>
        <v>25.999811326575909</v>
      </c>
      <c r="L88" s="23">
        <f t="shared" si="42"/>
        <v>24.040696412097041</v>
      </c>
      <c r="M88" s="23">
        <f t="shared" si="42"/>
        <v>21.591170619389512</v>
      </c>
      <c r="N88" s="23">
        <f t="shared" si="42"/>
        <v>19.593433250846317</v>
      </c>
      <c r="O88" s="23">
        <f t="shared" si="42"/>
        <v>17.767419761409307</v>
      </c>
      <c r="P88" s="23">
        <f t="shared" si="42"/>
        <v>16.671358222590925</v>
      </c>
      <c r="Q88" s="23">
        <f t="shared" si="42"/>
        <v>15.137685742313343</v>
      </c>
      <c r="R88" s="23">
        <f t="shared" si="42"/>
        <v>13.957931981756438</v>
      </c>
      <c r="S88" s="23">
        <f t="shared" si="42"/>
        <v>12.762763644721881</v>
      </c>
      <c r="T88" s="23">
        <f t="shared" si="42"/>
        <v>11.730389188798579</v>
      </c>
      <c r="U88" s="23">
        <f t="shared" si="42"/>
        <v>10.784369231133002</v>
      </c>
      <c r="V88" s="23">
        <f t="shared" si="42"/>
        <v>9.9699825015814785</v>
      </c>
      <c r="W88" s="23">
        <f t="shared" si="42"/>
        <v>9.2929098648139448</v>
      </c>
    </row>
    <row r="89" spans="2:23" x14ac:dyDescent="0.2">
      <c r="B89" s="83" t="s">
        <v>100</v>
      </c>
      <c r="C89" s="23"/>
      <c r="D89" s="174">
        <f>'Input data'!C67*$D$87</f>
        <v>2.306773560775659</v>
      </c>
      <c r="E89" s="23">
        <f t="shared" ref="E89:W89" si="43">IF(E87=0,0,IF(E83=1,E38*D87*D94*E42/((1+E23/100)*(1+E41/100)),IF(AND(E83=0,E84=1),(E38*D87*D94*E42/((1+E23/100)*(1+E41/100)))*(1-ABS(E87-D87*E42/((1+E23/100)*(1+E41/100)))/((E38*D87*D94*E42/((1+E23/100)*(1+E41/100)))+(D93*D87*E42/((1+E23/100)*(1+E41/100))))),0)))</f>
        <v>1.6381495421537531</v>
      </c>
      <c r="F89" s="23">
        <f t="shared" si="43"/>
        <v>2.0686309093403406</v>
      </c>
      <c r="G89" s="23">
        <f t="shared" si="43"/>
        <v>2.4597944168704964</v>
      </c>
      <c r="H89" s="23">
        <f t="shared" si="43"/>
        <v>2.070786079996306</v>
      </c>
      <c r="I89" s="23">
        <f t="shared" si="43"/>
        <v>1.5157309807809889</v>
      </c>
      <c r="J89" s="23">
        <f t="shared" si="43"/>
        <v>1.4569534244845457</v>
      </c>
      <c r="K89" s="23">
        <f t="shared" si="43"/>
        <v>1.332796598568563</v>
      </c>
      <c r="L89" s="23">
        <f t="shared" si="43"/>
        <v>0.97962372263436048</v>
      </c>
      <c r="M89" s="23">
        <f t="shared" si="43"/>
        <v>1.1803287200452335</v>
      </c>
      <c r="N89" s="23">
        <f t="shared" si="43"/>
        <v>1.1587758077947812</v>
      </c>
      <c r="O89" s="23">
        <f t="shared" si="43"/>
        <v>1.1257061902638392</v>
      </c>
      <c r="P89" s="23">
        <f t="shared" si="43"/>
        <v>0.54699335511170732</v>
      </c>
      <c r="Q89" s="23">
        <f t="shared" si="43"/>
        <v>0.55993018729111255</v>
      </c>
      <c r="R89" s="23">
        <f t="shared" si="43"/>
        <v>0.39483357379556439</v>
      </c>
      <c r="S89" s="23">
        <f t="shared" si="43"/>
        <v>0.42371370194632813</v>
      </c>
      <c r="T89" s="23">
        <f t="shared" si="43"/>
        <v>0.38626160654625719</v>
      </c>
      <c r="U89" s="23">
        <f t="shared" si="43"/>
        <v>0.40929504803211952</v>
      </c>
      <c r="V89" s="23">
        <f t="shared" si="43"/>
        <v>0.45437779102514442</v>
      </c>
      <c r="W89" s="23">
        <f t="shared" si="43"/>
        <v>0.52545963975257703</v>
      </c>
    </row>
    <row r="90" spans="2:23" x14ac:dyDescent="0.2">
      <c r="B90" s="83" t="s">
        <v>101</v>
      </c>
      <c r="C90" s="23"/>
      <c r="D90" s="174">
        <f>'Input data'!C68*$D$87</f>
        <v>4.6685201110841117</v>
      </c>
      <c r="E90" s="23">
        <f t="shared" ref="E90:W90" si="44">IF(E87=0,0,IF(E83=1,(1-D94)*D87*E42/((1+E23/100)*(1+E41/100)),IF(AND(E83=0,E84=1),(D93*D87*E42/((1+E23/100)*(1+E41/100)))*(1-ABS(E87-D87*E42/((1+E23/100)*(1+E41/100)))/((E38*D87*D94*E42/((1+E23/100)*(1+E41/100)))+(D93*D87*E42/((1+E23/100)*(1+E41/100))))),0)))</f>
        <v>4.106595393146474</v>
      </c>
      <c r="F90" s="23">
        <f t="shared" si="44"/>
        <v>3.9543503275870662</v>
      </c>
      <c r="G90" s="23">
        <f t="shared" si="44"/>
        <v>3.7957466617499467</v>
      </c>
      <c r="H90" s="23">
        <f t="shared" si="44"/>
        <v>2.9562166210137475</v>
      </c>
      <c r="I90" s="23">
        <f t="shared" si="44"/>
        <v>2.0215848420880471</v>
      </c>
      <c r="J90" s="23">
        <f t="shared" si="44"/>
        <v>1.2686434767172421</v>
      </c>
      <c r="K90" s="23">
        <f t="shared" si="44"/>
        <v>0.72968310053417118</v>
      </c>
      <c r="L90" s="23">
        <f t="shared" si="44"/>
        <v>0.35501428949072716</v>
      </c>
      <c r="M90" s="23">
        <f t="shared" si="44"/>
        <v>0.18040662628489315</v>
      </c>
      <c r="N90" s="23">
        <f t="shared" si="44"/>
        <v>9.4158472376549007E-2</v>
      </c>
      <c r="O90" s="23">
        <f t="shared" si="44"/>
        <v>4.8961330613606739E-2</v>
      </c>
      <c r="P90" s="23">
        <f t="shared" si="44"/>
        <v>1.8245250517789444E-2</v>
      </c>
      <c r="Q90" s="23">
        <f t="shared" si="44"/>
        <v>7.2447854246962731E-3</v>
      </c>
      <c r="R90" s="23">
        <f t="shared" si="44"/>
        <v>2.5217637623939668E-3</v>
      </c>
      <c r="S90" s="23">
        <f t="shared" si="44"/>
        <v>1.0271931964889952E-3</v>
      </c>
      <c r="T90" s="23">
        <f t="shared" si="44"/>
        <v>4.1385202538167049E-4</v>
      </c>
      <c r="U90" s="23">
        <f t="shared" si="44"/>
        <v>1.9170765698749002E-4</v>
      </c>
      <c r="V90" s="23">
        <f t="shared" si="44"/>
        <v>1.0643687346664127E-4</v>
      </c>
      <c r="W90" s="23">
        <f t="shared" si="44"/>
        <v>7.305903528633148E-5</v>
      </c>
    </row>
    <row r="91" spans="2:23" x14ac:dyDescent="0.2">
      <c r="B91" s="83" t="s">
        <v>102</v>
      </c>
      <c r="C91" s="23"/>
      <c r="D91" s="174">
        <f>'Input data'!C69*$D$87</f>
        <v>0</v>
      </c>
      <c r="E91" s="23">
        <f>IF(E87=0,0,IF(E83=1,'Input data'!$C$58*(E87-D87*E42/((1+E23/100)*(1+E41/100))),0))</f>
        <v>0</v>
      </c>
      <c r="F91" s="23">
        <f>IF(F87=0,0,IF(F83=1,'Input data'!$C$58*(F87-E87*F42/((1+F23/100)*(1+F41/100))),0))</f>
        <v>0.33425531822108667</v>
      </c>
      <c r="G91" s="23">
        <f>IF(G87=0,0,IF(G83=1,'Input data'!$C$58*(G87-F87*G42/((1+G23/100)*(1+G41/100))),0))</f>
        <v>0.81776767754314328</v>
      </c>
      <c r="H91" s="23">
        <f>IF(H87=0,0,IF(H83=1,'Input data'!$C$58*(H87-G87*H42/((1+H23/100)*(1+H41/100))),0))</f>
        <v>0</v>
      </c>
      <c r="I91" s="23">
        <f>IF(I87=0,0,IF(I83=1,'Input data'!$C$58*(I87-H87*I42/((1+I23/100)*(1+I41/100))),0))</f>
        <v>0</v>
      </c>
      <c r="J91" s="23">
        <f>IF(J87=0,0,IF(J83=1,'Input data'!$C$58*(J87-I87*J42/((1+J23/100)*(1+J41/100))),0))</f>
        <v>0</v>
      </c>
      <c r="K91" s="23">
        <f>IF(K87=0,0,IF(K83=1,'Input data'!$C$58*(K87-J87*K42/((1+K23/100)*(1+K41/100))),0))</f>
        <v>0</v>
      </c>
      <c r="L91" s="23">
        <f>IF(L87=0,0,IF(L83=1,'Input data'!$C$58*(L87-K87*L42/((1+L23/100)*(1+L41/100))),0))</f>
        <v>0</v>
      </c>
      <c r="M91" s="23">
        <f>IF(M87=0,0,IF(M83=1,'Input data'!$C$58*(M87-L87*M42/((1+M23/100)*(1+M41/100))),0))</f>
        <v>0</v>
      </c>
      <c r="N91" s="23">
        <f>IF(N87=0,0,IF(N83=1,'Input data'!$C$58*(N87-M87*N42/((1+N23/100)*(1+N41/100))),0))</f>
        <v>0</v>
      </c>
      <c r="O91" s="23">
        <f>IF(O87=0,0,IF(O83=1,'Input data'!$C$58*(O87-N87*O42/((1+O23/100)*(1+O41/100))),0))</f>
        <v>0</v>
      </c>
      <c r="P91" s="23">
        <f>IF(P87=0,0,IF(P83=1,'Input data'!$C$58*(P87-O87*P42/((1+P23/100)*(1+P41/100))),0))</f>
        <v>0</v>
      </c>
      <c r="Q91" s="23">
        <f>IF(Q87=0,0,IF(Q83=1,'Input data'!$C$58*(Q87-P87*Q42/((1+Q23/100)*(1+Q41/100))),0))</f>
        <v>0</v>
      </c>
      <c r="R91" s="23">
        <f>IF(R87=0,0,IF(R83=1,'Input data'!$C$58*(R87-Q87*R42/((1+R23/100)*(1+R41/100))),0))</f>
        <v>0</v>
      </c>
      <c r="S91" s="23">
        <f>IF(S87=0,0,IF(S83=1,'Input data'!$C$58*(S87-R87*S42/((1+S23/100)*(1+S41/100))),0))</f>
        <v>0</v>
      </c>
      <c r="T91" s="23">
        <f>IF(T87=0,0,IF(T83=1,'Input data'!$C$58*(T87-S87*T42/((1+T23/100)*(1+T41/100))),0))</f>
        <v>0</v>
      </c>
      <c r="U91" s="23">
        <f>IF(U87=0,0,IF(U83=1,'Input data'!$C$58*(U87-T87*U42/((1+U23/100)*(1+U41/100))),0))</f>
        <v>0</v>
      </c>
      <c r="V91" s="23">
        <f>IF(V87=0,0,IF(V83=1,'Input data'!$C$58*(V87-U87*V42/((1+V23/100)*(1+V41/100))),0))</f>
        <v>0</v>
      </c>
      <c r="W91" s="23">
        <f>IF(W87=0,0,IF(W83=1,'Input data'!$C$58*(W87-V87*W42/((1+W23/100)*(1+W41/100))),0))</f>
        <v>0</v>
      </c>
    </row>
    <row r="92" spans="2:23" x14ac:dyDescent="0.2">
      <c r="B92" s="85" t="s">
        <v>103</v>
      </c>
      <c r="C92" s="35"/>
      <c r="D92" s="175">
        <f>'Input data'!C70*$D$87</f>
        <v>0</v>
      </c>
      <c r="E92" s="35">
        <f>IF(E87=0,0,IF(E83=1,'Input data'!$C$57*(E87-D87*E42/((1+E23/100)*(1+E41/100))),0))</f>
        <v>0</v>
      </c>
      <c r="F92" s="35">
        <f>IF(F87=0,0,IF(F83=1,'Input data'!$C$57*(F87-E87*F42/((1+F23/100)*(1+F41/100))),0))</f>
        <v>4.536802670548469E-2</v>
      </c>
      <c r="G92" s="35">
        <f>IF(G87=0,0,IF(G83=1,'Input data'!$C$57*(G87-F87*G42/((1+G23/100)*(1+G41/100))),0))</f>
        <v>0.11099451171370775</v>
      </c>
      <c r="H92" s="35">
        <f>IF(H87=0,0,IF(H83=1,'Input data'!$C$57*(H87-G87*H42/((1+H23/100)*(1+H41/100))),0))</f>
        <v>0</v>
      </c>
      <c r="I92" s="35">
        <f>IF(I87=0,0,IF(I83=1,'Input data'!$C$57*(I87-H87*I42/((1+I23/100)*(1+I41/100))),0))</f>
        <v>0</v>
      </c>
      <c r="J92" s="35">
        <f>IF(J87=0,0,IF(J83=1,'Input data'!$C$57*(J87-I87*J42/((1+J23/100)*(1+J41/100))),0))</f>
        <v>0</v>
      </c>
      <c r="K92" s="35">
        <f>IF(K87=0,0,IF(K83=1,'Input data'!$C$57*(K87-J87*K42/((1+K23/100)*(1+K41/100))),0))</f>
        <v>0</v>
      </c>
      <c r="L92" s="35">
        <f>IF(L87=0,0,IF(L83=1,'Input data'!$C$57*(L87-K87*L42/((1+L23/100)*(1+L41/100))),0))</f>
        <v>0</v>
      </c>
      <c r="M92" s="35">
        <f>IF(M87=0,0,IF(M83=1,'Input data'!$C$57*(M87-L87*M42/((1+M23/100)*(1+M41/100))),0))</f>
        <v>0</v>
      </c>
      <c r="N92" s="35">
        <f>IF(N87=0,0,IF(N83=1,'Input data'!$C$57*(N87-M87*N42/((1+N23/100)*(1+N41/100))),0))</f>
        <v>0</v>
      </c>
      <c r="O92" s="35">
        <f>IF(O87=0,0,IF(O83=1,'Input data'!$C$57*(O87-N87*O42/((1+O23/100)*(1+O41/100))),0))</f>
        <v>0</v>
      </c>
      <c r="P92" s="35">
        <f>IF(P87=0,0,IF(P83=1,'Input data'!$C$57*(P87-O87*P42/((1+P23/100)*(1+P41/100))),0))</f>
        <v>0</v>
      </c>
      <c r="Q92" s="35">
        <f>IF(Q87=0,0,IF(Q83=1,'Input data'!$C$57*(Q87-P87*Q42/((1+Q23/100)*(1+Q41/100))),0))</f>
        <v>0</v>
      </c>
      <c r="R92" s="35">
        <f>IF(R87=0,0,IF(R83=1,'Input data'!$C$57*(R87-Q87*R42/((1+R23/100)*(1+R41/100))),0))</f>
        <v>0</v>
      </c>
      <c r="S92" s="35">
        <f>IF(S87=0,0,IF(S83=1,'Input data'!$C$57*(S87-R87*S42/((1+S23/100)*(1+S41/100))),0))</f>
        <v>0</v>
      </c>
      <c r="T92" s="35">
        <f>IF(T87=0,0,IF(T83=1,'Input data'!$C$57*(T87-S87*T42/((1+T23/100)*(1+T41/100))),0))</f>
        <v>0</v>
      </c>
      <c r="U92" s="35">
        <f>IF(U87=0,0,IF(U83=1,'Input data'!$C$57*(U87-T87*U42/((1+U23/100)*(1+U41/100))),0))</f>
        <v>0</v>
      </c>
      <c r="V92" s="35">
        <f>IF(V87=0,0,IF(V83=1,'Input data'!$C$57*(V87-U87*V42/((1+V23/100)*(1+V41/100))),0))</f>
        <v>0</v>
      </c>
      <c r="W92" s="35">
        <f>IF(W87=0,0,IF(W83=1,'Input data'!$C$57*(W87-V87*W42/((1+W23/100)*(1+W41/100))),0))</f>
        <v>0</v>
      </c>
    </row>
    <row r="93" spans="2:23" x14ac:dyDescent="0.2">
      <c r="B93" s="15" t="s">
        <v>51</v>
      </c>
      <c r="C93" s="25"/>
      <c r="D93" s="25">
        <f>1-D94</f>
        <v>0.10516645198728225</v>
      </c>
      <c r="E93" s="25">
        <f>IF(E87&lt;&gt;0,(E90+E92)/(E88+E89+E90+E91+E92),0)</f>
        <v>9.390703552924512E-2</v>
      </c>
      <c r="F93" s="25">
        <f t="shared" ref="F93" si="45">IF(F87&lt;&gt;0,(F90+F92)/(F88+F89+F90+F91+F92),0)</f>
        <v>9.413577152485407E-2</v>
      </c>
      <c r="G93" s="25">
        <f>IF(G87&lt;&gt;0,(G90+G92)/(G88+G89+G90+G91+G92),0)</f>
        <v>9.4707027434829755E-2</v>
      </c>
      <c r="H93" s="25">
        <f>IF(H87&lt;&gt;0,(H90+H92)/(H88+H89+H90+H91+H92),0)</f>
        <v>7.8346511410634118E-2</v>
      </c>
      <c r="I93" s="25">
        <f t="shared" ref="I93:W93" si="46">IF(I87&lt;&gt;0,(I90+I92)/(I88+I89+I90+I91+I92),0)</f>
        <v>5.8994646284914652E-2</v>
      </c>
      <c r="J93" s="25">
        <f t="shared" si="46"/>
        <v>4.0914519291212509E-2</v>
      </c>
      <c r="K93" s="25">
        <f t="shared" si="46"/>
        <v>2.6002264029920733E-2</v>
      </c>
      <c r="L93" s="25">
        <f t="shared" si="46"/>
        <v>1.3990526530828567E-2</v>
      </c>
      <c r="M93" s="25">
        <f>IF(M87&lt;&gt;0,(M90+M92)/(M88+M89+M90+M91+M92),0)</f>
        <v>7.860202396887811E-3</v>
      </c>
      <c r="N93" s="25">
        <f t="shared" si="46"/>
        <v>4.5167807886169658E-3</v>
      </c>
      <c r="O93" s="25">
        <f t="shared" si="46"/>
        <v>2.5847906771811666E-3</v>
      </c>
      <c r="P93" s="25">
        <f t="shared" si="46"/>
        <v>1.0585181459902581E-3</v>
      </c>
      <c r="Q93" s="25">
        <f t="shared" si="46"/>
        <v>4.6130847997672455E-4</v>
      </c>
      <c r="R93" s="25">
        <f t="shared" si="46"/>
        <v>1.7566794075943339E-4</v>
      </c>
      <c r="S93" s="25">
        <f t="shared" si="46"/>
        <v>7.7891400407399149E-5</v>
      </c>
      <c r="T93" s="25">
        <f t="shared" si="46"/>
        <v>3.4154478615535759E-5</v>
      </c>
      <c r="U93" s="25">
        <f t="shared" si="46"/>
        <v>1.7126150024904424E-5</v>
      </c>
      <c r="V93" s="25">
        <f t="shared" si="46"/>
        <v>1.021029432283964E-5</v>
      </c>
      <c r="W93" s="25">
        <f t="shared" si="46"/>
        <v>7.4410004247690401E-6</v>
      </c>
    </row>
    <row r="94" spans="2:23" x14ac:dyDescent="0.2">
      <c r="B94" s="24" t="s">
        <v>52</v>
      </c>
      <c r="C94" s="86"/>
      <c r="D94" s="86">
        <f>(D88+D89+D91)/D87</f>
        <v>0.89483354801271775</v>
      </c>
      <c r="E94" s="86">
        <f t="shared" ref="E94:F94" si="47">IF(E87&lt;&gt;0,(E88+E89+E91)/(E88+E89+E90+E91+E92),1)</f>
        <v>0.90609296447075482</v>
      </c>
      <c r="F94" s="86">
        <f t="shared" si="47"/>
        <v>0.90586422847514603</v>
      </c>
      <c r="G94" s="86">
        <f>IF(G87&lt;&gt;0,(G88+G89+G91)/(G88+G89+G90+G91+G92),1)</f>
        <v>0.90529297256517038</v>
      </c>
      <c r="H94" s="86">
        <f>IF(H87&lt;&gt;0,(H88+H89+H91)/(H88+H89+H90+H91+H92),1)</f>
        <v>0.92165348858936591</v>
      </c>
      <c r="I94" s="86">
        <f t="shared" ref="I94:W94" si="48">IF(I87&lt;&gt;0,(I88+I89+I91)/(I88+I89+I90+I91+I92),1)</f>
        <v>0.94100535371508542</v>
      </c>
      <c r="J94" s="86">
        <f t="shared" si="48"/>
        <v>0.95908548070878752</v>
      </c>
      <c r="K94" s="86">
        <f t="shared" si="48"/>
        <v>0.97399773597007933</v>
      </c>
      <c r="L94" s="86">
        <f t="shared" si="48"/>
        <v>0.98600947346917134</v>
      </c>
      <c r="M94" s="86">
        <f t="shared" si="48"/>
        <v>0.99213979760311222</v>
      </c>
      <c r="N94" s="86">
        <f t="shared" si="48"/>
        <v>0.99548321921138305</v>
      </c>
      <c r="O94" s="86">
        <f t="shared" si="48"/>
        <v>0.9974152093228188</v>
      </c>
      <c r="P94" s="86">
        <f t="shared" si="48"/>
        <v>0.99894148185400966</v>
      </c>
      <c r="Q94" s="86">
        <f t="shared" si="48"/>
        <v>0.99953869152002328</v>
      </c>
      <c r="R94" s="86">
        <f t="shared" si="48"/>
        <v>0.99982433205924059</v>
      </c>
      <c r="S94" s="86">
        <f t="shared" si="48"/>
        <v>0.99992210859959263</v>
      </c>
      <c r="T94" s="86">
        <f t="shared" si="48"/>
        <v>0.99996584552138446</v>
      </c>
      <c r="U94" s="86">
        <f t="shared" si="48"/>
        <v>0.99998287384997508</v>
      </c>
      <c r="V94" s="86">
        <f t="shared" si="48"/>
        <v>0.9999897897056772</v>
      </c>
      <c r="W94" s="86">
        <f t="shared" si="48"/>
        <v>0.99999255899957529</v>
      </c>
    </row>
    <row r="95" spans="2:23" x14ac:dyDescent="0.2">
      <c r="C95" s="25"/>
      <c r="D95" s="25"/>
      <c r="E95" s="173"/>
      <c r="F95" s="173"/>
      <c r="G95" s="173"/>
      <c r="H95" s="25"/>
      <c r="I95" s="25"/>
      <c r="J95" s="25"/>
      <c r="K95" s="25"/>
      <c r="L95" s="25"/>
      <c r="M95" s="25"/>
      <c r="N95" s="25"/>
      <c r="O95" s="25"/>
      <c r="P95" s="25"/>
      <c r="Q95" s="25"/>
      <c r="R95" s="25"/>
      <c r="S95" s="25"/>
      <c r="T95" s="25"/>
      <c r="U95" s="25"/>
      <c r="V95" s="25"/>
      <c r="W95" s="25"/>
    </row>
    <row r="96" spans="2:23" x14ac:dyDescent="0.2">
      <c r="B96" s="90" t="s">
        <v>104</v>
      </c>
      <c r="C96" s="92">
        <f>C35</f>
        <v>1.510173</v>
      </c>
      <c r="D96" s="92">
        <f>D35</f>
        <v>1.408838</v>
      </c>
      <c r="E96" s="92">
        <f>E98+E99</f>
        <v>1.550894</v>
      </c>
      <c r="F96" s="92">
        <f>F98+F99</f>
        <v>1.641526</v>
      </c>
      <c r="G96" s="92">
        <f>G98+G99</f>
        <v>1.6843859999999999</v>
      </c>
      <c r="H96" s="92">
        <f>H98+H99</f>
        <v>1.7995764140165587</v>
      </c>
      <c r="I96" s="92">
        <f t="shared" ref="I96:W96" si="49">I98+I99</f>
        <v>1.8573200643695291</v>
      </c>
      <c r="J96" s="92">
        <f t="shared" si="49"/>
        <v>1.8994082462470563</v>
      </c>
      <c r="K96" s="92">
        <f t="shared" si="49"/>
        <v>1.9496329179084986</v>
      </c>
      <c r="L96" s="92">
        <f t="shared" si="49"/>
        <v>2.0061123852224405</v>
      </c>
      <c r="M96" s="92">
        <f t="shared" si="49"/>
        <v>2.0541018350825628</v>
      </c>
      <c r="N96" s="92">
        <f t="shared" si="49"/>
        <v>2.1281077422173191</v>
      </c>
      <c r="O96" s="92">
        <f t="shared" si="49"/>
        <v>2.2116500516992974</v>
      </c>
      <c r="P96" s="92">
        <f t="shared" si="49"/>
        <v>2.298009783976446</v>
      </c>
      <c r="Q96" s="92">
        <f t="shared" si="49"/>
        <v>2.3418209617953583</v>
      </c>
      <c r="R96" s="92">
        <f t="shared" si="49"/>
        <v>2.3905684622679404</v>
      </c>
      <c r="S96" s="92">
        <f t="shared" si="49"/>
        <v>2.4273747900897908</v>
      </c>
      <c r="T96" s="92">
        <f t="shared" si="49"/>
        <v>2.4697908695727695</v>
      </c>
      <c r="U96" s="92">
        <f t="shared" si="49"/>
        <v>2.5110695239383469</v>
      </c>
      <c r="V96" s="92">
        <f t="shared" si="49"/>
        <v>2.5575263777014441</v>
      </c>
      <c r="W96" s="92">
        <f t="shared" si="49"/>
        <v>2.6116148434909436</v>
      </c>
    </row>
    <row r="97" spans="2:25" x14ac:dyDescent="0.2">
      <c r="B97" s="22" t="s">
        <v>105</v>
      </c>
      <c r="C97" s="1"/>
      <c r="D97" s="23"/>
      <c r="E97" s="184">
        <f>((E35*D87)-(E37*D90+D92))/(D88+D89+D91)</f>
        <v>1.3300501067037456</v>
      </c>
      <c r="F97" s="184">
        <f>((F35*E87)-(F37*E90+E92))/(E88+E89+E91)</f>
        <v>1.4422601697097268</v>
      </c>
      <c r="G97" s="184">
        <f>((G35*F87)-(G37*F90+F92))/(F88+F89+F91)</f>
        <v>1.5688927558300099</v>
      </c>
      <c r="H97" s="23">
        <f t="shared" ref="H97:W97" si="50">IF(G87&gt;0,(G97*G88+H36*(G91+G89))/(G88+G89+G91),H36)</f>
        <v>1.6943848942899649</v>
      </c>
      <c r="I97" s="23">
        <f t="shared" si="50"/>
        <v>1.7777128902303452</v>
      </c>
      <c r="J97" s="23">
        <f t="shared" si="50"/>
        <v>1.8440432531340434</v>
      </c>
      <c r="K97" s="23">
        <f t="shared" si="50"/>
        <v>1.9145835374025064</v>
      </c>
      <c r="L97" s="23">
        <f t="shared" si="50"/>
        <v>1.9859876942563632</v>
      </c>
      <c r="M97" s="23">
        <f t="shared" si="50"/>
        <v>2.044246704697811</v>
      </c>
      <c r="N97" s="23">
        <f t="shared" si="50"/>
        <v>2.123280832860226</v>
      </c>
      <c r="O97" s="23">
        <f t="shared" si="50"/>
        <v>2.209315896355903</v>
      </c>
      <c r="P97" s="23">
        <f t="shared" si="50"/>
        <v>2.2969945014653526</v>
      </c>
      <c r="Q97" s="23">
        <f t="shared" si="50"/>
        <v>2.3414907144166959</v>
      </c>
      <c r="R97" s="23">
        <f t="shared" si="50"/>
        <v>2.3904638778128069</v>
      </c>
      <c r="S97" s="23">
        <f t="shared" si="50"/>
        <v>2.4273478208133765</v>
      </c>
      <c r="T97" s="23">
        <f t="shared" si="50"/>
        <v>2.4697850446625971</v>
      </c>
      <c r="U97" s="23">
        <f t="shared" si="50"/>
        <v>2.5110696197969826</v>
      </c>
      <c r="V97" s="23">
        <f t="shared" si="50"/>
        <v>2.5575278431748525</v>
      </c>
      <c r="W97" s="23">
        <f t="shared" si="50"/>
        <v>2.611616640121289</v>
      </c>
    </row>
    <row r="98" spans="2:25" x14ac:dyDescent="0.2">
      <c r="B98" s="15" t="s">
        <v>106</v>
      </c>
      <c r="C98" s="23"/>
      <c r="D98" s="23"/>
      <c r="E98" s="184">
        <f>E35</f>
        <v>1.550894</v>
      </c>
      <c r="F98" s="184">
        <f>F35</f>
        <v>1.641526</v>
      </c>
      <c r="G98" s="184">
        <f>G35</f>
        <v>1.6843859999999999</v>
      </c>
      <c r="H98" s="23">
        <f t="shared" ref="H98:W98" si="51">(H97*(G88+G89+G91)+H37*(G90+G92))/G87</f>
        <v>1.7995764140165587</v>
      </c>
      <c r="I98" s="23">
        <f t="shared" si="51"/>
        <v>1.8573200643695291</v>
      </c>
      <c r="J98" s="23">
        <f t="shared" si="51"/>
        <v>1.8994082462470563</v>
      </c>
      <c r="K98" s="23">
        <f t="shared" si="51"/>
        <v>1.9496329179084986</v>
      </c>
      <c r="L98" s="23">
        <f t="shared" si="51"/>
        <v>2.0061123852224405</v>
      </c>
      <c r="M98" s="23">
        <f t="shared" si="51"/>
        <v>2.0541018350825628</v>
      </c>
      <c r="N98" s="23">
        <f t="shared" si="51"/>
        <v>2.1281077422173191</v>
      </c>
      <c r="O98" s="23">
        <f t="shared" si="51"/>
        <v>2.2116500516992974</v>
      </c>
      <c r="P98" s="23">
        <f t="shared" si="51"/>
        <v>2.298009783976446</v>
      </c>
      <c r="Q98" s="23">
        <f t="shared" si="51"/>
        <v>2.3418209617953583</v>
      </c>
      <c r="R98" s="23">
        <f t="shared" si="51"/>
        <v>2.3905684622679404</v>
      </c>
      <c r="S98" s="23">
        <f t="shared" si="51"/>
        <v>2.4273747900897908</v>
      </c>
      <c r="T98" s="23">
        <f t="shared" si="51"/>
        <v>2.4697908695727695</v>
      </c>
      <c r="U98" s="23">
        <f t="shared" si="51"/>
        <v>2.5110695239383469</v>
      </c>
      <c r="V98" s="23">
        <f t="shared" si="51"/>
        <v>2.5575263777014441</v>
      </c>
      <c r="W98" s="23">
        <f t="shared" si="51"/>
        <v>2.6116148434909436</v>
      </c>
    </row>
    <row r="99" spans="2:25" x14ac:dyDescent="0.2">
      <c r="B99" s="24" t="s">
        <v>107</v>
      </c>
      <c r="C99" s="91"/>
      <c r="D99" s="35"/>
      <c r="E99" s="35">
        <f t="shared" ref="E99:G99" si="52">E108</f>
        <v>0</v>
      </c>
      <c r="F99" s="35">
        <f t="shared" si="52"/>
        <v>0</v>
      </c>
      <c r="G99" s="35">
        <f t="shared" si="52"/>
        <v>0</v>
      </c>
      <c r="H99" s="35">
        <f>H108</f>
        <v>0</v>
      </c>
      <c r="I99" s="35">
        <f t="shared" ref="I99:W99" si="53">I108</f>
        <v>0</v>
      </c>
      <c r="J99" s="35">
        <f t="shared" si="53"/>
        <v>0</v>
      </c>
      <c r="K99" s="35">
        <f t="shared" si="53"/>
        <v>0</v>
      </c>
      <c r="L99" s="35">
        <f t="shared" si="53"/>
        <v>0</v>
      </c>
      <c r="M99" s="35">
        <f t="shared" si="53"/>
        <v>0</v>
      </c>
      <c r="N99" s="35">
        <f t="shared" si="53"/>
        <v>0</v>
      </c>
      <c r="O99" s="35">
        <f t="shared" si="53"/>
        <v>0</v>
      </c>
      <c r="P99" s="35">
        <f t="shared" si="53"/>
        <v>0</v>
      </c>
      <c r="Q99" s="35">
        <f t="shared" si="53"/>
        <v>0</v>
      </c>
      <c r="R99" s="35">
        <f t="shared" si="53"/>
        <v>0</v>
      </c>
      <c r="S99" s="35">
        <f t="shared" si="53"/>
        <v>0</v>
      </c>
      <c r="T99" s="35">
        <f t="shared" si="53"/>
        <v>0</v>
      </c>
      <c r="U99" s="35">
        <f t="shared" si="53"/>
        <v>0</v>
      </c>
      <c r="V99" s="35">
        <f t="shared" si="53"/>
        <v>0</v>
      </c>
      <c r="W99" s="35">
        <f t="shared" si="53"/>
        <v>0</v>
      </c>
    </row>
    <row r="100" spans="2:25" x14ac:dyDescent="0.2">
      <c r="G100" s="76"/>
      <c r="H100" s="76"/>
      <c r="I100" s="76"/>
      <c r="J100" s="76"/>
      <c r="K100" s="76"/>
      <c r="L100" s="76"/>
      <c r="M100" s="76"/>
      <c r="N100" s="76"/>
      <c r="O100" s="76"/>
      <c r="P100" s="76"/>
      <c r="Q100" s="76"/>
      <c r="R100" s="76"/>
      <c r="S100" s="76"/>
      <c r="T100" s="76"/>
      <c r="U100" s="76"/>
      <c r="V100" s="76"/>
      <c r="W100" s="76"/>
    </row>
    <row r="101" spans="2:25" x14ac:dyDescent="0.2">
      <c r="B101" s="90" t="s">
        <v>134</v>
      </c>
      <c r="C101" s="92">
        <f t="shared" ref="C101:W101" si="54">((1+C96/100)/((1+C23/100)*(1+C41/100))-1)*100</f>
        <v>-12.245307400573802</v>
      </c>
      <c r="D101" s="92">
        <f t="shared" si="54"/>
        <v>-13.05543232655879</v>
      </c>
      <c r="E101" s="92">
        <f t="shared" si="54"/>
        <v>1.8855084301715008</v>
      </c>
      <c r="F101" s="92">
        <f t="shared" si="54"/>
        <v>-2.1266613444980154</v>
      </c>
      <c r="G101" s="92">
        <f t="shared" si="54"/>
        <v>-3.5011632013121075</v>
      </c>
      <c r="H101" s="92">
        <f t="shared" si="54"/>
        <v>-3.7948557228340674</v>
      </c>
      <c r="I101" s="92">
        <f t="shared" si="54"/>
        <v>-3.8672781958712266</v>
      </c>
      <c r="J101" s="92">
        <f t="shared" si="54"/>
        <v>-3.6935593217435336</v>
      </c>
      <c r="K101" s="92">
        <f t="shared" si="54"/>
        <v>-3.3353077995094016</v>
      </c>
      <c r="L101" s="92">
        <f t="shared" si="54"/>
        <v>-3.1444456040520596</v>
      </c>
      <c r="M101" s="92">
        <f t="shared" si="54"/>
        <v>-2.9206949723419084</v>
      </c>
      <c r="N101" s="92">
        <f t="shared" si="54"/>
        <v>-2.6319246598215384</v>
      </c>
      <c r="O101" s="92">
        <f t="shared" si="54"/>
        <v>-2.2970956356051175</v>
      </c>
      <c r="P101" s="92">
        <f t="shared" si="54"/>
        <v>-2.1279196218048413</v>
      </c>
      <c r="Q101" s="92">
        <f t="shared" si="54"/>
        <v>-1.9992218028834552</v>
      </c>
      <c r="R101" s="92">
        <f t="shared" si="54"/>
        <v>-1.8655874445365872</v>
      </c>
      <c r="S101" s="92">
        <f t="shared" si="54"/>
        <v>-1.8026815692833709</v>
      </c>
      <c r="T101" s="92">
        <f t="shared" si="54"/>
        <v>-1.6982591770432043</v>
      </c>
      <c r="U101" s="92">
        <f t="shared" si="54"/>
        <v>-1.583770717626054</v>
      </c>
      <c r="V101" s="92">
        <f t="shared" si="54"/>
        <v>-1.4486284118804482</v>
      </c>
      <c r="W101" s="92">
        <f t="shared" si="54"/>
        <v>-1.2758641232663792</v>
      </c>
    </row>
    <row r="102" spans="2:25" x14ac:dyDescent="0.2">
      <c r="F102" s="23"/>
      <c r="G102" s="23"/>
      <c r="H102" s="23"/>
      <c r="I102" s="23"/>
      <c r="J102" s="23"/>
      <c r="K102" s="23"/>
      <c r="L102" s="23"/>
      <c r="M102" s="23"/>
      <c r="N102" s="23"/>
      <c r="O102" s="23"/>
      <c r="P102" s="23"/>
      <c r="Q102" s="23"/>
      <c r="R102" s="23"/>
      <c r="S102" s="23"/>
      <c r="T102" s="23"/>
      <c r="U102" s="23"/>
      <c r="V102" s="23"/>
      <c r="W102" s="23"/>
    </row>
    <row r="104" spans="2:25" s="72" customFormat="1" ht="12.75" x14ac:dyDescent="0.2">
      <c r="B104" s="14" t="s">
        <v>108</v>
      </c>
    </row>
    <row r="105" spans="2:25" s="87" customFormat="1" ht="12.75" x14ac:dyDescent="0.2">
      <c r="C105" s="81"/>
      <c r="D105" s="81"/>
      <c r="E105" s="81"/>
      <c r="F105" s="81"/>
      <c r="G105" s="81"/>
      <c r="H105" s="81"/>
      <c r="I105" s="81"/>
      <c r="J105" s="81"/>
      <c r="K105" s="81"/>
      <c r="L105" s="81"/>
      <c r="M105" s="81"/>
      <c r="N105" s="81"/>
      <c r="O105" s="81"/>
      <c r="P105" s="81"/>
      <c r="Q105" s="81"/>
      <c r="R105" s="81"/>
      <c r="S105" s="81"/>
      <c r="T105" s="81"/>
      <c r="U105" s="81"/>
      <c r="V105" s="81"/>
      <c r="W105" s="81"/>
    </row>
    <row r="106" spans="2:25" x14ac:dyDescent="0.2">
      <c r="B106" s="97" t="s">
        <v>21</v>
      </c>
      <c r="C106" s="23">
        <v>54.398470000000003</v>
      </c>
      <c r="D106" s="23">
        <v>44.391779999999997</v>
      </c>
      <c r="E106" s="23">
        <v>43.730440000000002</v>
      </c>
      <c r="F106" s="23">
        <v>42.488840000000003</v>
      </c>
      <c r="G106" s="23">
        <v>41.250819999999997</v>
      </c>
      <c r="H106" s="23">
        <v>37.731920000000002</v>
      </c>
      <c r="I106" s="23">
        <v>34.266010000000001</v>
      </c>
      <c r="J106" s="23">
        <v>31.00544</v>
      </c>
      <c r="K106" s="23">
        <v>28.060130000000001</v>
      </c>
      <c r="L106" s="23">
        <v>25.372820000000001</v>
      </c>
      <c r="M106" s="23">
        <v>22.949090000000002</v>
      </c>
      <c r="N106" s="23">
        <v>20.84328</v>
      </c>
      <c r="O106" s="23">
        <v>18.938770000000002</v>
      </c>
      <c r="P106" s="23">
        <v>17.2331</v>
      </c>
      <c r="Q106" s="23">
        <v>15.70119</v>
      </c>
      <c r="R106" s="23">
        <v>14.35148</v>
      </c>
      <c r="S106" s="23">
        <v>13.18357</v>
      </c>
      <c r="T106" s="23">
        <v>12.113020000000001</v>
      </c>
      <c r="U106" s="23">
        <v>11.189719999999999</v>
      </c>
      <c r="V106" s="23">
        <v>10.42024</v>
      </c>
      <c r="W106" s="23">
        <v>9.8141479999999994</v>
      </c>
    </row>
    <row r="107" spans="2:25" x14ac:dyDescent="0.2">
      <c r="B107" s="15" t="s">
        <v>104</v>
      </c>
      <c r="C107" s="23">
        <v>1.510173</v>
      </c>
      <c r="D107" s="23">
        <v>1.408838</v>
      </c>
      <c r="E107" s="23">
        <v>1.550894</v>
      </c>
      <c r="F107" s="23">
        <v>1.641526</v>
      </c>
      <c r="G107" s="23">
        <v>1.6843859999999999</v>
      </c>
      <c r="H107" s="23">
        <v>1.7978080000000001</v>
      </c>
      <c r="I107" s="23">
        <v>1.8556079999999999</v>
      </c>
      <c r="J107" s="23">
        <v>1.8977219999999999</v>
      </c>
      <c r="K107" s="23">
        <v>1.9479759999999999</v>
      </c>
      <c r="L107" s="23">
        <v>2.0044849999999999</v>
      </c>
      <c r="M107" s="23">
        <v>2.052486</v>
      </c>
      <c r="N107" s="23">
        <v>2.1265290000000001</v>
      </c>
      <c r="O107" s="23">
        <v>2.2101139999999999</v>
      </c>
      <c r="P107" s="23">
        <v>2.2965230000000001</v>
      </c>
      <c r="Q107" s="23">
        <v>2.340338</v>
      </c>
      <c r="R107" s="23">
        <v>2.3890950000000002</v>
      </c>
      <c r="S107" s="23">
        <v>2.4258989999999998</v>
      </c>
      <c r="T107" s="23">
        <v>2.4683190000000002</v>
      </c>
      <c r="U107" s="23">
        <v>2.5095999999999998</v>
      </c>
      <c r="V107" s="23">
        <v>2.5560670000000001</v>
      </c>
      <c r="W107" s="23">
        <v>2.6101760000000001</v>
      </c>
    </row>
    <row r="108" spans="2:25" x14ac:dyDescent="0.2">
      <c r="B108" s="15" t="s">
        <v>133</v>
      </c>
      <c r="C108" s="23"/>
      <c r="D108" s="23">
        <v>0</v>
      </c>
      <c r="E108" s="23">
        <v>0</v>
      </c>
      <c r="F108" s="23">
        <v>0</v>
      </c>
      <c r="G108" s="23">
        <v>0</v>
      </c>
      <c r="H108" s="23">
        <v>0</v>
      </c>
      <c r="I108" s="23">
        <v>0</v>
      </c>
      <c r="J108" s="23">
        <v>0</v>
      </c>
      <c r="K108" s="23">
        <v>0</v>
      </c>
      <c r="L108" s="23">
        <v>0</v>
      </c>
      <c r="M108" s="23">
        <v>0</v>
      </c>
      <c r="N108" s="23">
        <v>0</v>
      </c>
      <c r="O108" s="23">
        <v>0</v>
      </c>
      <c r="P108" s="23">
        <v>0</v>
      </c>
      <c r="Q108" s="23">
        <v>0</v>
      </c>
      <c r="R108" s="23">
        <v>0</v>
      </c>
      <c r="S108" s="23">
        <v>0</v>
      </c>
      <c r="T108" s="23">
        <v>0</v>
      </c>
      <c r="U108" s="23">
        <v>0</v>
      </c>
      <c r="V108" s="23">
        <v>0</v>
      </c>
      <c r="W108" s="23">
        <v>0</v>
      </c>
    </row>
    <row r="109" spans="2:25" x14ac:dyDescent="0.2">
      <c r="C109" s="95"/>
      <c r="D109" s="95"/>
      <c r="E109" s="95"/>
      <c r="F109" s="95"/>
      <c r="G109" s="95"/>
      <c r="H109" s="95"/>
      <c r="I109" s="95"/>
      <c r="J109" s="95"/>
      <c r="K109" s="95"/>
      <c r="L109" s="95"/>
      <c r="M109" s="95"/>
      <c r="N109" s="95"/>
      <c r="O109" s="95"/>
      <c r="P109" s="95"/>
      <c r="Q109" s="95"/>
      <c r="R109" s="95"/>
      <c r="S109" s="95"/>
      <c r="T109" s="95"/>
      <c r="U109" s="95"/>
      <c r="V109" s="95"/>
      <c r="W109" s="95"/>
    </row>
    <row r="110" spans="2:25" x14ac:dyDescent="0.2">
      <c r="B110" s="15" t="s">
        <v>68</v>
      </c>
      <c r="C110" s="20">
        <v>2021</v>
      </c>
      <c r="D110" s="20">
        <v>2022</v>
      </c>
      <c r="E110" s="20">
        <v>2023</v>
      </c>
      <c r="F110" s="20">
        <v>2024</v>
      </c>
      <c r="G110" s="20">
        <v>2025</v>
      </c>
      <c r="H110" s="20">
        <v>2026</v>
      </c>
      <c r="I110" s="20">
        <v>2027</v>
      </c>
      <c r="J110" s="20">
        <v>2028</v>
      </c>
      <c r="K110" s="20">
        <v>2029</v>
      </c>
      <c r="L110" s="20">
        <v>2030</v>
      </c>
      <c r="M110" s="20">
        <v>2031</v>
      </c>
      <c r="N110" s="20">
        <v>2032</v>
      </c>
      <c r="O110" s="20">
        <v>2033</v>
      </c>
      <c r="P110" s="20">
        <v>2034</v>
      </c>
      <c r="Q110" s="20">
        <v>2035</v>
      </c>
      <c r="R110" s="20">
        <v>2036</v>
      </c>
      <c r="S110" s="20">
        <v>2037</v>
      </c>
      <c r="T110" s="20">
        <v>2038</v>
      </c>
      <c r="U110" s="20">
        <v>2039</v>
      </c>
      <c r="V110" s="20">
        <v>2040</v>
      </c>
      <c r="W110" s="20">
        <v>2041</v>
      </c>
    </row>
    <row r="111" spans="2:25" x14ac:dyDescent="0.2">
      <c r="B111" s="15" t="s">
        <v>109</v>
      </c>
      <c r="C111" s="23">
        <v>3.8019160000000003E-2</v>
      </c>
      <c r="D111" s="23">
        <v>7.8597440000000005E-2</v>
      </c>
      <c r="E111" s="23">
        <v>5.9475470000000003E-2</v>
      </c>
      <c r="F111" s="23">
        <v>9.6876959999999998E-2</v>
      </c>
      <c r="G111" s="23">
        <v>0.11684023</v>
      </c>
      <c r="H111" s="23">
        <v>0.13811532000000001</v>
      </c>
      <c r="I111" s="23">
        <v>0.13659083</v>
      </c>
      <c r="J111" s="23">
        <v>0.14219135999999999</v>
      </c>
      <c r="K111" s="23">
        <v>0.1389396</v>
      </c>
      <c r="L111" s="23">
        <v>0.12512538000000001</v>
      </c>
      <c r="M111" s="23">
        <v>0.12849179999999999</v>
      </c>
      <c r="N111" s="23">
        <v>7.2085140000000006E-2</v>
      </c>
      <c r="O111" s="23">
        <v>6.8681389999999995E-2</v>
      </c>
      <c r="P111" s="23">
        <v>6.8049499999999999E-2</v>
      </c>
      <c r="Q111" s="23">
        <v>6.8080779999999994E-2</v>
      </c>
      <c r="R111" s="23">
        <v>6.7666320000000002E-2</v>
      </c>
      <c r="S111" s="23">
        <v>6.9220519999999994E-2</v>
      </c>
      <c r="T111" s="23">
        <v>6.6629789999999994E-2</v>
      </c>
      <c r="U111" s="23">
        <v>6.6434309999999996E-2</v>
      </c>
      <c r="V111" s="23">
        <v>6.6393380000000002E-2</v>
      </c>
      <c r="W111" s="23">
        <v>6.621254E-2</v>
      </c>
      <c r="X111" s="27"/>
    </row>
    <row r="112" spans="2:25" x14ac:dyDescent="0.2">
      <c r="B112" s="15" t="s">
        <v>110</v>
      </c>
      <c r="C112" s="23">
        <v>3.0337050000000001E-2</v>
      </c>
      <c r="D112" s="23">
        <v>3.594311E-2</v>
      </c>
      <c r="E112" s="23">
        <v>4.1166179999999997E-2</v>
      </c>
      <c r="F112" s="23">
        <v>1.594102E-2</v>
      </c>
      <c r="G112" s="23">
        <v>1.5850139999999999E-2</v>
      </c>
      <c r="H112" s="23">
        <v>3.7528779999999998E-2</v>
      </c>
      <c r="I112" s="23">
        <v>3.4050280000000002E-2</v>
      </c>
      <c r="J112" s="23">
        <v>4.734439E-2</v>
      </c>
      <c r="K112" s="23">
        <v>4.4075929999999999E-2</v>
      </c>
      <c r="L112" s="23">
        <v>5.08599E-2</v>
      </c>
      <c r="M112" s="23">
        <v>6.6237939999999995E-2</v>
      </c>
      <c r="N112" s="23">
        <v>6.0253769999999998E-2</v>
      </c>
      <c r="O112" s="23">
        <v>9.0030589999999994E-2</v>
      </c>
      <c r="P112" s="23">
        <v>7.2952390000000006E-2</v>
      </c>
      <c r="Q112" s="23">
        <v>7.7366660000000004E-2</v>
      </c>
      <c r="R112" s="23">
        <v>9.0839359999999994E-2</v>
      </c>
      <c r="S112" s="23">
        <v>9.9621100000000004E-2</v>
      </c>
      <c r="T112" s="23">
        <v>0.10965455</v>
      </c>
      <c r="U112" s="23">
        <v>9.8654409999999998E-2</v>
      </c>
      <c r="V112" s="23">
        <v>0.10313576000000001</v>
      </c>
      <c r="W112" s="23">
        <v>0.11073872999999999</v>
      </c>
      <c r="X112" s="23"/>
      <c r="Y112" s="76"/>
    </row>
    <row r="113" spans="2:24" x14ac:dyDescent="0.2">
      <c r="B113" s="15" t="s">
        <v>111</v>
      </c>
      <c r="C113" s="23">
        <v>1E-3</v>
      </c>
      <c r="D113" s="23">
        <v>7.5373060000000006E-2</v>
      </c>
      <c r="E113" s="23">
        <v>4.6882050000000001E-2</v>
      </c>
      <c r="F113" s="23">
        <v>5.4216720000000003E-2</v>
      </c>
      <c r="G113" s="23">
        <v>6.7343109999999998E-2</v>
      </c>
      <c r="H113" s="23">
        <v>7.3281109999999997E-2</v>
      </c>
      <c r="I113" s="23">
        <v>6.3735609999999998E-2</v>
      </c>
      <c r="J113" s="23">
        <v>7.1999019999999997E-2</v>
      </c>
      <c r="K113" s="23">
        <v>7.7920139999999999E-2</v>
      </c>
      <c r="L113" s="23">
        <v>7.3665930000000004E-2</v>
      </c>
      <c r="M113" s="23">
        <v>9.2833230000000003E-2</v>
      </c>
      <c r="N113" s="23">
        <v>9.7499160000000001E-2</v>
      </c>
      <c r="O113" s="23">
        <v>0.10431984</v>
      </c>
      <c r="P113" s="23">
        <v>7.7692949999999997E-2</v>
      </c>
      <c r="Q113" s="23">
        <v>8.1896739999999996E-2</v>
      </c>
      <c r="R113" s="23">
        <v>7.226059E-2</v>
      </c>
      <c r="S113" s="23">
        <v>7.2475159999999997E-2</v>
      </c>
      <c r="T113" s="23">
        <v>7.2704249999999998E-2</v>
      </c>
      <c r="U113" s="23">
        <v>7.292216E-2</v>
      </c>
      <c r="V113" s="23">
        <v>7.3112590000000005E-2</v>
      </c>
      <c r="W113" s="23">
        <v>7.3435849999999997E-2</v>
      </c>
      <c r="X113" s="27"/>
    </row>
    <row r="114" spans="2:24" x14ac:dyDescent="0.2">
      <c r="B114" s="15" t="s">
        <v>112</v>
      </c>
      <c r="C114" s="23">
        <v>8.3818409999999996E-2</v>
      </c>
      <c r="D114" s="23">
        <v>6.9391629999999996E-2</v>
      </c>
      <c r="E114" s="23">
        <v>4.6492409999999998E-2</v>
      </c>
      <c r="F114" s="23">
        <v>4.9193250000000001E-2</v>
      </c>
      <c r="G114" s="23">
        <v>5.6712739999999998E-2</v>
      </c>
      <c r="H114" s="23">
        <v>6.4011879999999993E-2</v>
      </c>
      <c r="I114" s="23">
        <v>6.4931299999999997E-2</v>
      </c>
      <c r="J114" s="23">
        <v>6.3912460000000004E-2</v>
      </c>
      <c r="K114" s="23">
        <v>6.1693610000000003E-2</v>
      </c>
      <c r="L114" s="23">
        <v>5.4426040000000002E-2</v>
      </c>
      <c r="M114" s="23">
        <v>8.556656E-2</v>
      </c>
      <c r="N114" s="23">
        <v>8.1653809999999993E-2</v>
      </c>
      <c r="O114" s="23">
        <v>7.5878589999999996E-2</v>
      </c>
      <c r="P114" s="23">
        <v>6.1356269999999997E-2</v>
      </c>
      <c r="Q114" s="23">
        <v>8.1797350000000005E-2</v>
      </c>
      <c r="R114" s="23">
        <v>8.4442320000000001E-2</v>
      </c>
      <c r="S114" s="23">
        <v>6.0270190000000001E-2</v>
      </c>
      <c r="T114" s="23">
        <v>7.2970759999999996E-2</v>
      </c>
      <c r="U114" s="23">
        <v>5.7315959999999999E-2</v>
      </c>
      <c r="V114" s="23">
        <v>6.0796679999999999E-2</v>
      </c>
      <c r="W114" s="23">
        <v>5.7293660000000003E-2</v>
      </c>
      <c r="X114" s="27"/>
    </row>
    <row r="115" spans="2:24" x14ac:dyDescent="0.2">
      <c r="C115" s="27"/>
      <c r="D115" s="27"/>
      <c r="E115" s="23"/>
      <c r="F115" s="23"/>
      <c r="G115" s="27"/>
      <c r="H115" s="95"/>
      <c r="I115" s="95"/>
      <c r="J115" s="95"/>
      <c r="K115" s="95"/>
      <c r="L115" s="95"/>
      <c r="M115" s="95"/>
      <c r="N115" s="95"/>
      <c r="O115" s="95"/>
      <c r="P115" s="95"/>
      <c r="Q115" s="95"/>
      <c r="R115" s="95"/>
      <c r="S115" s="95"/>
      <c r="T115" s="95"/>
      <c r="U115" s="95"/>
      <c r="V115" s="95"/>
      <c r="W115" s="95"/>
      <c r="X115" s="27"/>
    </row>
    <row r="116" spans="2:24" x14ac:dyDescent="0.2">
      <c r="E116" s="23"/>
      <c r="F116" s="23"/>
      <c r="G116" s="98"/>
      <c r="H116" s="98"/>
      <c r="I116" s="98"/>
      <c r="J116" s="98"/>
      <c r="K116" s="98"/>
      <c r="L116" s="98"/>
      <c r="M116" s="98"/>
      <c r="N116" s="98"/>
      <c r="O116" s="98"/>
      <c r="P116" s="98"/>
      <c r="Q116" s="98"/>
      <c r="R116" s="98"/>
      <c r="S116" s="98"/>
      <c r="T116" s="98"/>
      <c r="U116" s="98"/>
      <c r="V116" s="98"/>
      <c r="W116" s="98"/>
    </row>
    <row r="117" spans="2:24" x14ac:dyDescent="0.2">
      <c r="D117" s="178"/>
      <c r="E117" s="178"/>
      <c r="F117" s="178"/>
      <c r="G117" s="178"/>
    </row>
    <row r="118" spans="2:24" x14ac:dyDescent="0.2">
      <c r="D118" s="178"/>
      <c r="E118" s="178"/>
      <c r="F118" s="178"/>
      <c r="G118" s="178"/>
      <c r="H118" s="178"/>
      <c r="I118" s="178"/>
      <c r="J118" s="178"/>
      <c r="K118" s="178"/>
      <c r="L118" s="178"/>
      <c r="M118" s="178"/>
      <c r="N118" s="178"/>
      <c r="O118" s="178"/>
      <c r="P118" s="178"/>
      <c r="Q118" s="178"/>
      <c r="R118" s="178"/>
      <c r="S118" s="178"/>
      <c r="T118" s="178"/>
      <c r="U118" s="98"/>
      <c r="V118" s="98"/>
      <c r="W118" s="98"/>
    </row>
    <row r="119" spans="2:24" x14ac:dyDescent="0.2">
      <c r="E119" s="23"/>
      <c r="F119" s="23"/>
      <c r="G119" s="98"/>
      <c r="H119" s="98"/>
      <c r="I119" s="98"/>
      <c r="J119" s="98"/>
      <c r="K119" s="98"/>
      <c r="L119" s="98"/>
      <c r="M119" s="98"/>
      <c r="N119" s="98"/>
      <c r="O119" s="98"/>
      <c r="P119" s="98"/>
      <c r="Q119" s="98"/>
      <c r="R119" s="98"/>
      <c r="S119" s="98"/>
      <c r="T119" s="98"/>
      <c r="U119" s="98"/>
      <c r="V119" s="98"/>
      <c r="W119" s="98"/>
      <c r="X119" s="98"/>
    </row>
    <row r="120" spans="2:24" x14ac:dyDescent="0.2">
      <c r="G120" s="98"/>
      <c r="H120" s="98"/>
      <c r="I120" s="98"/>
      <c r="J120" s="98"/>
      <c r="K120" s="98"/>
      <c r="L120" s="98"/>
      <c r="M120" s="98"/>
      <c r="N120" s="98"/>
      <c r="O120" s="98"/>
      <c r="P120" s="98"/>
      <c r="Q120" s="98"/>
      <c r="R120" s="98"/>
      <c r="S120" s="98"/>
      <c r="T120" s="98"/>
      <c r="U120" s="98"/>
      <c r="V120" s="98"/>
      <c r="W120" s="98"/>
      <c r="X120" s="98"/>
    </row>
    <row r="121" spans="2:24" x14ac:dyDescent="0.2">
      <c r="E121" s="23"/>
      <c r="F121" s="76"/>
      <c r="G121" s="76"/>
      <c r="H121" s="76"/>
      <c r="I121" s="76"/>
      <c r="J121" s="76"/>
      <c r="K121" s="76"/>
      <c r="L121" s="76"/>
      <c r="M121" s="76"/>
      <c r="N121" s="76"/>
      <c r="O121" s="76"/>
      <c r="P121" s="76"/>
      <c r="Q121" s="76"/>
      <c r="R121" s="76"/>
      <c r="S121" s="76"/>
      <c r="T121" s="76"/>
      <c r="U121" s="76"/>
      <c r="V121" s="76"/>
      <c r="W121" s="76"/>
      <c r="X121" s="98"/>
    </row>
    <row r="122" spans="2:24" x14ac:dyDescent="0.2">
      <c r="E122" s="23"/>
      <c r="F122" s="23"/>
      <c r="G122" s="98"/>
      <c r="H122" s="98"/>
      <c r="I122" s="98"/>
      <c r="J122" s="98"/>
      <c r="K122" s="98"/>
      <c r="L122" s="98"/>
      <c r="M122" s="98"/>
      <c r="N122" s="98"/>
      <c r="O122" s="98"/>
      <c r="P122" s="98"/>
      <c r="Q122" s="98"/>
      <c r="R122" s="98"/>
      <c r="S122" s="98"/>
      <c r="T122" s="98"/>
      <c r="U122" s="98"/>
      <c r="V122" s="98"/>
      <c r="W122" s="98"/>
      <c r="X122" s="98"/>
    </row>
    <row r="123" spans="2:24" x14ac:dyDescent="0.2">
      <c r="G123" s="98"/>
      <c r="H123" s="98"/>
      <c r="I123" s="98"/>
      <c r="J123" s="98"/>
      <c r="K123" s="98"/>
      <c r="L123" s="98"/>
      <c r="M123" s="98"/>
      <c r="N123" s="98"/>
      <c r="O123" s="98"/>
      <c r="P123" s="98"/>
      <c r="Q123" s="98"/>
      <c r="R123" s="98"/>
      <c r="S123" s="98"/>
      <c r="T123" s="98"/>
      <c r="U123" s="98"/>
      <c r="V123" s="98"/>
      <c r="W123" s="98"/>
      <c r="X123" s="98"/>
    </row>
  </sheetData>
  <conditionalFormatting sqref="U10:W43 U45:W52 U82:W103 U105:W129 U54:W80">
    <cfRule type="expression" dxfId="7" priority="1">
      <formula>U$10&gt;($C$6+10)</formula>
    </cfRule>
  </conditionalFormatting>
  <pageMargins left="0.7" right="0.7" top="0.75" bottom="0.75" header="0.3" footer="0.3"/>
  <pageSetup paperSize="9" orientation="portrait" r:id="rId1"/>
  <ignoredErrors>
    <ignoredError sqref="C5 C46:C47" unlockedFormula="1"/>
    <ignoredError sqref="V35:W35 V56:W57 V66:W69 V76:W77 V97:W98 U84:U86 V83:W86 V100:W100 U88:U94 V88:W96"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AY125"/>
  <sheetViews>
    <sheetView topLeftCell="A46" zoomScaleNormal="100" workbookViewId="0">
      <selection activeCell="A84" sqref="A83:XFD92"/>
    </sheetView>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51" ht="24.75" customHeight="1" x14ac:dyDescent="0.2">
      <c r="B1" s="28"/>
    </row>
    <row r="2" spans="1:51" ht="11.25" customHeight="1" x14ac:dyDescent="0.2">
      <c r="B2" s="16"/>
    </row>
    <row r="3" spans="1:51" ht="11.25" customHeight="1" x14ac:dyDescent="0.2">
      <c r="B3" s="8" t="s">
        <v>11</v>
      </c>
      <c r="C3" s="9" t="str">
        <f>'Input data'!C3</f>
        <v>IE</v>
      </c>
    </row>
    <row r="4" spans="1:51" x14ac:dyDescent="0.2">
      <c r="B4" s="49" t="s">
        <v>16</v>
      </c>
      <c r="C4" s="10"/>
    </row>
    <row r="5" spans="1:51" x14ac:dyDescent="0.2">
      <c r="A5" s="18"/>
      <c r="B5" s="11" t="str">
        <f>'Input data'!B5</f>
        <v>Last year before the adjustment</v>
      </c>
      <c r="C5" s="12">
        <f>+'Input data'!C5</f>
        <v>2024</v>
      </c>
      <c r="J5" s="38"/>
      <c r="M5" s="27"/>
    </row>
    <row r="6" spans="1:51" x14ac:dyDescent="0.2">
      <c r="A6" s="18"/>
      <c r="B6" s="50" t="s">
        <v>22</v>
      </c>
      <c r="C6" s="12">
        <f>+C5+'Criteria results'!$F$5</f>
        <v>2028</v>
      </c>
      <c r="E6" s="30"/>
      <c r="F6" s="18"/>
    </row>
    <row r="7" spans="1:51" x14ac:dyDescent="0.2">
      <c r="A7" s="18"/>
      <c r="B7" s="13" t="s">
        <v>17</v>
      </c>
      <c r="C7" s="51">
        <f>C5+'Criteria results'!$F$5+10</f>
        <v>2038</v>
      </c>
      <c r="E7" s="30"/>
      <c r="F7" s="18"/>
      <c r="G7" s="38"/>
      <c r="H7" s="38"/>
      <c r="I7" s="38"/>
      <c r="J7" s="38"/>
      <c r="K7" s="38"/>
      <c r="L7" s="38"/>
      <c r="M7" s="38"/>
    </row>
    <row r="8" spans="1:51" x14ac:dyDescent="0.2">
      <c r="A8" s="18"/>
      <c r="C8" s="18"/>
      <c r="E8" s="30"/>
      <c r="F8" s="18"/>
      <c r="G8" s="18"/>
      <c r="H8" s="18"/>
      <c r="I8" s="18"/>
      <c r="J8" s="18"/>
      <c r="K8" s="18"/>
      <c r="L8" s="18"/>
      <c r="M8" s="18"/>
      <c r="N8" s="18"/>
      <c r="O8" s="18"/>
      <c r="P8" s="18"/>
      <c r="Q8" s="18"/>
      <c r="R8" s="18"/>
      <c r="S8" s="18"/>
      <c r="T8" s="18"/>
      <c r="U8" s="18"/>
      <c r="V8" s="18"/>
      <c r="W8" s="18"/>
    </row>
    <row r="9" spans="1:51" s="52" customFormat="1" ht="12.75" x14ac:dyDescent="0.2">
      <c r="B9" s="14" t="s">
        <v>23</v>
      </c>
    </row>
    <row r="10" spans="1:51" x14ac:dyDescent="0.2">
      <c r="C10" s="20">
        <v>2021</v>
      </c>
      <c r="D10" s="20">
        <v>2022</v>
      </c>
      <c r="E10" s="20">
        <v>2023</v>
      </c>
      <c r="F10" s="20">
        <v>2024</v>
      </c>
      <c r="G10" s="20">
        <v>2025</v>
      </c>
      <c r="H10" s="20">
        <v>2026</v>
      </c>
      <c r="I10" s="20">
        <v>2027</v>
      </c>
      <c r="J10" s="20">
        <v>2028</v>
      </c>
      <c r="K10" s="20">
        <v>2029</v>
      </c>
      <c r="L10" s="20">
        <v>2030</v>
      </c>
      <c r="M10" s="20">
        <v>2031</v>
      </c>
      <c r="N10" s="20">
        <v>2032</v>
      </c>
      <c r="O10" s="20">
        <v>2033</v>
      </c>
      <c r="P10" s="20">
        <v>2034</v>
      </c>
      <c r="Q10" s="20">
        <v>2035</v>
      </c>
      <c r="R10" s="20">
        <v>2036</v>
      </c>
      <c r="S10" s="20">
        <v>2037</v>
      </c>
      <c r="T10" s="20">
        <v>2038</v>
      </c>
      <c r="U10" s="20">
        <v>2039</v>
      </c>
      <c r="V10" s="20">
        <v>2040</v>
      </c>
      <c r="W10" s="20">
        <v>2041</v>
      </c>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row>
    <row r="11" spans="1:51" x14ac:dyDescent="0.2">
      <c r="B11" s="17" t="s">
        <v>24</v>
      </c>
      <c r="C11" s="18"/>
      <c r="D11" s="18"/>
      <c r="E11" s="18"/>
      <c r="F11" s="181"/>
      <c r="G11" s="181"/>
      <c r="H11" s="181"/>
      <c r="I11" s="181"/>
      <c r="J11" s="181"/>
      <c r="K11" s="181"/>
      <c r="L11" s="181"/>
      <c r="M11" s="181"/>
      <c r="N11" s="181"/>
      <c r="O11" s="181"/>
      <c r="P11" s="181"/>
      <c r="Q11" s="181"/>
      <c r="R11" s="181"/>
      <c r="S11" s="181"/>
      <c r="T11" s="181"/>
      <c r="U11" s="181"/>
      <c r="V11" s="181"/>
      <c r="W11" s="181"/>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row>
    <row r="12" spans="1:51" x14ac:dyDescent="0.2">
      <c r="B12" s="15" t="s">
        <v>26</v>
      </c>
      <c r="C12" s="1">
        <f>'Input data'!C13</f>
        <v>-3.1653180000000001</v>
      </c>
      <c r="D12" s="2">
        <f>'Input data'!D13</f>
        <v>-2.376722</v>
      </c>
      <c r="E12" s="2">
        <f>'Input data'!E13</f>
        <v>1.7124649999999999</v>
      </c>
      <c r="F12" s="2">
        <f>'Input data'!F13</f>
        <v>2.5288010000000001</v>
      </c>
      <c r="G12" s="3">
        <f>IF(G10&lt;=$C$6,
IF(AND(F78&lt;=-1.55,'Criteria results'!$F$5=4,'Criteria results'!$F$6&lt;0.4),F12+0.4,
IF(AND(F78&lt;=-1.55,'Criteria results'!$F$5=7,'Criteria results'!$F$6&lt;0.25),F12+0.25,
F12+'Criteria results'!$F$6)),F12)</f>
        <v>2.5288010000000001</v>
      </c>
      <c r="H12" s="3">
        <f>IF(H10&lt;=$C$6,
IF(AND(G78&lt;=-1.55,'Criteria results'!$F$5=4,'Criteria results'!$F$6&lt;0.4),G12+0.4,
IF(AND(G78&lt;=-1.55,'Criteria results'!$F$5=7,'Criteria results'!$F$6&lt;0.25),G12+0.25,
G12+'Criteria results'!$F$6)),G12)</f>
        <v>2.5288010000000001</v>
      </c>
      <c r="I12" s="3">
        <f>IF(I10&lt;=$C$6,
IF(AND(H78&lt;=-1.55,'Criteria results'!$F$5=4,'Criteria results'!$F$6&lt;0.4),H12+0.4,
IF(AND(H78&lt;=-1.55,'Criteria results'!$F$5=7,'Criteria results'!$F$6&lt;0.25),H12+0.25,
H12+'Criteria results'!$F$6)),H12)</f>
        <v>2.5288010000000001</v>
      </c>
      <c r="J12" s="3">
        <f>IF(J10&lt;=$C$6,
IF(AND(I78&lt;=-1.55,'Criteria results'!$F$5=4,'Criteria results'!$F$6&lt;0.4),I12+0.4,
IF(AND(I78&lt;=-1.55,'Criteria results'!$F$5=7,'Criteria results'!$F$6&lt;0.25),I12+0.25,
I12+'Criteria results'!$F$6)),I12)</f>
        <v>2.5288010000000001</v>
      </c>
      <c r="K12" s="96">
        <f>IF(K10&lt;=$C$6,
IF(AND(J78&lt;=-1.55,'Criteria results'!$F$5=4,'Criteria results'!$F$6&lt;0.4),J12+0.4,
IF(AND(J78&lt;=-1.55,'Criteria results'!$F$5=7,'Criteria results'!$F$6&lt;0.25),J12+0.25,
J12+'Criteria results'!$F$6)),J12)</f>
        <v>2.5288010000000001</v>
      </c>
      <c r="L12" s="96">
        <f>IF(L10&lt;=$C$6,
IF(AND(K78&lt;=-1.55,'Criteria results'!$F$5=4,'Criteria results'!$F$6&lt;0.4),K12+0.4,
IF(AND(K78&lt;=-1.55,'Criteria results'!$F$5=7,'Criteria results'!$F$6&lt;0.25),K12+0.25,
K12+'Criteria results'!$F$6)),K12)</f>
        <v>2.5288010000000001</v>
      </c>
      <c r="M12" s="96">
        <f>IF(M10&lt;=$C$6,
IF(AND(L78&lt;=-1.55,'Criteria results'!$F$5=4,'Criteria results'!$F$6&lt;0.4),L12+0.4,
IF(AND(L78&lt;=-1.55,'Criteria results'!$F$5=7,'Criteria results'!$F$6&lt;0.25),L12+0.25,
L12+'Criteria results'!$F$6)),L12)</f>
        <v>2.5288010000000001</v>
      </c>
      <c r="N12" s="96">
        <f>M12</f>
        <v>2.5288010000000001</v>
      </c>
      <c r="O12" s="96">
        <f t="shared" ref="O12:W12" si="0">N12</f>
        <v>2.5288010000000001</v>
      </c>
      <c r="P12" s="96">
        <f t="shared" si="0"/>
        <v>2.5288010000000001</v>
      </c>
      <c r="Q12" s="96">
        <f t="shared" si="0"/>
        <v>2.5288010000000001</v>
      </c>
      <c r="R12" s="96">
        <f t="shared" si="0"/>
        <v>2.5288010000000001</v>
      </c>
      <c r="S12" s="96">
        <f t="shared" si="0"/>
        <v>2.5288010000000001</v>
      </c>
      <c r="T12" s="96">
        <f t="shared" si="0"/>
        <v>2.5288010000000001</v>
      </c>
      <c r="U12" s="96">
        <f t="shared" si="0"/>
        <v>2.5288010000000001</v>
      </c>
      <c r="V12" s="96">
        <f t="shared" si="0"/>
        <v>2.5288010000000001</v>
      </c>
      <c r="W12" s="96">
        <f t="shared" si="0"/>
        <v>2.5288010000000001</v>
      </c>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5"/>
    </row>
    <row r="13" spans="1:51" x14ac:dyDescent="0.2">
      <c r="B13" s="263" t="s">
        <v>138</v>
      </c>
      <c r="C13" s="18"/>
      <c r="D13" s="18"/>
      <c r="E13" s="18"/>
      <c r="F13" s="181"/>
      <c r="G13" s="181">
        <f>G12-F12</f>
        <v>0</v>
      </c>
      <c r="H13" s="181">
        <f t="shared" ref="H13:W13" si="1">H12-G12</f>
        <v>0</v>
      </c>
      <c r="I13" s="181">
        <f t="shared" si="1"/>
        <v>0</v>
      </c>
      <c r="J13" s="181">
        <f t="shared" si="1"/>
        <v>0</v>
      </c>
      <c r="K13" s="181">
        <f t="shared" si="1"/>
        <v>0</v>
      </c>
      <c r="L13" s="181">
        <f t="shared" si="1"/>
        <v>0</v>
      </c>
      <c r="M13" s="181">
        <f t="shared" si="1"/>
        <v>0</v>
      </c>
      <c r="N13" s="181">
        <f t="shared" si="1"/>
        <v>0</v>
      </c>
      <c r="O13" s="181">
        <f t="shared" si="1"/>
        <v>0</v>
      </c>
      <c r="P13" s="181">
        <f t="shared" si="1"/>
        <v>0</v>
      </c>
      <c r="Q13" s="181">
        <f t="shared" si="1"/>
        <v>0</v>
      </c>
      <c r="R13" s="181">
        <f t="shared" si="1"/>
        <v>0</v>
      </c>
      <c r="S13" s="181">
        <f t="shared" si="1"/>
        <v>0</v>
      </c>
      <c r="T13" s="181">
        <f t="shared" si="1"/>
        <v>0</v>
      </c>
      <c r="U13" s="181">
        <f t="shared" si="1"/>
        <v>0</v>
      </c>
      <c r="V13" s="181">
        <f t="shared" si="1"/>
        <v>0</v>
      </c>
      <c r="W13" s="181">
        <f t="shared" si="1"/>
        <v>0</v>
      </c>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row>
    <row r="14" spans="1:51" x14ac:dyDescent="0.2">
      <c r="B14" s="15" t="s">
        <v>27</v>
      </c>
      <c r="C14" s="1">
        <f>'Input data'!C14</f>
        <v>0</v>
      </c>
      <c r="D14" s="2">
        <f>'Input data'!D14</f>
        <v>0</v>
      </c>
      <c r="E14" s="2">
        <f>'Input data'!E14</f>
        <v>0</v>
      </c>
      <c r="F14" s="2">
        <f>'Input data'!F14</f>
        <v>0</v>
      </c>
      <c r="G14" s="2">
        <f>'Input data'!G14</f>
        <v>0</v>
      </c>
      <c r="H14" s="2">
        <f>0</f>
        <v>0</v>
      </c>
      <c r="I14" s="2">
        <f>0</f>
        <v>0</v>
      </c>
      <c r="J14" s="2">
        <f>0</f>
        <v>0</v>
      </c>
      <c r="K14" s="2">
        <f>0</f>
        <v>0</v>
      </c>
      <c r="L14" s="2">
        <f>0</f>
        <v>0</v>
      </c>
      <c r="M14" s="2">
        <f>0</f>
        <v>0</v>
      </c>
      <c r="N14" s="2">
        <f>0</f>
        <v>0</v>
      </c>
      <c r="O14" s="2">
        <f>0</f>
        <v>0</v>
      </c>
      <c r="P14" s="2">
        <f>0</f>
        <v>0</v>
      </c>
      <c r="Q14" s="2">
        <f>0</f>
        <v>0</v>
      </c>
      <c r="R14" s="2">
        <f>0</f>
        <v>0</v>
      </c>
      <c r="S14" s="2">
        <f>0</f>
        <v>0</v>
      </c>
      <c r="T14" s="2">
        <f>0</f>
        <v>0</v>
      </c>
      <c r="U14" s="2">
        <f>0</f>
        <v>0</v>
      </c>
      <c r="V14" s="2">
        <f>0</f>
        <v>0</v>
      </c>
      <c r="W14" s="2">
        <f>0</f>
        <v>0</v>
      </c>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5"/>
    </row>
    <row r="15" spans="1:51" x14ac:dyDescent="0.2">
      <c r="B15" s="15" t="s">
        <v>59</v>
      </c>
      <c r="C15" s="1">
        <f>'Input data'!C15</f>
        <v>2.6902740000000001</v>
      </c>
      <c r="D15" s="2">
        <f>'Input data'!D15</f>
        <v>-0.54206140000000003</v>
      </c>
      <c r="E15" s="2">
        <f>'Input data'!E15</f>
        <v>0.84280860000000002</v>
      </c>
      <c r="F15" s="2">
        <f>'Input data'!F15</f>
        <v>1.636568</v>
      </c>
      <c r="G15" s="2">
        <f>'Input data'!G15</f>
        <v>2.20024</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5"/>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19"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46"/>
      <c r="B18" s="15" t="s">
        <v>30</v>
      </c>
      <c r="C18" s="1">
        <f>'Input data'!C20</f>
        <v>0</v>
      </c>
      <c r="D18" s="79">
        <f>'Input data'!D20</f>
        <v>11.98063</v>
      </c>
      <c r="E18" s="79">
        <f>'Input data'!E20</f>
        <v>11.588229999999999</v>
      </c>
      <c r="F18" s="79">
        <f>'Input data'!F20</f>
        <v>11.59789</v>
      </c>
      <c r="G18" s="79">
        <f>'Input data'!G20</f>
        <v>11.651579999999999</v>
      </c>
      <c r="H18" s="79">
        <f>'Input data'!H20</f>
        <v>11.82718</v>
      </c>
      <c r="I18" s="79">
        <f>'Input data'!I20</f>
        <v>12.010150000000001</v>
      </c>
      <c r="J18" s="79">
        <f>'Input data'!J20</f>
        <v>12.141079999999999</v>
      </c>
      <c r="K18" s="79">
        <f>'Input data'!K20</f>
        <v>12.226990000000001</v>
      </c>
      <c r="L18" s="79">
        <f>'Input data'!L20</f>
        <v>12.335329999999999</v>
      </c>
      <c r="M18" s="79">
        <f>'Input data'!M20</f>
        <v>12.45979</v>
      </c>
      <c r="N18" s="79">
        <f>'Input data'!N20</f>
        <v>12.64282</v>
      </c>
      <c r="O18" s="79">
        <f>'Input data'!O20</f>
        <v>12.72106</v>
      </c>
      <c r="P18" s="79">
        <f>'Input data'!P20</f>
        <v>12.846260000000001</v>
      </c>
      <c r="Q18" s="79">
        <f>'Input data'!Q20</f>
        <v>12.96374</v>
      </c>
      <c r="R18" s="79">
        <f>'Input data'!R20</f>
        <v>13.096490000000001</v>
      </c>
      <c r="S18" s="79">
        <f>'Input data'!S20</f>
        <v>13.246269999999999</v>
      </c>
      <c r="T18" s="79">
        <f>'Input data'!T20</f>
        <v>13.310990000000002</v>
      </c>
      <c r="U18" s="79">
        <f>'Input data'!U20</f>
        <v>13.428369999999999</v>
      </c>
      <c r="V18" s="79">
        <f>'Input data'!V20</f>
        <v>13.554639999999999</v>
      </c>
      <c r="W18" s="79">
        <f>'Input data'!W20</f>
        <v>13.691049999999999</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46"/>
      <c r="B19" s="15" t="s">
        <v>36</v>
      </c>
      <c r="C19" s="1">
        <f>'Input data'!C26</f>
        <v>0.1107195</v>
      </c>
      <c r="D19" s="79">
        <f>'Input data'!D26</f>
        <v>0.13275200000000001</v>
      </c>
      <c r="E19" s="79">
        <f>'Input data'!E26</f>
        <v>0.13495019999999999</v>
      </c>
      <c r="F19" s="79">
        <f>'Input data'!F26</f>
        <v>0.1371484</v>
      </c>
      <c r="G19" s="79">
        <f>'Input data'!G26</f>
        <v>0.13934659999999999</v>
      </c>
      <c r="H19" s="79">
        <f>'Input data'!H26</f>
        <v>0.1415448</v>
      </c>
      <c r="I19" s="79">
        <f>'Input data'!I26</f>
        <v>0.14374300000000001</v>
      </c>
      <c r="J19" s="79">
        <f>'Input data'!J26</f>
        <v>0.14594119999999999</v>
      </c>
      <c r="K19" s="79">
        <f>'Input data'!K26</f>
        <v>0.1481394</v>
      </c>
      <c r="L19" s="79">
        <f>'Input data'!L26</f>
        <v>0.15033759999999999</v>
      </c>
      <c r="M19" s="79">
        <f>'Input data'!M26</f>
        <v>0.1525358</v>
      </c>
      <c r="N19" s="79">
        <f>'Input data'!N26</f>
        <v>0.15473400000000001</v>
      </c>
      <c r="O19" s="79">
        <f>'Input data'!O26</f>
        <v>0.15693219999999999</v>
      </c>
      <c r="P19" s="79">
        <f>'Input data'!P26</f>
        <v>0.15913050000000001</v>
      </c>
      <c r="Q19" s="79">
        <f>'Input data'!Q26</f>
        <v>0.16132869999999999</v>
      </c>
      <c r="R19" s="79">
        <f>'Input data'!R26</f>
        <v>0.1635269</v>
      </c>
      <c r="S19" s="79">
        <f>'Input data'!S26</f>
        <v>0.16572509999999999</v>
      </c>
      <c r="T19" s="79">
        <f>'Input data'!T26</f>
        <v>0.1679233</v>
      </c>
      <c r="U19" s="79">
        <f>'Input data'!U26</f>
        <v>0.17012150000000001</v>
      </c>
      <c r="V19" s="79">
        <f>'Input data'!V26</f>
        <v>0.17231969999999999</v>
      </c>
      <c r="W19" s="79">
        <f>'Input data'!W26</f>
        <v>0.1745179</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17" t="s">
        <v>60</v>
      </c>
    </row>
    <row r="22" spans="1:50" ht="10.5" customHeight="1" x14ac:dyDescent="0.2">
      <c r="B22" s="19" t="s">
        <v>61</v>
      </c>
    </row>
    <row r="23" spans="1:50" x14ac:dyDescent="0.2">
      <c r="B23" s="15" t="s">
        <v>39</v>
      </c>
      <c r="C23" s="23">
        <f>'Input data'!C31</f>
        <v>410.94639999999998</v>
      </c>
      <c r="D23" s="78">
        <f>'Baseline NFPC'!D22</f>
        <v>449.71106432020798</v>
      </c>
      <c r="E23" s="78">
        <f>'Baseline NFPC'!E22</f>
        <v>435.32576076006092</v>
      </c>
      <c r="F23" s="78">
        <f>'Baseline NFPC'!F22</f>
        <v>440.73991595314897</v>
      </c>
      <c r="G23" s="23">
        <f>IF(AND(G50&gt;1,F50&gt;1),IF(AND(G50&gt;0,F50&gt;0),G27*(G51/100+1),0)+IF(G50&gt;0,F23*(1+G52/100),0)-F23*(1+'Input data'!G30/100),IF(G50=1,G27,F23*(1+G52/100)))</f>
        <v>455.69777366516195</v>
      </c>
      <c r="H23" s="23">
        <f>IF(AND(H50&gt;1,G50&gt;1),IF(AND(H50&gt;0,G50&gt;0),H27*(H51/100+1),0)+IF(H50&gt;0,G23*(1+H52/100),0)-G23*(1+'Input data'!H30/100),IF(H50=1,H27,G23*(1+H52/100)))</f>
        <v>472.76873176212086</v>
      </c>
      <c r="I23" s="23">
        <f>IF(AND(I50&gt;1,H50&gt;1),IF(AND(I50&gt;0,H50&gt;0),I27*(I51/100+1),0)+IF(I50&gt;0,H23*(1+I52/100),0)-H23*(1+'Input data'!I30/100),IF(I50=1,I27,H23*(1+I52/100)))</f>
        <v>490.74514346033686</v>
      </c>
      <c r="J23" s="23">
        <f>IF(AND(J50&gt;1,I50&gt;1),IF(AND(J50&gt;0,I50&gt;0),J27*(J51/100+1),0)+IF(J50&gt;0,I23*(1+J52/100),0)-I23*(1+'Input data'!J30/100),IF(J50=1,J27,I23*(1+J52/100)))</f>
        <v>508.30099151816682</v>
      </c>
      <c r="K23" s="23">
        <f>IF(AND(K50&gt;1,J50&gt;1),IF(AND(K50&gt;0,J50&gt;0),K27*(K51/100+1),0)+IF(K50&gt;0,J23*(1+K52/100),0)-J23*(1+'Input data'!K30/100),IF(K50=1,K27,J23*(1+K52/100)))</f>
        <v>524.38467182382431</v>
      </c>
      <c r="L23" s="23">
        <f>IF(AND(L50&gt;1,K50&gt;1),IF(AND(L50&gt;0,K50&gt;0),L27*(L51/100+1),0)+IF(L50&gt;0,K23*(1+L52/100),0)-K23*(1+'Input data'!L30/100),IF(L50=1,L27,K23*(1+L52/100)))</f>
        <v>539.79116689586237</v>
      </c>
      <c r="M23" s="23">
        <f>IF(AND(M50&gt;1,L50&gt;1),IF(AND(M50&gt;0,L50&gt;0),M27*(M51/100+1),0)+IF(M50&gt;0,L23*(1+M52/100),0)-L23*(1+'Input data'!M30/100),IF(M50=1,M27,L23*(1+M52/100)))</f>
        <v>554.20041168200885</v>
      </c>
      <c r="N23" s="23">
        <f>IF(AND(N50&gt;1,M50&gt;1),IF(AND(N50&gt;0,M50&gt;0),N27*(N51/100+1),0)+IF(N50&gt;0,M23*(1+N52/100),0)-M23*(1+'Input data'!N30/100),IF(N50=1,N27,M23*(1+N52/100)))</f>
        <v>567.27835540882324</v>
      </c>
      <c r="O23" s="23">
        <f>IF(AND(O50&gt;1,N50&gt;1),IF(AND(O50&gt;0,N50&gt;0),O27*(O51/100+1),0)+IF(O50&gt;0,N23*(1+O52/100),0)-N23*(1+'Input data'!O30/100),IF(O50=1,O27,N23*(1+O52/100)))</f>
        <v>578.69998887167651</v>
      </c>
      <c r="P23" s="23">
        <f>IF(AND(P50&gt;1,O50&gt;1),IF(AND(P50&gt;0,O50&gt;0),P27*(P51/100+1),0)+IF(P50&gt;0,O23*(1+P52/100),0)-O23*(1+'Input data'!P30/100),IF(P50=1,P27,O23*(1+P52/100)))</f>
        <v>589.98728331362338</v>
      </c>
      <c r="Q23" s="23">
        <f>IF(AND(Q50&gt;1,P50&gt;1),IF(AND(Q50&gt;0,P50&gt;0),Q27*(Q51/100+1),0)+IF(Q50&gt;0,P23*(1+Q52/100),0)-P23*(1+'Input data'!Q30/100),IF(Q50=1,Q27,P23*(1+Q52/100)))</f>
        <v>601.1233345852778</v>
      </c>
      <c r="R23" s="23">
        <f>IF(AND(R50&gt;1,Q50&gt;1),IF(AND(R50&gt;0,Q50&gt;0),R27*(R51/100+1),0)+IF(R50&gt;0,Q23*(1+R52/100),0)-Q23*(1+'Input data'!R30/100),IF(R50=1,R27,Q23*(1+R52/100)))</f>
        <v>612.0911123527535</v>
      </c>
      <c r="S23" s="23">
        <f>IF(AND(S50&gt;1,R50&gt;1),IF(AND(S50&gt;0,R50&gt;0),S27*(S51/100+1),0)+IF(S50&gt;0,R23*(1+S52/100),0)-R23*(1+'Input data'!S30/100),IF(S50=1,S27,R23*(1+S52/100)))</f>
        <v>623.25090441503585</v>
      </c>
      <c r="T23" s="23">
        <f>IF(AND(T50&gt;1,S50&gt;1),IF(AND(T50&gt;0,S50&gt;0),T27*(T51/100+1),0)+IF(T50&gt;0,S23*(1+T52/100),0)-S23*(1+'Input data'!T30/100),IF(T50=1,T27,S23*(1+T52/100)))</f>
        <v>634.37285419937643</v>
      </c>
      <c r="U23" s="23">
        <f>IF(AND(U50&gt;1,T50&gt;1),IF(AND(U50&gt;0,T50&gt;0),U27*(U51/100+1),0)+IF(U50&gt;0,T23*(1+U52/100),0)-T23*(1+'Input data'!U30/100),IF(U50=1,U27,T23*(1+U52/100)))</f>
        <v>645.37523935821116</v>
      </c>
      <c r="V23" s="23">
        <f>IF(AND(V50&gt;1,U50&gt;1),IF(AND(V50&gt;0,U50&gt;0),V27*(V51/100+1),0)+IF(V50&gt;0,U23*(1+V52/100),0)-U23*(1+'Input data'!V30/100),IF(V50=1,V27,U23*(1+V52/100)))</f>
        <v>656.14147945371826</v>
      </c>
      <c r="W23" s="23">
        <f>IF(AND(W50&gt;1,V50&gt;1),IF(AND(W50&gt;0,V50&gt;0),W27*(W51/100+1),0)+IF(W50&gt;0,V23*(1+W52/100),0)-V23*(1+'Input data'!W30/100),IF(W50=1,W27,V23*(1+W52/100)))</f>
        <v>666.45019697439318</v>
      </c>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row>
    <row r="24" spans="1:50" x14ac:dyDescent="0.2">
      <c r="A24" s="46"/>
      <c r="B24" s="47" t="s">
        <v>38</v>
      </c>
      <c r="C24" s="23">
        <f>+'Input data'!C30</f>
        <v>15.125220000000001</v>
      </c>
      <c r="D24" s="78">
        <f>'Baseline NFPC'!D23</f>
        <v>9.4330219999999994</v>
      </c>
      <c r="E24" s="78">
        <f>'Baseline NFPC'!E23</f>
        <v>-3.198788</v>
      </c>
      <c r="F24" s="78">
        <f>'Baseline NFPC'!F23</f>
        <v>1.2437020000000001</v>
      </c>
      <c r="G24" s="23">
        <f t="shared" ref="G24:S24" si="2">100*(G23/F23-1)</f>
        <v>3.3938060000000103</v>
      </c>
      <c r="H24" s="23">
        <f t="shared" si="2"/>
        <v>3.7461140000000004</v>
      </c>
      <c r="I24" s="23">
        <f t="shared" si="2"/>
        <v>3.8023689999999943</v>
      </c>
      <c r="J24" s="23">
        <f t="shared" si="2"/>
        <v>3.5773859999999935</v>
      </c>
      <c r="K24" s="23">
        <f t="shared" si="2"/>
        <v>3.1642039999999927</v>
      </c>
      <c r="L24" s="23">
        <f t="shared" si="2"/>
        <v>2.9380139999999999</v>
      </c>
      <c r="M24" s="23">
        <f t="shared" si="2"/>
        <v>2.6694109999999993</v>
      </c>
      <c r="N24" s="23">
        <f t="shared" si="2"/>
        <v>2.3597859999999971</v>
      </c>
      <c r="O24" s="23">
        <f t="shared" si="2"/>
        <v>2.0134089999999993</v>
      </c>
      <c r="P24" s="23">
        <f t="shared" si="2"/>
        <v>1.9504570000000054</v>
      </c>
      <c r="Q24" s="23">
        <f t="shared" si="2"/>
        <v>1.8875069999999994</v>
      </c>
      <c r="R24" s="23">
        <f t="shared" si="2"/>
        <v>1.8245470000000097</v>
      </c>
      <c r="S24" s="23">
        <f t="shared" si="2"/>
        <v>1.82322399999999</v>
      </c>
      <c r="T24" s="23">
        <f>100*(T23/S23-1)</f>
        <v>1.7845059999999968</v>
      </c>
      <c r="U24" s="23">
        <f t="shared" ref="U24" si="3">100*(U23/T23-1)</f>
        <v>1.7343719999999951</v>
      </c>
      <c r="V24" s="23">
        <f t="shared" ref="V24" si="4">100*(V23/U23-1)</f>
        <v>1.6682139999999901</v>
      </c>
      <c r="W24" s="23">
        <f t="shared" ref="W24" si="5">100*(W23/V23-1)</f>
        <v>1.5711119999999967</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row>
    <row r="26" spans="1:50" ht="15" x14ac:dyDescent="0.2">
      <c r="A26" s="153"/>
      <c r="B26" s="19" t="s">
        <v>62</v>
      </c>
      <c r="C26" s="152"/>
      <c r="D26" s="152"/>
      <c r="E26" s="152"/>
      <c r="F26" s="152"/>
    </row>
    <row r="27" spans="1:50" x14ac:dyDescent="0.2">
      <c r="B27" s="15" t="s">
        <v>39</v>
      </c>
      <c r="C27" s="23">
        <f>'Input data'!C34</f>
        <v>392.80360000000002</v>
      </c>
      <c r="D27" s="78">
        <f>+C27*(1+'Input data'!D33/100)</f>
        <v>412.27893996926002</v>
      </c>
      <c r="E27" s="78">
        <f>+D27*(1+'Input data'!E33/100)</f>
        <v>430.14514677977348</v>
      </c>
      <c r="F27" s="78">
        <f>+E27*(1+'Input data'!F33/100)</f>
        <v>445.69743599367973</v>
      </c>
      <c r="G27" s="23">
        <f>+F27*(1+'Input data'!G33/100)</f>
        <v>460.34221582925238</v>
      </c>
      <c r="H27" s="23">
        <f>+G27*(1+'Input data'!H33/100)</f>
        <v>475.97011592279887</v>
      </c>
      <c r="I27" s="23">
        <f>+H27*(1+'Input data'!I33/100)</f>
        <v>491.84785546913162</v>
      </c>
      <c r="J27" s="23">
        <f>+I27*(1+'Input data'!J33/100)</f>
        <v>508.30095810962138</v>
      </c>
      <c r="K27" s="23">
        <f>+J27*(1+'Input data'!K33/100)</f>
        <v>524.38464244117392</v>
      </c>
      <c r="L27" s="23">
        <f>+K27*(1+'Input data'!L33/100)</f>
        <v>539.79113664994554</v>
      </c>
      <c r="M27" s="23">
        <f>+L27*(1+'Input data'!M33/100)</f>
        <v>554.20036983288139</v>
      </c>
      <c r="N27" s="23">
        <f>+M27*(1+'Input data'!N33/100)</f>
        <v>567.2783014881386</v>
      </c>
      <c r="O27" s="23">
        <f>+N27*(1+'Input data'!O33/100)</f>
        <v>578.69993953813093</v>
      </c>
      <c r="P27" s="23">
        <f>+O27*(1+'Input data'!P33/100)</f>
        <v>589.9872272308487</v>
      </c>
      <c r="Q27" s="23">
        <f>+P27*(1+'Input data'!Q33/100)</f>
        <v>601.12325384444785</v>
      </c>
      <c r="R27" s="23">
        <f>+Q27*(1+'Input data'!R33/100)</f>
        <v>612.09104216123421</v>
      </c>
      <c r="S27" s="23">
        <f>+R27*(1+'Input data'!S33/100)</f>
        <v>623.25084518558879</v>
      </c>
      <c r="T27" s="23">
        <f>+S27*(1+'Input data'!T33/100)</f>
        <v>634.37278144795948</v>
      </c>
      <c r="U27" s="23">
        <f>+T27*(1+'Input data'!U33/100)</f>
        <v>645.37513997010285</v>
      </c>
      <c r="V27" s="23">
        <f>+U27*(1+'Input data'!V33/100)</f>
        <v>656.14135904634952</v>
      </c>
      <c r="W27" s="23">
        <f>+V27*(1+'Input data'!W33/100)</f>
        <v>666.45004842963544</v>
      </c>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row>
    <row r="28" spans="1:50" ht="5.25" customHeight="1" x14ac:dyDescent="0.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row>
    <row r="29" spans="1:50" x14ac:dyDescent="0.2">
      <c r="B29" s="19" t="s">
        <v>63</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row>
    <row r="30" spans="1:50" x14ac:dyDescent="0.2">
      <c r="B30" s="15" t="s">
        <v>63</v>
      </c>
      <c r="C30" s="23">
        <f>100*(C23/C27-1)</f>
        <v>4.6187967727383317</v>
      </c>
      <c r="D30" s="78">
        <f t="shared" ref="D30:T30" si="6">100*(D23/D27-1)</f>
        <v>9.0793200238991076</v>
      </c>
      <c r="E30" s="78">
        <f t="shared" si="6"/>
        <v>1.2043874071511418</v>
      </c>
      <c r="F30" s="78">
        <f t="shared" si="6"/>
        <v>-1.1123061611243101</v>
      </c>
      <c r="G30" s="23">
        <f t="shared" si="6"/>
        <v>-1.0089107634249972</v>
      </c>
      <c r="H30" s="23">
        <f t="shared" si="6"/>
        <v>-0.6726019246967252</v>
      </c>
      <c r="I30" s="23">
        <f t="shared" si="6"/>
        <v>-0.2241977872899259</v>
      </c>
      <c r="J30" s="23">
        <f t="shared" si="6"/>
        <v>6.5725914710768052E-6</v>
      </c>
      <c r="K30" s="23">
        <f t="shared" si="6"/>
        <v>5.6032629425217806E-6</v>
      </c>
      <c r="L30" s="23">
        <f t="shared" si="6"/>
        <v>5.6032629647262411E-6</v>
      </c>
      <c r="M30" s="23">
        <f>100*(M23/M27-1)</f>
        <v>7.5512629926777208E-6</v>
      </c>
      <c r="N30" s="23">
        <f t="shared" si="6"/>
        <v>9.5051554849234776E-6</v>
      </c>
      <c r="O30" s="23">
        <f t="shared" si="6"/>
        <v>8.5248921255498544E-6</v>
      </c>
      <c r="P30" s="23">
        <f t="shared" si="6"/>
        <v>9.5057608229254242E-6</v>
      </c>
      <c r="Q30" s="23">
        <f t="shared" si="6"/>
        <v>1.3431659717788591E-5</v>
      </c>
      <c r="R30" s="23">
        <f t="shared" si="6"/>
        <v>1.1467496574546487E-5</v>
      </c>
      <c r="S30" s="23">
        <f t="shared" si="6"/>
        <v>9.5033079405837384E-6</v>
      </c>
      <c r="T30" s="23">
        <f t="shared" si="6"/>
        <v>1.146824375464206E-5</v>
      </c>
      <c r="U30" s="23">
        <f t="shared" ref="U30:W30" si="7">100*(U23/U27-1)</f>
        <v>1.5400052189029623E-5</v>
      </c>
      <c r="V30" s="23">
        <f t="shared" si="7"/>
        <v>1.8350827457602747E-5</v>
      </c>
      <c r="W30" s="23">
        <f t="shared" si="7"/>
        <v>2.2288955947580291E-5</v>
      </c>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row>
    <row r="31" spans="1:50" ht="4.9000000000000004" customHeight="1" x14ac:dyDescent="0.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row>
    <row r="32" spans="1:50" x14ac:dyDescent="0.2">
      <c r="B32" s="19" t="s">
        <v>64</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row>
    <row r="33" spans="2:51" x14ac:dyDescent="0.2">
      <c r="B33" s="15" t="s">
        <v>38</v>
      </c>
      <c r="C33" s="1">
        <f t="shared" ref="C33:W33" si="8">100*((1+C24/100)*(1+C42/100)-1)</f>
        <v>15.674922893711729</v>
      </c>
      <c r="D33" s="2">
        <f t="shared" si="8"/>
        <v>16.636197882869187</v>
      </c>
      <c r="E33" s="2">
        <f t="shared" si="8"/>
        <v>-0.32842200556995049</v>
      </c>
      <c r="F33" s="2">
        <f>100*((1+F24/100)*(1+F42/100)-1)</f>
        <v>3.8500651926889118</v>
      </c>
      <c r="G33" s="1">
        <f>100*((1+G24/100)*(1+G42/100)-1)</f>
        <v>5.3736908892798363</v>
      </c>
      <c r="H33" s="1">
        <f t="shared" si="8"/>
        <v>5.815107059902247</v>
      </c>
      <c r="I33" s="1">
        <f t="shared" si="8"/>
        <v>5.9548904398074587</v>
      </c>
      <c r="J33" s="1">
        <f t="shared" si="8"/>
        <v>5.8074699143702668</v>
      </c>
      <c r="K33" s="1">
        <f t="shared" si="8"/>
        <v>5.467291724734924</v>
      </c>
      <c r="L33" s="1">
        <f t="shared" si="8"/>
        <v>5.3177724513546076</v>
      </c>
      <c r="M33" s="1">
        <f t="shared" si="8"/>
        <v>5.1244668531641668</v>
      </c>
      <c r="N33" s="1">
        <f t="shared" si="8"/>
        <v>4.8886992840400323</v>
      </c>
      <c r="O33" s="1">
        <f t="shared" si="8"/>
        <v>4.6147509295000111</v>
      </c>
      <c r="P33" s="1">
        <f t="shared" si="8"/>
        <v>4.5221572778250119</v>
      </c>
      <c r="Q33" s="1">
        <f t="shared" si="8"/>
        <v>4.429600299650005</v>
      </c>
      <c r="R33" s="1">
        <f t="shared" si="8"/>
        <v>4.3370676972250166</v>
      </c>
      <c r="S33" s="1">
        <f t="shared" si="8"/>
        <v>4.3077106655999842</v>
      </c>
      <c r="T33" s="1">
        <f t="shared" si="8"/>
        <v>4.2400572072499809</v>
      </c>
      <c r="U33" s="1">
        <f>100*((1+U24/100)*(1+U42/100)-1)</f>
        <v>4.1607367721999911</v>
      </c>
      <c r="V33" s="1">
        <f t="shared" si="8"/>
        <v>4.0650421450499907</v>
      </c>
      <c r="W33" s="1">
        <f t="shared" si="8"/>
        <v>3.9377189095999965</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17" t="s">
        <v>113</v>
      </c>
    </row>
    <row r="36" spans="2:51" x14ac:dyDescent="0.2">
      <c r="B36" s="15" t="s">
        <v>41</v>
      </c>
      <c r="C36" s="23">
        <f>'Input data'!C37</f>
        <v>1.510173</v>
      </c>
      <c r="D36" s="78">
        <f>'Input data'!D37</f>
        <v>1.408838</v>
      </c>
      <c r="E36" s="78">
        <f>'Input data'!E37</f>
        <v>1.550894</v>
      </c>
      <c r="F36" s="78">
        <f>'Input data'!F37</f>
        <v>1.641526</v>
      </c>
      <c r="G36" s="78">
        <f>'Input data'!G37</f>
        <v>1.6843859999999999</v>
      </c>
      <c r="H36" s="23">
        <f t="shared" ref="H36:W36" si="9">H99</f>
        <v>1.7963362728642545</v>
      </c>
      <c r="I36" s="23">
        <f t="shared" si="9"/>
        <v>1.8477295502688917</v>
      </c>
      <c r="J36" s="23">
        <f t="shared" si="9"/>
        <v>1.8765132788055841</v>
      </c>
      <c r="K36" s="23">
        <f t="shared" si="9"/>
        <v>1.9046582440660691</v>
      </c>
      <c r="L36" s="23">
        <f t="shared" si="9"/>
        <v>1.9309319418432969</v>
      </c>
      <c r="M36" s="23">
        <f t="shared" si="9"/>
        <v>1.9360733845092364</v>
      </c>
      <c r="N36" s="23">
        <f t="shared" si="9"/>
        <v>1.9574640995012271</v>
      </c>
      <c r="O36" s="23">
        <f t="shared" si="9"/>
        <v>1.9793499442805511</v>
      </c>
      <c r="P36" s="23">
        <f t="shared" si="9"/>
        <v>1.9944079624134392</v>
      </c>
      <c r="Q36" s="23">
        <f t="shared" si="9"/>
        <v>1.994406836309681</v>
      </c>
      <c r="R36" s="23">
        <f t="shared" si="9"/>
        <v>1.994406836309681</v>
      </c>
      <c r="S36" s="23">
        <f t="shared" si="9"/>
        <v>1.994406836309681</v>
      </c>
      <c r="T36" s="23">
        <f t="shared" si="9"/>
        <v>1.9944068363096807</v>
      </c>
      <c r="U36" s="23">
        <f t="shared" si="9"/>
        <v>1.9944068363096807</v>
      </c>
      <c r="V36" s="23">
        <f t="shared" si="9"/>
        <v>1.9944068363096805</v>
      </c>
      <c r="W36" s="23">
        <f t="shared" si="9"/>
        <v>1.9944068363096805</v>
      </c>
    </row>
    <row r="37" spans="2:51" x14ac:dyDescent="0.2">
      <c r="B37" s="21" t="s">
        <v>66</v>
      </c>
      <c r="C37" s="1"/>
      <c r="D37" s="2">
        <f>'Input data'!D$39</f>
        <v>1.75</v>
      </c>
      <c r="E37" s="2">
        <f>'Input data'!E$39</f>
        <v>2.87</v>
      </c>
      <c r="F37" s="138">
        <f>'Input data'!F$39</f>
        <v>2.837221</v>
      </c>
      <c r="G37" s="138">
        <f>'Input data'!G$39</f>
        <v>2.9036849999999998</v>
      </c>
      <c r="H37" s="1">
        <f>G37+($O$37-$G$37)/($O$10-$G$10)</f>
        <v>2.9987318749999998</v>
      </c>
      <c r="I37" s="1">
        <f t="shared" ref="I37:N37" si="10">H37+($O$37-$G$37)/($O$10-$G$10)</f>
        <v>3.0937787499999998</v>
      </c>
      <c r="J37" s="1">
        <f t="shared" si="10"/>
        <v>3.1888256249999998</v>
      </c>
      <c r="K37" s="1">
        <f t="shared" si="10"/>
        <v>3.2838724999999998</v>
      </c>
      <c r="L37" s="1">
        <f t="shared" si="10"/>
        <v>3.3789193749999997</v>
      </c>
      <c r="M37" s="1">
        <f t="shared" si="10"/>
        <v>3.4739662499999997</v>
      </c>
      <c r="N37" s="1">
        <f t="shared" si="10"/>
        <v>3.5690131249999997</v>
      </c>
      <c r="O37" s="172">
        <f>'Input data'!$C$52</f>
        <v>3.6640600000000001</v>
      </c>
      <c r="P37" s="1">
        <f>'Baseline NFPC'!P36</f>
        <v>3.680857</v>
      </c>
      <c r="Q37" s="1">
        <f>'Baseline NFPC'!Q36</f>
        <v>3.697654</v>
      </c>
      <c r="R37" s="1">
        <f>'Baseline NFPC'!R36</f>
        <v>3.7144509999999999</v>
      </c>
      <c r="S37" s="1">
        <f>'Baseline NFPC'!S36</f>
        <v>3.7312479999999999</v>
      </c>
      <c r="T37" s="1">
        <f>'Baseline NFPC'!T36</f>
        <v>3.7480450000000003</v>
      </c>
      <c r="U37" s="1">
        <f>'Baseline NFPC'!U36</f>
        <v>3.7648420000000002</v>
      </c>
      <c r="V37" s="1">
        <f>'Baseline NFPC'!V36</f>
        <v>3.7816390000000002</v>
      </c>
      <c r="W37" s="1">
        <f>'Baseline NFPC'!W36</f>
        <v>3.7984360000000001</v>
      </c>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5"/>
    </row>
    <row r="38" spans="2:51" x14ac:dyDescent="0.2">
      <c r="B38" s="21" t="s">
        <v>67</v>
      </c>
      <c r="C38" s="1"/>
      <c r="D38" s="2">
        <f>'Input data'!D$38</f>
        <v>0.35</v>
      </c>
      <c r="E38" s="2">
        <f>'Input data'!E$38</f>
        <v>3.43</v>
      </c>
      <c r="F38" s="138">
        <f>'Input data'!F$38</f>
        <v>3.5642079999999998</v>
      </c>
      <c r="G38" s="138">
        <f>'Input data'!G$38</f>
        <v>2.8163749999999999</v>
      </c>
      <c r="H38" s="1">
        <f>G38+($O$38-$G$38)/($O$10-$G$10)</f>
        <v>2.8050893749999997</v>
      </c>
      <c r="I38" s="1">
        <f t="shared" ref="I38:N38" si="11">H38+($O$38-$G$38)/($O$10-$G$10)</f>
        <v>2.7938037499999995</v>
      </c>
      <c r="J38" s="1">
        <f t="shared" si="11"/>
        <v>2.7825181249999993</v>
      </c>
      <c r="K38" s="1">
        <f t="shared" si="11"/>
        <v>2.7712324999999991</v>
      </c>
      <c r="L38" s="1">
        <f t="shared" si="11"/>
        <v>2.7599468749999989</v>
      </c>
      <c r="M38" s="1">
        <f t="shared" si="11"/>
        <v>2.7486612499999987</v>
      </c>
      <c r="N38" s="1">
        <f t="shared" si="11"/>
        <v>2.7373756249999985</v>
      </c>
      <c r="O38" s="172">
        <f>'Input data'!$C$53</f>
        <v>2.7260900000000001</v>
      </c>
      <c r="P38" s="1">
        <f>'Baseline NFPC'!P37</f>
        <v>2.6897855000000002</v>
      </c>
      <c r="Q38" s="1">
        <f>'Baseline NFPC'!Q37</f>
        <v>2.6534810000000002</v>
      </c>
      <c r="R38" s="1">
        <f>'Baseline NFPC'!R37</f>
        <v>2.6171765000000002</v>
      </c>
      <c r="S38" s="1">
        <f>'Baseline NFPC'!S37</f>
        <v>2.5808720000000003</v>
      </c>
      <c r="T38" s="1">
        <f>'Baseline NFPC'!T37</f>
        <v>2.5445675000000003</v>
      </c>
      <c r="U38" s="1">
        <f>'Baseline NFPC'!U37</f>
        <v>2.5082629999999999</v>
      </c>
      <c r="V38" s="1">
        <f>'Baseline NFPC'!V37</f>
        <v>2.4719584999999999</v>
      </c>
      <c r="W38" s="1">
        <f>'Baseline NFPC'!W37</f>
        <v>2.435654</v>
      </c>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5"/>
    </row>
    <row r="39" spans="2:51" s="4" customFormat="1" ht="12.75" x14ac:dyDescent="0.2">
      <c r="B39" s="15" t="s">
        <v>68</v>
      </c>
      <c r="C39" s="23">
        <f>'Baseline NFPC'!C38</f>
        <v>1E-3</v>
      </c>
      <c r="D39" s="23">
        <f>'Baseline NFPC'!D38</f>
        <v>7.5373060000000006E-2</v>
      </c>
      <c r="E39" s="23">
        <f>'Baseline NFPC'!E38</f>
        <v>4.6882050000000001E-2</v>
      </c>
      <c r="F39" s="23">
        <f>'Baseline NFPC'!F38</f>
        <v>5.4216720000000003E-2</v>
      </c>
      <c r="G39" s="23">
        <f>'Baseline NFPC'!G38</f>
        <v>6.7343109999999998E-2</v>
      </c>
      <c r="H39" s="23">
        <f>'Baseline NFPC'!H38</f>
        <v>7.3281109999999997E-2</v>
      </c>
      <c r="I39" s="23">
        <f>'Baseline NFPC'!I38</f>
        <v>6.3735609999999998E-2</v>
      </c>
      <c r="J39" s="23">
        <f>'Baseline NFPC'!J38</f>
        <v>7.1999019999999997E-2</v>
      </c>
      <c r="K39" s="23">
        <f>'Baseline NFPC'!K38</f>
        <v>7.7920139999999999E-2</v>
      </c>
      <c r="L39" s="23">
        <f>'Baseline NFPC'!L38</f>
        <v>7.3665930000000004E-2</v>
      </c>
      <c r="M39" s="23">
        <f>'Baseline NFPC'!M38</f>
        <v>9.2833230000000003E-2</v>
      </c>
      <c r="N39" s="23">
        <f>'Baseline NFPC'!N38</f>
        <v>9.7499160000000001E-2</v>
      </c>
      <c r="O39" s="23">
        <f>'Baseline NFPC'!O38</f>
        <v>0.10431984</v>
      </c>
      <c r="P39" s="23">
        <f>'Baseline NFPC'!P38</f>
        <v>7.7692949999999997E-2</v>
      </c>
      <c r="Q39" s="23">
        <f>'Baseline NFPC'!Q38</f>
        <v>8.1896739999999996E-2</v>
      </c>
      <c r="R39" s="23">
        <f>'Baseline NFPC'!R38</f>
        <v>7.226059E-2</v>
      </c>
      <c r="S39" s="23">
        <f>'Baseline NFPC'!S38</f>
        <v>7.2475159999999997E-2</v>
      </c>
      <c r="T39" s="23">
        <f>'Baseline NFPC'!T38</f>
        <v>7.2704249999999998E-2</v>
      </c>
      <c r="U39" s="23">
        <f>'Baseline NFPC'!U38</f>
        <v>7.292216E-2</v>
      </c>
      <c r="V39" s="23">
        <f>'Baseline NFPC'!V38</f>
        <v>7.3112590000000005E-2</v>
      </c>
      <c r="W39" s="23">
        <f>'Baseline NFPC'!W38</f>
        <v>7.3435849999999997E-2</v>
      </c>
    </row>
    <row r="40" spans="2:51" x14ac:dyDescent="0.2">
      <c r="C40" s="1"/>
      <c r="D40" s="1"/>
      <c r="E40" s="82"/>
      <c r="F40" s="82"/>
      <c r="G40" s="82"/>
      <c r="H40" s="82"/>
      <c r="I40" s="82"/>
      <c r="J40" s="82"/>
      <c r="K40" s="82"/>
      <c r="L40" s="82"/>
      <c r="M40" s="82"/>
      <c r="N40" s="82"/>
      <c r="O40" s="1"/>
      <c r="P40" s="1"/>
      <c r="Q40" s="1"/>
      <c r="R40" s="1"/>
      <c r="S40" s="1"/>
      <c r="T40" s="1"/>
      <c r="U40" s="1"/>
      <c r="V40" s="1"/>
      <c r="W40" s="1"/>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5"/>
    </row>
    <row r="41" spans="2:51" x14ac:dyDescent="0.2">
      <c r="B41" s="17" t="s">
        <v>69</v>
      </c>
      <c r="C41" s="1"/>
      <c r="D41" s="1"/>
      <c r="E41" s="1"/>
      <c r="F41" s="1"/>
      <c r="G41" s="1"/>
      <c r="H41" s="1"/>
      <c r="I41" s="1"/>
      <c r="J41" s="1"/>
      <c r="K41" s="1"/>
      <c r="L41" s="1"/>
      <c r="M41" s="1"/>
      <c r="N41" s="1"/>
      <c r="O41" s="1"/>
      <c r="P41" s="1"/>
      <c r="Q41" s="1"/>
      <c r="R41" s="1"/>
      <c r="S41" s="1"/>
      <c r="T41" s="1"/>
      <c r="U41" s="1"/>
      <c r="V41" s="1"/>
      <c r="W41" s="1"/>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5"/>
    </row>
    <row r="42" spans="2:51" x14ac:dyDescent="0.2">
      <c r="B42" s="15" t="s">
        <v>114</v>
      </c>
      <c r="C42" s="1">
        <f>'Input data'!C42</f>
        <v>0.47748259999999998</v>
      </c>
      <c r="D42" s="2">
        <f>'Input data'!D42</f>
        <v>6.5822690000000001</v>
      </c>
      <c r="E42" s="2">
        <f>'Input data'!E42</f>
        <v>2.965217</v>
      </c>
      <c r="F42" s="2">
        <f>'Input data'!F42</f>
        <v>2.5743459999999998</v>
      </c>
      <c r="G42" s="2">
        <f>'Input data'!G42</f>
        <v>1.9148970000000001</v>
      </c>
      <c r="H42" s="1">
        <f>'Baseline NFPC'!H41</f>
        <v>1.994284875</v>
      </c>
      <c r="I42" s="1">
        <f>'Baseline NFPC'!I41</f>
        <v>2.0736727500000001</v>
      </c>
      <c r="J42" s="1">
        <f>'Baseline NFPC'!J41</f>
        <v>2.1530606250000002</v>
      </c>
      <c r="K42" s="1">
        <f>'Baseline NFPC'!K41</f>
        <v>2.2324484999999998</v>
      </c>
      <c r="L42" s="1">
        <f>'Baseline NFPC'!L41</f>
        <v>2.3118363749999999</v>
      </c>
      <c r="M42" s="1">
        <f>'Baseline NFPC'!M41</f>
        <v>2.3912242500000001</v>
      </c>
      <c r="N42" s="1">
        <f>'Baseline NFPC'!N41</f>
        <v>2.4706121249999997</v>
      </c>
      <c r="O42" s="172">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5"/>
    </row>
    <row r="43" spans="2:51" x14ac:dyDescent="0.2">
      <c r="B43" s="15" t="s">
        <v>70</v>
      </c>
      <c r="C43" s="1">
        <f>'Baseline NFPC'!C42</f>
        <v>1</v>
      </c>
      <c r="D43" s="1">
        <f>'Baseline NFPC'!D42</f>
        <v>1</v>
      </c>
      <c r="E43" s="1">
        <f>'Baseline NFPC'!E42</f>
        <v>0.99999990000000005</v>
      </c>
      <c r="F43" s="1">
        <f>'Baseline NFPC'!F42</f>
        <v>1</v>
      </c>
      <c r="G43" s="1">
        <f>'Baseline NFPC'!G42</f>
        <v>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5"/>
    </row>
    <row r="44" spans="2:51" x14ac:dyDescent="0.2">
      <c r="C44" s="1"/>
      <c r="D44" s="1"/>
      <c r="E44" s="1"/>
      <c r="F44" s="1"/>
      <c r="G44" s="1"/>
      <c r="H44" s="1"/>
      <c r="I44" s="1"/>
      <c r="J44" s="1"/>
      <c r="K44" s="1"/>
      <c r="L44" s="1"/>
      <c r="M44" s="1"/>
      <c r="N44" s="1"/>
      <c r="O44" s="1"/>
      <c r="P44" s="1"/>
      <c r="Q44" s="1"/>
      <c r="R44" s="1"/>
      <c r="S44" s="1"/>
      <c r="T44" s="1"/>
      <c r="U44" s="1"/>
      <c r="V44" s="1"/>
      <c r="W44" s="1"/>
    </row>
    <row r="45" spans="2:51" s="52" customFormat="1" ht="12.75" x14ac:dyDescent="0.2">
      <c r="B45" s="60" t="s">
        <v>71</v>
      </c>
      <c r="C45" s="53"/>
    </row>
    <row r="46" spans="2:51" x14ac:dyDescent="0.2">
      <c r="C46" s="25"/>
    </row>
    <row r="47" spans="2:51" x14ac:dyDescent="0.2">
      <c r="B47" s="39" t="s">
        <v>46</v>
      </c>
      <c r="C47" s="40">
        <f>'Input data'!C49</f>
        <v>0.75</v>
      </c>
    </row>
    <row r="48" spans="2:51" x14ac:dyDescent="0.2">
      <c r="B48" s="41" t="s">
        <v>189</v>
      </c>
      <c r="C48" s="42">
        <f>'Input data'!C50</f>
        <v>0.52200000000000002</v>
      </c>
    </row>
    <row r="49" spans="2:48" x14ac:dyDescent="0.2">
      <c r="C49" s="43"/>
    </row>
    <row r="50" spans="2:48" outlineLevel="1" x14ac:dyDescent="0.2">
      <c r="B50" s="15" t="s">
        <v>72</v>
      </c>
      <c r="C50" s="23">
        <v>0</v>
      </c>
      <c r="D50" s="23">
        <f>IF(AND(ABS((D12-C12)-('Input data'!D13-'Input data'!C13))&gt;0.0001,ABS(D12-C12)&gt;0.0001,D$10&gt;$C$5),4,IF(C50=4,3,IF(C50=3,2,IF(C50=2,1,0))))</f>
        <v>0</v>
      </c>
      <c r="E50" s="23">
        <f>IF(AND(ABS((E12-D12)-('Input data'!E13-'Input data'!D13))&gt;0.0001,ABS(E12-D12)&gt;0.0001,E$10&gt;$C$5),4,IF(D50=4,3,IF(D50=3,2,IF(D50=2,1,0))))</f>
        <v>0</v>
      </c>
      <c r="F50" s="23">
        <f>IF(AND(ABS((F12-E12)-('Input data'!F13-'Input data'!E13))&gt;0.0001,ABS(F12-E12)&gt;0.0001,F$10&gt;$C$5),4,IF(E50=4,3,IF(E50=3,2,IF(E50=2,1,0))))</f>
        <v>0</v>
      </c>
      <c r="G50" s="23">
        <f>IF(AND(ABS((G12-F12)-('Input data'!G13-'Input data'!F13))&gt;0.0001,ABS(G12-F12)&gt;0.0001,G$10&gt;$C$5),4,IF(F50=4,3,IF(F50=3,2,IF(F50=2,1,0))))</f>
        <v>0</v>
      </c>
      <c r="H50" s="23">
        <f>IF(AND(ABS((H12-G12)-('Input data'!H13-'Input data'!G13))&gt;0.0001,ABS(H12-G12)&gt;0.0001,H$10&gt;$C$5),4,IF(G50=4,3,IF(G50=3,2,IF(G50=2,1,0))))</f>
        <v>0</v>
      </c>
      <c r="I50" s="23">
        <f>IF(AND(ABS((I12-H12)-('Input data'!I13-'Input data'!H13))&gt;0.0001,ABS(I12-H12)&gt;0.0001,I$10&gt;$C$5),4,IF(H50=4,3,IF(H50=3,2,IF(H50=2,1,0))))</f>
        <v>0</v>
      </c>
      <c r="J50" s="23">
        <f>IF(AND(ABS((J12-I12)-('Input data'!J13-'Input data'!I13))&gt;0.0001,ABS(J12-I12)&gt;0.0001,J$10&gt;$C$5),4,IF(I50=4,3,IF(I50=3,2,IF(I50=2,1,0))))</f>
        <v>0</v>
      </c>
      <c r="K50" s="23">
        <f>IF(AND(ABS((K12-J12)-('Input data'!K13-'Input data'!J13))&gt;0.0001,ABS(K12-J12)&gt;0.0001,K$10&gt;$C$5),4,IF(J50=4,3,IF(J50=3,2,IF(J50=2,1,0))))</f>
        <v>0</v>
      </c>
      <c r="L50" s="23">
        <f>IF(AND(ABS((L12-K12)-('Input data'!L13-'Input data'!K13))&gt;0.0001,ABS(L12-K12)&gt;0.0001,L$10&gt;$C$5),4,IF(K50=4,3,IF(K50=3,2,IF(K50=2,1,0))))</f>
        <v>0</v>
      </c>
      <c r="M50" s="23">
        <f>IF(AND(ABS((M12-L12)-('Input data'!M13-'Input data'!L13))&gt;0.0001,ABS(M12-L12)&gt;0.0001,M$10&gt;$C$5),4,IF(L50=4,3,IF(L50=3,2,IF(L50=2,1,0))))</f>
        <v>0</v>
      </c>
      <c r="N50" s="23">
        <f>IF(AND(ABS((N12-M12)-('Input data'!N13-'Input data'!M13))&gt;0.0001,ABS(N12-M12)&gt;0.0001,N$10&gt;$C$5),4,IF(M50=4,3,IF(M50=3,2,IF(M50=2,1,0))))</f>
        <v>0</v>
      </c>
      <c r="O50" s="23">
        <f>IF(AND(ABS((O12-N12)-('Input data'!O13-'Input data'!N13))&gt;0.0001,ABS(O12-N12)&gt;0.0001,O$10&gt;$C$5),4,IF(N50=4,3,IF(N50=3,2,IF(N50=2,1,0))))</f>
        <v>0</v>
      </c>
      <c r="P50" s="23">
        <f>IF(AND(ABS((P12-O12)-('Input data'!P13-'Input data'!O13))&gt;0.0001,ABS(P12-O12)&gt;0.0001,P$10&gt;$C$5),4,IF(O50=4,3,IF(O50=3,2,IF(O50=2,1,0))))</f>
        <v>0</v>
      </c>
      <c r="Q50" s="23">
        <f>IF(AND(ABS((Q12-P12)-('Input data'!Q13-'Input data'!P13))&gt;0.0001,ABS(Q12-P12)&gt;0.0001,Q$10&gt;$C$5),4,IF(P50=4,3,IF(P50=3,2,IF(P50=2,1,0))))</f>
        <v>0</v>
      </c>
      <c r="R50" s="23">
        <f>IF(AND(ABS((R12-Q12)-('Input data'!R13-'Input data'!Q13))&gt;0.0001,ABS(R12-Q12)&gt;0.0001,R$10&gt;$C$5),4,IF(Q50=4,3,IF(Q50=3,2,IF(Q50=2,1,0))))</f>
        <v>0</v>
      </c>
      <c r="S50" s="23">
        <f>IF(AND(ABS((S12-R12)-('Input data'!S13-'Input data'!R13))&gt;0.0001,ABS(S12-R12)&gt;0.0001,S$10&gt;$C$5),4,IF(R50=4,3,IF(R50=3,2,IF(R50=2,1,0))))</f>
        <v>0</v>
      </c>
      <c r="T50" s="23">
        <f>IF(AND(ABS((T12-S12)-('Input data'!T13-'Input data'!S13))&gt;0.0001,ABS(T12-S12)&gt;0.0001,T$10&gt;$C$5),4,IF(S50=4,3,IF(S50=3,2,IF(S50=2,1,0))))</f>
        <v>0</v>
      </c>
      <c r="U50" s="23">
        <f>IF(AND(ABS((U12-T12)-('Input data'!U13-'Input data'!T13))&gt;0.0001,ABS(U12-T12)&gt;0.0001,U$10&gt;$C$5),4,IF(T50=4,3,IF(T50=3,2,IF(T50=2,1,0))))</f>
        <v>0</v>
      </c>
      <c r="V50" s="23">
        <f>IF(AND(ABS((V12-U12)-('Input data'!V13-'Input data'!U13))&gt;0.0001,ABS(V12-U12)&gt;0.0001,V$10&gt;$C$5),4,IF(U50=4,3,IF(U50=3,2,IF(U50=2,1,0))))</f>
        <v>0</v>
      </c>
      <c r="W50" s="23">
        <f>IF(AND(ABS((W12-V12)-('Input data'!W13-'Input data'!V13))&gt;0.0001,ABS(W12-V12)&gt;0.0001,W$10&gt;$C$5),4,IF(V50=4,3,IF(V50=3,2,IF(V50=2,1,0))))</f>
        <v>0</v>
      </c>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row>
    <row r="51" spans="2:48" outlineLevel="1" x14ac:dyDescent="0.2">
      <c r="B51" s="15" t="s">
        <v>73</v>
      </c>
      <c r="C51" s="23">
        <v>0</v>
      </c>
      <c r="D51" s="23">
        <f t="shared" ref="D51:W51" si="12">IF(C50=4,2/3*C30,IF(C50=3,1/3*B30,0))</f>
        <v>0</v>
      </c>
      <c r="E51" s="23">
        <f t="shared" si="12"/>
        <v>0</v>
      </c>
      <c r="F51" s="23">
        <f t="shared" si="12"/>
        <v>0</v>
      </c>
      <c r="G51" s="23">
        <f t="shared" si="12"/>
        <v>0</v>
      </c>
      <c r="H51" s="23">
        <f t="shared" si="12"/>
        <v>0</v>
      </c>
      <c r="I51" s="23">
        <f t="shared" si="12"/>
        <v>0</v>
      </c>
      <c r="J51" s="23">
        <f t="shared" si="12"/>
        <v>0</v>
      </c>
      <c r="K51" s="23">
        <f t="shared" si="12"/>
        <v>0</v>
      </c>
      <c r="L51" s="23">
        <f t="shared" si="12"/>
        <v>0</v>
      </c>
      <c r="M51" s="23">
        <f t="shared" si="12"/>
        <v>0</v>
      </c>
      <c r="N51" s="23">
        <f t="shared" si="12"/>
        <v>0</v>
      </c>
      <c r="O51" s="23">
        <f t="shared" si="12"/>
        <v>0</v>
      </c>
      <c r="P51" s="23">
        <f t="shared" si="12"/>
        <v>0</v>
      </c>
      <c r="Q51" s="23">
        <f t="shared" si="12"/>
        <v>0</v>
      </c>
      <c r="R51" s="23">
        <f t="shared" si="12"/>
        <v>0</v>
      </c>
      <c r="S51" s="23">
        <f t="shared" si="12"/>
        <v>0</v>
      </c>
      <c r="T51" s="23">
        <f t="shared" si="12"/>
        <v>0</v>
      </c>
      <c r="U51" s="23">
        <f t="shared" si="12"/>
        <v>0</v>
      </c>
      <c r="V51" s="23">
        <f t="shared" si="12"/>
        <v>0</v>
      </c>
      <c r="W51" s="23">
        <f t="shared" si="12"/>
        <v>0</v>
      </c>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row>
    <row r="52" spans="2:48" outlineLevel="1" x14ac:dyDescent="0.2">
      <c r="B52" s="15" t="s">
        <v>74</v>
      </c>
      <c r="C52" s="23"/>
      <c r="D52" s="23">
        <f>'Input data'!D30-$C$47*((D12-C12)-('Input data'!D13-'Input data'!C13))</f>
        <v>9.4330219999999994</v>
      </c>
      <c r="E52" s="23">
        <f>'Input data'!E30-$C$47*((E12-D12)-('Input data'!E13-'Input data'!D13))</f>
        <v>-3.198788</v>
      </c>
      <c r="F52" s="23">
        <f>'Input data'!F30-$C$47*((F12-E12)-('Input data'!F13-'Input data'!E13))</f>
        <v>1.2437020000000001</v>
      </c>
      <c r="G52" s="23">
        <f>'Input data'!G30-$C$47*((G12-F12))</f>
        <v>3.3938060000000001</v>
      </c>
      <c r="H52" s="23">
        <f>'Input data'!H30-$C$47*((H12-G12))</f>
        <v>3.7461139999999999</v>
      </c>
      <c r="I52" s="23">
        <f>'Input data'!I30-$C$47*((I12-H12))</f>
        <v>3.8023690000000001</v>
      </c>
      <c r="J52" s="23">
        <f>'Input data'!J30-$C$47*((J12-I12))</f>
        <v>3.5773860000000002</v>
      </c>
      <c r="K52" s="23">
        <f>'Input data'!K30-$C$47*((K12-J12))</f>
        <v>3.1642039999999998</v>
      </c>
      <c r="L52" s="23">
        <f>'Input data'!L30-$C$47*((L12-K12))</f>
        <v>2.9380139999999999</v>
      </c>
      <c r="M52" s="23">
        <f>'Input data'!M30-$C$47*((M12-L12))</f>
        <v>2.6694110000000002</v>
      </c>
      <c r="N52" s="23">
        <f>'Input data'!N30-$C$47*((N12-M12))</f>
        <v>2.3597860000000002</v>
      </c>
      <c r="O52" s="23">
        <f>'Input data'!O30-$C$47*((O12-N12))</f>
        <v>2.0134089999999998</v>
      </c>
      <c r="P52" s="23">
        <f>'Input data'!P30-$C$47*((P12-O12))</f>
        <v>1.9504570000000001</v>
      </c>
      <c r="Q52" s="23">
        <f>'Input data'!Q30-$C$47*((Q12-P12))</f>
        <v>1.887507</v>
      </c>
      <c r="R52" s="23">
        <f>'Input data'!R30-$C$47*((R12-Q12))</f>
        <v>1.8245469999999999</v>
      </c>
      <c r="S52" s="23">
        <f>'Input data'!S30-$C$47*((S12-R12))</f>
        <v>1.823224</v>
      </c>
      <c r="T52" s="23">
        <f>'Input data'!T30-$C$47*((T12-S12))</f>
        <v>1.7845059999999999</v>
      </c>
      <c r="U52" s="23">
        <f>'Input data'!U30-$C$47*((U12-T12))</f>
        <v>1.734372</v>
      </c>
      <c r="V52" s="23">
        <f>'Input data'!V30-$C$47*((V12-U12))</f>
        <v>1.6682140000000001</v>
      </c>
      <c r="W52" s="23">
        <f>'Input data'!W30-$C$47*((W12-V12))</f>
        <v>1.5711120000000001</v>
      </c>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row>
    <row r="53" spans="2:48" x14ac:dyDescent="0.2">
      <c r="C53" s="25"/>
    </row>
    <row r="54" spans="2:48" s="52" customFormat="1" ht="12.75" outlineLevel="1" x14ac:dyDescent="0.2">
      <c r="B54" s="57" t="s">
        <v>75</v>
      </c>
      <c r="C54" s="54"/>
      <c r="E54" s="55"/>
      <c r="F54" s="54"/>
    </row>
    <row r="55" spans="2:48" outlineLevel="1" x14ac:dyDescent="0.2">
      <c r="B55" s="30"/>
      <c r="C55" s="18"/>
      <c r="E55" s="31"/>
      <c r="F55" s="18"/>
    </row>
    <row r="56" spans="2:48" outlineLevel="1" x14ac:dyDescent="0.2">
      <c r="B56" s="66"/>
      <c r="C56" s="67">
        <v>2021</v>
      </c>
      <c r="D56" s="67">
        <v>2022</v>
      </c>
      <c r="E56" s="67">
        <v>2023</v>
      </c>
      <c r="F56" s="67">
        <v>2024</v>
      </c>
      <c r="G56" s="67">
        <v>2025</v>
      </c>
      <c r="H56" s="67">
        <v>2026</v>
      </c>
      <c r="I56" s="67">
        <v>2027</v>
      </c>
      <c r="J56" s="67">
        <v>2028</v>
      </c>
      <c r="K56" s="67">
        <v>2029</v>
      </c>
      <c r="L56" s="67">
        <v>2030</v>
      </c>
      <c r="M56" s="67">
        <v>2031</v>
      </c>
      <c r="N56" s="67">
        <v>2032</v>
      </c>
      <c r="O56" s="67">
        <v>2033</v>
      </c>
      <c r="P56" s="67">
        <v>2034</v>
      </c>
      <c r="Q56" s="67">
        <v>2035</v>
      </c>
      <c r="R56" s="67">
        <v>2036</v>
      </c>
      <c r="S56" s="67">
        <v>2037</v>
      </c>
      <c r="T56" s="67">
        <v>2038</v>
      </c>
      <c r="U56" s="67">
        <v>2039</v>
      </c>
      <c r="V56" s="67">
        <v>2040</v>
      </c>
      <c r="W56" s="67">
        <v>2041</v>
      </c>
    </row>
    <row r="57" spans="2:48" ht="10.5" customHeight="1" outlineLevel="1" x14ac:dyDescent="0.2">
      <c r="B57" s="68" t="s">
        <v>76</v>
      </c>
      <c r="C57" s="32">
        <f>+'Input data'!C12</f>
        <v>54.398470000000003</v>
      </c>
      <c r="D57" s="32">
        <f>+C57+D58</f>
        <v>44.391771547524669</v>
      </c>
      <c r="E57" s="32">
        <f>+D57+E58</f>
        <v>43.730433720991776</v>
      </c>
      <c r="F57" s="32">
        <f>+E57+F58</f>
        <v>42.488825337098667</v>
      </c>
      <c r="G57" s="32">
        <f>+F57+G58</f>
        <v>41.199313755606511</v>
      </c>
      <c r="H57" s="32">
        <f t="shared" ref="H57:S57" si="13">+G57+H58</f>
        <v>37.456894889337612</v>
      </c>
      <c r="I57" s="32">
        <f t="shared" si="13"/>
        <v>33.593172392013621</v>
      </c>
      <c r="J57" s="32">
        <f t="shared" si="13"/>
        <v>29.816315209921697</v>
      </c>
      <c r="K57" s="32">
        <f t="shared" si="13"/>
        <v>26.364042554448975</v>
      </c>
      <c r="L57" s="32">
        <f t="shared" si="13"/>
        <v>23.177269442948791</v>
      </c>
      <c r="M57" s="32">
        <f t="shared" si="13"/>
        <v>20.257620288406187</v>
      </c>
      <c r="N57" s="32">
        <f t="shared" si="13"/>
        <v>17.655639058329729</v>
      </c>
      <c r="O57" s="32">
        <f t="shared" si="13"/>
        <v>15.251050832314153</v>
      </c>
      <c r="P57" s="32">
        <f t="shared" si="13"/>
        <v>13.045406277985578</v>
      </c>
      <c r="Q57" s="32">
        <f t="shared" si="13"/>
        <v>11.019664985888102</v>
      </c>
      <c r="R57" s="32">
        <f t="shared" si="13"/>
        <v>9.1812598024376513</v>
      </c>
      <c r="S57" s="32">
        <f t="shared" si="13"/>
        <v>7.5342408293446272</v>
      </c>
      <c r="T57" s="32">
        <f>+S57+T58</f>
        <v>5.9910510999069437</v>
      </c>
      <c r="U57" s="32">
        <f>+T57+U58</f>
        <v>4.6007501717729626</v>
      </c>
      <c r="V57" s="32">
        <f t="shared" ref="V57" si="14">+U57+V58</f>
        <v>3.3675776160229378</v>
      </c>
      <c r="W57" s="32">
        <f t="shared" ref="W57" si="15">+V57+W58</f>
        <v>2.297195053712723</v>
      </c>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row>
    <row r="58" spans="2:48" outlineLevel="1" x14ac:dyDescent="0.2">
      <c r="B58" s="69" t="s">
        <v>77</v>
      </c>
      <c r="C58" s="33"/>
      <c r="D58" s="33">
        <f>-D59+D67+D72</f>
        <v>-10.006698452475334</v>
      </c>
      <c r="E58" s="33">
        <f>-E59+E67+E72</f>
        <v>-0.66133782653289608</v>
      </c>
      <c r="F58" s="33">
        <f>-F59+F67+F72</f>
        <v>-1.2416083838931098</v>
      </c>
      <c r="G58" s="33">
        <f>-G59+G67+G72</f>
        <v>-1.2895115814921554</v>
      </c>
      <c r="H58" s="33">
        <f t="shared" ref="H58:S58" si="16">-H59+H67+H72</f>
        <v>-3.7424188662688991</v>
      </c>
      <c r="I58" s="33">
        <f t="shared" si="16"/>
        <v>-3.8637224973239879</v>
      </c>
      <c r="J58" s="33">
        <f t="shared" si="16"/>
        <v>-3.7768571820919248</v>
      </c>
      <c r="K58" s="33">
        <f t="shared" si="16"/>
        <v>-3.4522726554727217</v>
      </c>
      <c r="L58" s="33">
        <f t="shared" si="16"/>
        <v>-3.1867731115001838</v>
      </c>
      <c r="M58" s="33">
        <f t="shared" si="16"/>
        <v>-2.9196491545426029</v>
      </c>
      <c r="N58" s="33">
        <f t="shared" si="16"/>
        <v>-2.6019812300764573</v>
      </c>
      <c r="O58" s="33">
        <f t="shared" si="16"/>
        <v>-2.4045882260155764</v>
      </c>
      <c r="P58" s="33">
        <f t="shared" si="16"/>
        <v>-2.2056445543285745</v>
      </c>
      <c r="Q58" s="33">
        <f t="shared" si="16"/>
        <v>-2.0257412920974751</v>
      </c>
      <c r="R58" s="33">
        <f t="shared" si="16"/>
        <v>-1.8384051834504502</v>
      </c>
      <c r="S58" s="33">
        <f t="shared" si="16"/>
        <v>-1.6470189730930245</v>
      </c>
      <c r="T58" s="33">
        <f>-T59+T67+T72</f>
        <v>-1.5431897294376831</v>
      </c>
      <c r="U58" s="33">
        <f t="shared" ref="U58:W58" si="17">-U59+U67+U72</f>
        <v>-1.3903009281339811</v>
      </c>
      <c r="V58" s="33">
        <f t="shared" si="17"/>
        <v>-1.2331725557500248</v>
      </c>
      <c r="W58" s="33">
        <f t="shared" si="17"/>
        <v>-1.0703825623102148</v>
      </c>
    </row>
    <row r="59" spans="2:48" outlineLevel="1" x14ac:dyDescent="0.2">
      <c r="B59" s="65" t="s">
        <v>78</v>
      </c>
      <c r="C59" s="34"/>
      <c r="D59" s="34">
        <f>D60+D61-D62-D63-D64-D65-D66</f>
        <v>2.3626830524753339</v>
      </c>
      <c r="E59" s="34">
        <f t="shared" ref="E59:R59" si="18">E60+E61-E62-E63-E64-E65-E66</f>
        <v>2.3411552265328961</v>
      </c>
      <c r="F59" s="34">
        <f t="shared" si="18"/>
        <v>1.9481771838931101</v>
      </c>
      <c r="G59" s="34">
        <f t="shared" si="18"/>
        <v>2.0021495814921515</v>
      </c>
      <c r="H59" s="34">
        <f t="shared" si="18"/>
        <v>2.1777027953083095</v>
      </c>
      <c r="I59" s="34">
        <f t="shared" si="18"/>
        <v>2.4117697550346588</v>
      </c>
      <c r="J59" s="34">
        <f t="shared" si="18"/>
        <v>2.5288044308927482</v>
      </c>
      <c r="K59" s="34">
        <f t="shared" si="18"/>
        <v>2.4450921249032542</v>
      </c>
      <c r="L59" s="34">
        <f t="shared" si="18"/>
        <v>2.3389503249032675</v>
      </c>
      <c r="M59" s="34">
        <f t="shared" si="18"/>
        <v>2.2166895417592811</v>
      </c>
      <c r="N59" s="34">
        <f t="shared" si="18"/>
        <v>2.0358587616911619</v>
      </c>
      <c r="O59" s="34">
        <f t="shared" si="18"/>
        <v>1.9598164499936888</v>
      </c>
      <c r="P59" s="34">
        <f t="shared" si="18"/>
        <v>1.8368152620071476</v>
      </c>
      <c r="Q59" s="34">
        <f t="shared" si="18"/>
        <v>1.7215355113263722</v>
      </c>
      <c r="R59" s="34">
        <f t="shared" si="18"/>
        <v>1.5909826860332095</v>
      </c>
      <c r="S59" s="34">
        <f>S60+S61-S62-S63-S64-S65-S66</f>
        <v>1.4433998607267446</v>
      </c>
      <c r="T59" s="34">
        <f>T60+T61-T62-T63-T64-T65-T66</f>
        <v>1.3808790864232365</v>
      </c>
      <c r="U59" s="34">
        <f>U60+U61-U62-U63-U64-U65-U66</f>
        <v>1.2656993388272422</v>
      </c>
      <c r="V59" s="34">
        <f t="shared" ref="V59:W59" si="19">V60+V61-V62-V63-V64-V65-V66</f>
        <v>1.1416290791319328</v>
      </c>
      <c r="W59" s="34">
        <f t="shared" si="19"/>
        <v>1.0074193348350047</v>
      </c>
    </row>
    <row r="60" spans="2:48" outlineLevel="1" x14ac:dyDescent="0.2">
      <c r="B60" s="64" t="s">
        <v>79</v>
      </c>
      <c r="C60" s="1"/>
      <c r="D60" s="1">
        <f>D12</f>
        <v>-2.376722</v>
      </c>
      <c r="E60" s="1">
        <f>E12</f>
        <v>1.7124649999999999</v>
      </c>
      <c r="F60" s="1">
        <f>F12</f>
        <v>2.5288010000000001</v>
      </c>
      <c r="G60" s="1">
        <f t="shared" ref="G60:W60" si="20">IF(G12="",F60,G12)</f>
        <v>2.5288010000000001</v>
      </c>
      <c r="H60" s="1">
        <f t="shared" si="20"/>
        <v>2.5288010000000001</v>
      </c>
      <c r="I60" s="1">
        <f t="shared" si="20"/>
        <v>2.5288010000000001</v>
      </c>
      <c r="J60" s="1">
        <f t="shared" si="20"/>
        <v>2.5288010000000001</v>
      </c>
      <c r="K60" s="1">
        <f t="shared" si="20"/>
        <v>2.5288010000000001</v>
      </c>
      <c r="L60" s="1">
        <f t="shared" si="20"/>
        <v>2.5288010000000001</v>
      </c>
      <c r="M60" s="1">
        <f t="shared" si="20"/>
        <v>2.5288010000000001</v>
      </c>
      <c r="N60" s="1">
        <f t="shared" si="20"/>
        <v>2.5288010000000001</v>
      </c>
      <c r="O60" s="1">
        <f t="shared" si="20"/>
        <v>2.5288010000000001</v>
      </c>
      <c r="P60" s="1">
        <f t="shared" si="20"/>
        <v>2.5288010000000001</v>
      </c>
      <c r="Q60" s="1">
        <f t="shared" si="20"/>
        <v>2.5288010000000001</v>
      </c>
      <c r="R60" s="1">
        <f t="shared" si="20"/>
        <v>2.5288010000000001</v>
      </c>
      <c r="S60" s="1">
        <f t="shared" si="20"/>
        <v>2.5288010000000001</v>
      </c>
      <c r="T60" s="1">
        <f t="shared" si="20"/>
        <v>2.5288010000000001</v>
      </c>
      <c r="U60" s="1">
        <f t="shared" si="20"/>
        <v>2.5288010000000001</v>
      </c>
      <c r="V60" s="1">
        <f t="shared" si="20"/>
        <v>2.5288010000000001</v>
      </c>
      <c r="W60" s="1">
        <f t="shared" si="20"/>
        <v>2.5288010000000001</v>
      </c>
    </row>
    <row r="61" spans="2:48" outlineLevel="1" x14ac:dyDescent="0.2">
      <c r="B61" s="64" t="s">
        <v>80</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64" t="s">
        <v>81</v>
      </c>
      <c r="C62" s="1"/>
      <c r="D62" s="1">
        <f t="shared" ref="D62:W62" si="21">-$C$48*D30</f>
        <v>-4.7394050524753339</v>
      </c>
      <c r="E62" s="1">
        <f t="shared" si="21"/>
        <v>-0.62869022653289608</v>
      </c>
      <c r="F62" s="1">
        <f t="shared" si="21"/>
        <v>0.58062381610688996</v>
      </c>
      <c r="G62" s="1">
        <f t="shared" si="21"/>
        <v>0.52665141850784858</v>
      </c>
      <c r="H62" s="1">
        <f t="shared" si="21"/>
        <v>0.35109820469169056</v>
      </c>
      <c r="I62" s="1">
        <f t="shared" si="21"/>
        <v>0.11703124496534133</v>
      </c>
      <c r="J62" s="1">
        <f t="shared" si="21"/>
        <v>-3.4308927479020923E-6</v>
      </c>
      <c r="K62" s="1">
        <f t="shared" si="21"/>
        <v>-2.9249032559963697E-6</v>
      </c>
      <c r="L62" s="1">
        <f t="shared" si="21"/>
        <v>-2.9249032675870978E-6</v>
      </c>
      <c r="M62" s="1">
        <f>-$C$48*M30</f>
        <v>-3.9417592821777706E-6</v>
      </c>
      <c r="N62" s="1">
        <f t="shared" si="21"/>
        <v>-4.9616911631300557E-6</v>
      </c>
      <c r="O62" s="1">
        <f t="shared" si="21"/>
        <v>-4.449993689537024E-6</v>
      </c>
      <c r="P62" s="1">
        <f t="shared" si="21"/>
        <v>-4.9620071495670713E-6</v>
      </c>
      <c r="Q62" s="1">
        <f t="shared" si="21"/>
        <v>-7.0113263726856449E-6</v>
      </c>
      <c r="R62" s="1">
        <f t="shared" si="21"/>
        <v>-5.9860332119132669E-6</v>
      </c>
      <c r="S62" s="1">
        <f t="shared" si="21"/>
        <v>-4.9607267449847116E-6</v>
      </c>
      <c r="T62" s="1">
        <f t="shared" si="21"/>
        <v>-5.9864232399231559E-6</v>
      </c>
      <c r="U62" s="1">
        <f>-$C$48*U30</f>
        <v>-8.0388272426734627E-6</v>
      </c>
      <c r="V62" s="1">
        <f t="shared" si="21"/>
        <v>-9.5791319328686345E-6</v>
      </c>
      <c r="W62" s="1">
        <f t="shared" si="21"/>
        <v>-1.1634835004636912E-5</v>
      </c>
    </row>
    <row r="63" spans="2:48" outlineLevel="1" x14ac:dyDescent="0.2">
      <c r="B63" s="64" t="s">
        <v>82</v>
      </c>
      <c r="C63" s="1"/>
      <c r="D63" s="1">
        <f t="shared" ref="D63:W63" si="22">-D14</f>
        <v>0</v>
      </c>
      <c r="E63" s="1">
        <f t="shared" si="22"/>
        <v>0</v>
      </c>
      <c r="F63" s="1">
        <f t="shared" si="22"/>
        <v>0</v>
      </c>
      <c r="G63" s="1">
        <f t="shared" si="22"/>
        <v>0</v>
      </c>
      <c r="H63" s="1">
        <f t="shared" si="22"/>
        <v>0</v>
      </c>
      <c r="I63" s="1">
        <f t="shared" si="22"/>
        <v>0</v>
      </c>
      <c r="J63" s="1">
        <f t="shared" si="22"/>
        <v>0</v>
      </c>
      <c r="K63" s="1">
        <f t="shared" si="22"/>
        <v>0</v>
      </c>
      <c r="L63" s="1">
        <f t="shared" si="22"/>
        <v>0</v>
      </c>
      <c r="M63" s="1">
        <f t="shared" si="22"/>
        <v>0</v>
      </c>
      <c r="N63" s="1">
        <f t="shared" si="22"/>
        <v>0</v>
      </c>
      <c r="O63" s="1">
        <f t="shared" si="22"/>
        <v>0</v>
      </c>
      <c r="P63" s="1">
        <f t="shared" si="22"/>
        <v>0</v>
      </c>
      <c r="Q63" s="1">
        <f t="shared" si="22"/>
        <v>0</v>
      </c>
      <c r="R63" s="1">
        <f t="shared" si="22"/>
        <v>0</v>
      </c>
      <c r="S63" s="1">
        <f t="shared" si="22"/>
        <v>0</v>
      </c>
      <c r="T63" s="1">
        <f t="shared" si="22"/>
        <v>0</v>
      </c>
      <c r="U63" s="1">
        <f t="shared" si="22"/>
        <v>0</v>
      </c>
      <c r="V63" s="1">
        <f t="shared" si="22"/>
        <v>0</v>
      </c>
      <c r="W63" s="1">
        <f t="shared" si="22"/>
        <v>0</v>
      </c>
    </row>
    <row r="64" spans="2:48" outlineLevel="1" x14ac:dyDescent="0.2">
      <c r="B64" s="64" t="s">
        <v>83</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8.5910000000001929E-2</v>
      </c>
      <c r="L64" s="1">
        <f>IF(L$56&lt;=$C$6,0,HLOOKUP(L$56,'Input data'!$C$9:$BB$26,12,FALSE)-HLOOKUP($C$6,'Input data'!$C$9:$BB$26,12,FALSE))</f>
        <v>0.19425000000000026</v>
      </c>
      <c r="M64" s="1">
        <f>IF(M$56&lt;=$C$6,0,HLOOKUP(M$56,'Input data'!$C$9:$BB$26,12,FALSE)-HLOOKUP($C$6,'Input data'!$C$9:$BB$26,12,FALSE))</f>
        <v>0.31871000000000116</v>
      </c>
      <c r="N64" s="1">
        <f>IF(N$56&lt;=$C$6,0,HLOOKUP(N$56,'Input data'!$C$9:$BB$26,12,FALSE)-HLOOKUP($C$6,'Input data'!$C$9:$BB$26,12,FALSE))</f>
        <v>0.50174000000000163</v>
      </c>
      <c r="O64" s="1">
        <f>IF(O$56&lt;=$C$6,0,HLOOKUP(O$56,'Input data'!$C$9:$BB$26,12,FALSE)-HLOOKUP($C$6,'Input data'!$C$9:$BB$26,12,FALSE))</f>
        <v>0.57998000000000083</v>
      </c>
      <c r="P64" s="1">
        <f>IF(P$56&lt;=$C$6,0,HLOOKUP(P$56,'Input data'!$C$9:$BB$26,12,FALSE)-HLOOKUP($C$6,'Input data'!$C$9:$BB$26,12,FALSE))</f>
        <v>0.70518000000000214</v>
      </c>
      <c r="Q64" s="1">
        <f>IF(Q$56&lt;=$C$6,0,HLOOKUP(Q$56,'Input data'!$C$9:$BB$26,12,FALSE)-HLOOKUP($C$6,'Input data'!$C$9:$BB$26,12,FALSE))</f>
        <v>0.82266000000000084</v>
      </c>
      <c r="R64" s="1">
        <f>IF(R$56&lt;=$C$6,0,HLOOKUP(R$56,'Input data'!$C$9:$BB$26,12,FALSE)-HLOOKUP($C$6,'Input data'!$C$9:$BB$26,12,FALSE))</f>
        <v>0.95541000000000231</v>
      </c>
      <c r="S64" s="1">
        <f>IF(S$56&lt;=$C$6,0,HLOOKUP(S$56,'Input data'!$C$9:$BB$26,12,FALSE)-HLOOKUP($C$6,'Input data'!$C$9:$BB$26,12,FALSE))</f>
        <v>1.1051900000000003</v>
      </c>
      <c r="T64" s="1">
        <f>IF(T$56&lt;=$C$6,0,HLOOKUP(T$56,'Input data'!$C$9:$BB$26,12,FALSE)-HLOOKUP($C$6,'Input data'!$C$9:$BB$26,12,FALSE))</f>
        <v>1.1699100000000033</v>
      </c>
      <c r="U64" s="1">
        <f>IF(U$56&lt;=$C$6,0,HLOOKUP(U$56,'Input data'!$C$9:$BB$26,12,FALSE)-HLOOKUP($C$6,'Input data'!$C$9:$BB$26,12,FALSE))</f>
        <v>1.2872900000000005</v>
      </c>
      <c r="V64" s="1">
        <f>IF(V$56&lt;=$C$6,0,HLOOKUP(V$56,'Input data'!$C$9:$BB$26,12,FALSE)-HLOOKUP($C$6,'Input data'!$C$9:$BB$26,12,FALSE))</f>
        <v>1.4135600000000004</v>
      </c>
      <c r="W64" s="1">
        <f>IF(W$56&lt;=$C$6,0,HLOOKUP(W$56,'Input data'!$C$9:$BB$26,12,FALSE)-HLOOKUP($C$6,'Input data'!$C$9:$BB$26,12,FALSE))</f>
        <v>1.5499700000000001</v>
      </c>
    </row>
    <row r="65" spans="2:23" outlineLevel="1" x14ac:dyDescent="0.2">
      <c r="B65" s="64" t="s">
        <v>84</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-2.1982000000000113E-3</v>
      </c>
      <c r="L65" s="1">
        <f>IF(L$56&lt;=$C$6,0,-HLOOKUP(L$56,'Input data'!$C$9:$BB$26,18,FALSE)+HLOOKUP($C$6,'Input data'!$C$9:$BB$26,18,FALSE))</f>
        <v>-4.3963999999999948E-3</v>
      </c>
      <c r="M65" s="1">
        <f>IF(M$56&lt;=$C$6,0,-HLOOKUP(M$56,'Input data'!$C$9:$BB$26,18,FALSE)+HLOOKUP($C$6,'Input data'!$C$9:$BB$26,18,FALSE))</f>
        <v>-6.594600000000006E-3</v>
      </c>
      <c r="N65" s="1">
        <f>IF(N$56&lt;=$C$6,0,-HLOOKUP(N$56,'Input data'!$C$9:$BB$26,18,FALSE)+HLOOKUP($C$6,'Input data'!$C$9:$BB$26,18,FALSE))</f>
        <v>-8.7928000000000173E-3</v>
      </c>
      <c r="O65" s="1">
        <f>IF(O$56&lt;=$C$6,0,-HLOOKUP(O$56,'Input data'!$C$9:$BB$26,18,FALSE)+HLOOKUP($C$6,'Input data'!$C$9:$BB$26,18,FALSE))</f>
        <v>-1.0991000000000001E-2</v>
      </c>
      <c r="P65" s="1">
        <f>IF(P$56&lt;=$C$6,0,-HLOOKUP(P$56,'Input data'!$C$9:$BB$26,18,FALSE)+HLOOKUP($C$6,'Input data'!$C$9:$BB$26,18,FALSE))</f>
        <v>-1.3189300000000015E-2</v>
      </c>
      <c r="Q65" s="1">
        <f>IF(Q$56&lt;=$C$6,0,-HLOOKUP(Q$56,'Input data'!$C$9:$BB$26,18,FALSE)+HLOOKUP($C$6,'Input data'!$C$9:$BB$26,18,FALSE))</f>
        <v>-1.5387499999999998E-2</v>
      </c>
      <c r="R65" s="1">
        <f>IF(R$56&lt;=$C$6,0,-HLOOKUP(R$56,'Input data'!$C$9:$BB$26,18,FALSE)+HLOOKUP($C$6,'Input data'!$C$9:$BB$26,18,FALSE))</f>
        <v>-1.758570000000001E-2</v>
      </c>
      <c r="S65" s="1">
        <f>IF(S$56&lt;=$C$6,0,-HLOOKUP(S$56,'Input data'!$C$9:$BB$26,18,FALSE)+HLOOKUP($C$6,'Input data'!$C$9:$BB$26,18,FALSE))</f>
        <v>-1.9783899999999993E-2</v>
      </c>
      <c r="T65" s="1">
        <f>IF(T$56&lt;=$C$6,0,-HLOOKUP(T$56,'Input data'!$C$9:$BB$26,18,FALSE)+HLOOKUP($C$6,'Input data'!$C$9:$BB$26,18,FALSE))</f>
        <v>-2.1982100000000004E-2</v>
      </c>
      <c r="U65" s="182">
        <f>IF(U$56&lt;=$C$6,0,-HLOOKUP(U$56,'Input data'!$C$9:$BB$26,18,FALSE)+HLOOKUP($C$6,'Input data'!$C$9:$BB$26,18,FALSE))</f>
        <v>-2.4180300000000016E-2</v>
      </c>
      <c r="V65" s="182">
        <f>IF(V$56&lt;=$C$6,0,-HLOOKUP(V$56,'Input data'!$C$9:$BB$26,18,FALSE)+HLOOKUP($C$6,'Input data'!$C$9:$BB$26,18,FALSE))</f>
        <v>-2.6378499999999999E-2</v>
      </c>
      <c r="W65" s="182">
        <f>IF(W$56&lt;=$C$6,0,-HLOOKUP(W$56,'Input data'!$C$9:$BB$26,18,FALSE)+HLOOKUP($C$6,'Input data'!$C$9:$BB$26,18,FALSE))</f>
        <v>-2.857670000000001E-2</v>
      </c>
    </row>
    <row r="66" spans="2:23" outlineLevel="1" x14ac:dyDescent="0.2">
      <c r="B66" s="64" t="s">
        <v>85</v>
      </c>
      <c r="C66" s="26"/>
      <c r="D66" s="26">
        <v>0</v>
      </c>
      <c r="E66" s="26">
        <v>0</v>
      </c>
      <c r="F66" s="26">
        <v>0</v>
      </c>
      <c r="G66" s="26">
        <v>0</v>
      </c>
      <c r="H66" s="26">
        <v>0</v>
      </c>
      <c r="I66" s="26">
        <v>0</v>
      </c>
      <c r="J66" s="26">
        <v>0</v>
      </c>
      <c r="K66" s="26">
        <v>0</v>
      </c>
      <c r="L66" s="26">
        <v>0</v>
      </c>
      <c r="M66" s="26">
        <v>0</v>
      </c>
      <c r="N66" s="26">
        <v>0</v>
      </c>
      <c r="O66" s="26">
        <v>0</v>
      </c>
      <c r="P66" s="26">
        <v>0</v>
      </c>
      <c r="Q66" s="26">
        <v>0</v>
      </c>
      <c r="R66" s="26">
        <v>0</v>
      </c>
      <c r="S66" s="26">
        <v>0</v>
      </c>
      <c r="T66" s="26">
        <v>0</v>
      </c>
      <c r="U66" s="183">
        <v>0</v>
      </c>
      <c r="V66" s="183">
        <v>0</v>
      </c>
      <c r="W66" s="183">
        <v>0</v>
      </c>
    </row>
    <row r="67" spans="2:23" outlineLevel="1" x14ac:dyDescent="0.2">
      <c r="B67" s="65" t="s">
        <v>86</v>
      </c>
      <c r="C67" s="34"/>
      <c r="D67" s="34">
        <f t="shared" ref="D67:O67" si="23">SUM(D68:D71)</f>
        <v>-7.1019560000000004</v>
      </c>
      <c r="E67" s="34">
        <f t="shared" si="23"/>
        <v>0.83701080000000005</v>
      </c>
      <c r="F67" s="34">
        <f t="shared" si="23"/>
        <v>-0.9299982</v>
      </c>
      <c r="G67" s="34">
        <f t="shared" si="23"/>
        <v>-1.4876040000000039</v>
      </c>
      <c r="H67" s="34">
        <f t="shared" si="23"/>
        <v>-1.5647160709605898</v>
      </c>
      <c r="I67" s="34">
        <f t="shared" si="23"/>
        <v>-1.451952742289329</v>
      </c>
      <c r="J67" s="34">
        <f t="shared" si="23"/>
        <v>-1.2480527511991766</v>
      </c>
      <c r="K67" s="34">
        <f t="shared" si="23"/>
        <v>-1.0071805305694674</v>
      </c>
      <c r="L67" s="34">
        <f t="shared" si="23"/>
        <v>-0.84782278659691657</v>
      </c>
      <c r="M67" s="34">
        <f t="shared" si="23"/>
        <v>-0.70295961278332175</v>
      </c>
      <c r="N67" s="34">
        <f t="shared" si="23"/>
        <v>-0.56612246838529534</v>
      </c>
      <c r="O67" s="34">
        <f t="shared" si="23"/>
        <v>-0.44477177602188761</v>
      </c>
      <c r="P67" s="34">
        <f t="shared" ref="P67:T67" si="24">SUM(P68:P71)</f>
        <v>-0.36882929232142708</v>
      </c>
      <c r="Q67" s="34">
        <f t="shared" si="24"/>
        <v>-0.30420578077110294</v>
      </c>
      <c r="R67" s="34">
        <f t="shared" si="24"/>
        <v>-0.24742249741724076</v>
      </c>
      <c r="S67" s="34">
        <f t="shared" si="24"/>
        <v>-0.2036191123662798</v>
      </c>
      <c r="T67" s="34">
        <f t="shared" si="24"/>
        <v>-0.1623106430144465</v>
      </c>
      <c r="U67" s="34">
        <f t="shared" ref="U67:W67" si="25">SUM(U68:U71)</f>
        <v>-0.12460158930673897</v>
      </c>
      <c r="V67" s="34">
        <f t="shared" si="25"/>
        <v>-9.1543476618091993E-2</v>
      </c>
      <c r="W67" s="34">
        <f t="shared" si="25"/>
        <v>-6.2963227475210146E-2</v>
      </c>
    </row>
    <row r="68" spans="2:23" outlineLevel="1" x14ac:dyDescent="0.2">
      <c r="B68" s="64" t="s">
        <v>87</v>
      </c>
      <c r="C68" s="23"/>
      <c r="D68" s="23">
        <f t="shared" ref="D68:E68" si="26">C57*D36/100*(1/(1+D33/100))</f>
        <v>0.65707415938595348</v>
      </c>
      <c r="E68" s="23">
        <f t="shared" si="26"/>
        <v>0.69073785654596631</v>
      </c>
      <c r="F68" s="23">
        <f>E57*F36/100*(1/(1+F33/100))</f>
        <v>0.69123349909402287</v>
      </c>
      <c r="G68" s="23">
        <f>F57*G36/100*(1/(1+G33/100))</f>
        <v>0.67917885337672257</v>
      </c>
      <c r="H68" s="23">
        <f t="shared" ref="H68:W68" si="27">G57*H36/100*(1/(1+H33/100))</f>
        <v>0.69940695400341246</v>
      </c>
      <c r="I68" s="23">
        <f t="shared" si="27"/>
        <v>0.65320450298292709</v>
      </c>
      <c r="J68" s="23">
        <f>I57*J36/100*(1/(1+J33/100))</f>
        <v>0.59578056371478527</v>
      </c>
      <c r="K68" s="23">
        <f t="shared" si="27"/>
        <v>0.5384597408689421</v>
      </c>
      <c r="L68" s="23">
        <f>K57*L36/100*(1/(1+L33/100))</f>
        <v>0.48336734341789334</v>
      </c>
      <c r="M68" s="23">
        <f t="shared" si="27"/>
        <v>0.4268549067342236</v>
      </c>
      <c r="N68" s="23">
        <f t="shared" si="27"/>
        <v>0.37805373435416917</v>
      </c>
      <c r="O68" s="23">
        <f t="shared" si="27"/>
        <v>0.33405124875643094</v>
      </c>
      <c r="P68" s="23">
        <f t="shared" si="27"/>
        <v>0.29100831830604174</v>
      </c>
      <c r="Q68" s="23">
        <f t="shared" si="27"/>
        <v>0.2491424594999514</v>
      </c>
      <c r="R68" s="23">
        <f t="shared" si="27"/>
        <v>0.2106412962023676</v>
      </c>
      <c r="S68" s="23">
        <f t="shared" si="27"/>
        <v>0.17554950826809612</v>
      </c>
      <c r="T68" s="23">
        <f t="shared" si="27"/>
        <v>0.14415131590510435</v>
      </c>
      <c r="U68" s="23">
        <f t="shared" si="27"/>
        <v>0.11471302566212324</v>
      </c>
      <c r="V68" s="23">
        <f t="shared" si="27"/>
        <v>8.8173390464276982E-2</v>
      </c>
      <c r="W68" s="23">
        <f t="shared" si="27"/>
        <v>6.4618695596361256E-2</v>
      </c>
    </row>
    <row r="69" spans="2:23" outlineLevel="1" x14ac:dyDescent="0.2">
      <c r="B69" s="64" t="s">
        <v>88</v>
      </c>
      <c r="C69" s="23"/>
      <c r="D69" s="23">
        <f t="shared" ref="D69:W69" si="28">-C57*(D24/100)*(1/(1+D33/100))</f>
        <v>-4.3995086738994873</v>
      </c>
      <c r="E69" s="23">
        <f t="shared" si="28"/>
        <v>1.4246776160491681</v>
      </c>
      <c r="F69" s="23">
        <f t="shared" si="28"/>
        <v>-0.52371298736068417</v>
      </c>
      <c r="G69" s="23">
        <f t="shared" si="28"/>
        <v>-1.3684519270897813</v>
      </c>
      <c r="H69" s="23">
        <f t="shared" si="28"/>
        <v>-1.4585566308873017</v>
      </c>
      <c r="I69" s="23">
        <f t="shared" si="28"/>
        <v>-1.3442035131392693</v>
      </c>
      <c r="J69" s="23">
        <f t="shared" si="28"/>
        <v>-1.1357964112366903</v>
      </c>
      <c r="K69" s="23">
        <f t="shared" si="28"/>
        <v>-0.8945418272304837</v>
      </c>
      <c r="L69" s="23">
        <f t="shared" si="28"/>
        <v>-0.735468708829215</v>
      </c>
      <c r="M69" s="23">
        <f t="shared" si="28"/>
        <v>-0.58853718694611512</v>
      </c>
      <c r="N69" s="23">
        <f t="shared" si="28"/>
        <v>-0.45575594965139082</v>
      </c>
      <c r="O69" s="23">
        <f t="shared" si="28"/>
        <v>-0.33979933293296694</v>
      </c>
      <c r="P69" s="23">
        <f t="shared" si="28"/>
        <v>-0.28459533966731421</v>
      </c>
      <c r="Q69" s="23">
        <f t="shared" si="28"/>
        <v>-0.23578846990592417</v>
      </c>
      <c r="R69" s="23">
        <f t="shared" si="28"/>
        <v>-0.19270137770550005</v>
      </c>
      <c r="S69" s="23">
        <f t="shared" si="28"/>
        <v>-0.16048183892852008</v>
      </c>
      <c r="T69" s="23">
        <f t="shared" si="28"/>
        <v>-0.12898014760946752</v>
      </c>
      <c r="U69" s="23">
        <f t="shared" si="28"/>
        <v>-9.9756507108550038E-2</v>
      </c>
      <c r="V69" s="23">
        <f t="shared" si="28"/>
        <v>-7.3752296533510703E-2</v>
      </c>
      <c r="W69" s="23">
        <f t="shared" si="28"/>
        <v>-5.0903961131441966E-2</v>
      </c>
    </row>
    <row r="70" spans="2:23" outlineLevel="1" x14ac:dyDescent="0.2">
      <c r="B70" s="64" t="s">
        <v>89</v>
      </c>
      <c r="C70" s="23"/>
      <c r="D70" s="23">
        <f t="shared" ref="D70:W70" si="29">-C57*D42/100*(1/(1+D42/100))</f>
        <v>-3.3595209230198506</v>
      </c>
      <c r="E70" s="23">
        <f t="shared" si="29"/>
        <v>-1.2784048777640751</v>
      </c>
      <c r="F70" s="23">
        <f t="shared" si="29"/>
        <v>-1.0975187414590026</v>
      </c>
      <c r="G70" s="23">
        <f t="shared" si="29"/>
        <v>-0.79833004365921334</v>
      </c>
      <c r="H70" s="23">
        <f t="shared" si="29"/>
        <v>-0.80556639407670061</v>
      </c>
      <c r="I70" s="23">
        <f t="shared" si="29"/>
        <v>-0.76095373213298689</v>
      </c>
      <c r="J70" s="23">
        <f t="shared" si="29"/>
        <v>-0.70803690367727146</v>
      </c>
      <c r="K70" s="23">
        <f t="shared" si="29"/>
        <v>-0.65109844420792573</v>
      </c>
      <c r="L70" s="23">
        <f t="shared" si="29"/>
        <v>-0.5957214211855949</v>
      </c>
      <c r="M70" s="23">
        <f t="shared" si="29"/>
        <v>-0.54127733257143018</v>
      </c>
      <c r="N70" s="23">
        <f t="shared" si="29"/>
        <v>-0.48842025308807369</v>
      </c>
      <c r="O70" s="23">
        <f t="shared" si="29"/>
        <v>-0.43902369184535162</v>
      </c>
      <c r="P70" s="23">
        <f t="shared" si="29"/>
        <v>-0.37524227096015461</v>
      </c>
      <c r="Q70" s="23">
        <f t="shared" si="29"/>
        <v>-0.31755977036513017</v>
      </c>
      <c r="R70" s="23">
        <f t="shared" si="29"/>
        <v>-0.26536241591410831</v>
      </c>
      <c r="S70" s="23">
        <f t="shared" si="29"/>
        <v>-0.21868678170585584</v>
      </c>
      <c r="T70" s="23">
        <f t="shared" si="29"/>
        <v>-0.17748181131008334</v>
      </c>
      <c r="U70" s="23">
        <f t="shared" si="29"/>
        <v>-0.13955810786031217</v>
      </c>
      <c r="V70" s="23">
        <f t="shared" si="29"/>
        <v>-0.10596457054885827</v>
      </c>
      <c r="W70" s="23">
        <f t="shared" si="29"/>
        <v>-7.6677961940129435E-2</v>
      </c>
    </row>
    <row r="71" spans="2:23" outlineLevel="1" x14ac:dyDescent="0.2">
      <c r="B71" s="64" t="s">
        <v>90</v>
      </c>
      <c r="C71" s="35"/>
      <c r="D71" s="35">
        <f>'Baseline NFPC'!D70</f>
        <v>-5.6246661639391959E-7</v>
      </c>
      <c r="E71" s="35">
        <f>'Baseline NFPC'!E70</f>
        <v>2.0516894094768645E-7</v>
      </c>
      <c r="F71" s="35">
        <f>'Baseline NFPC'!F70</f>
        <v>2.97256639303356E-8</v>
      </c>
      <c r="G71" s="35">
        <f>'Baseline NFPC'!G70</f>
        <v>-8.8262773201286393E-7</v>
      </c>
      <c r="H71" s="35">
        <v>0</v>
      </c>
      <c r="I71" s="35">
        <v>0</v>
      </c>
      <c r="J71" s="35">
        <v>0</v>
      </c>
      <c r="K71" s="35">
        <v>0</v>
      </c>
      <c r="L71" s="35">
        <v>0</v>
      </c>
      <c r="M71" s="35">
        <v>0</v>
      </c>
      <c r="N71" s="35">
        <v>0</v>
      </c>
      <c r="O71" s="35">
        <v>0</v>
      </c>
      <c r="P71" s="35">
        <v>0</v>
      </c>
      <c r="Q71" s="35">
        <v>0</v>
      </c>
      <c r="R71" s="35">
        <v>0</v>
      </c>
      <c r="S71" s="35">
        <v>0</v>
      </c>
      <c r="T71" s="35">
        <v>0</v>
      </c>
      <c r="U71" s="35">
        <v>0</v>
      </c>
      <c r="V71" s="35">
        <v>0</v>
      </c>
      <c r="W71" s="35">
        <v>0</v>
      </c>
    </row>
    <row r="72" spans="2:23" outlineLevel="1" x14ac:dyDescent="0.2">
      <c r="B72" s="65" t="s">
        <v>91</v>
      </c>
      <c r="C72" s="36"/>
      <c r="D72" s="36">
        <f>'Input data'!D16</f>
        <v>-0.54205939999999997</v>
      </c>
      <c r="E72" s="36">
        <f>'Input data'!E16</f>
        <v>0.84280659999999996</v>
      </c>
      <c r="F72" s="36">
        <f>'Input data'!F16</f>
        <v>1.6365670000000001</v>
      </c>
      <c r="G72" s="36">
        <f>'Input data'!G16</f>
        <v>2.2002419999999998</v>
      </c>
      <c r="H72" s="36">
        <f>'Input data'!H16</f>
        <v>0</v>
      </c>
      <c r="I72" s="36">
        <f>'Input data'!I16</f>
        <v>0</v>
      </c>
      <c r="J72" s="36">
        <f>'Input data'!J16</f>
        <v>0</v>
      </c>
      <c r="K72" s="36">
        <f>'Input data'!K16</f>
        <v>0</v>
      </c>
      <c r="L72" s="36">
        <f>'Input data'!L16</f>
        <v>0</v>
      </c>
      <c r="M72" s="36">
        <f>'Input data'!M16</f>
        <v>0</v>
      </c>
      <c r="N72" s="36">
        <f>'Input data'!N16</f>
        <v>0</v>
      </c>
      <c r="O72" s="36">
        <f>'Input data'!O16</f>
        <v>0</v>
      </c>
      <c r="P72" s="36">
        <f>'Input data'!P16</f>
        <v>0</v>
      </c>
      <c r="Q72" s="36">
        <f>'Input data'!Q16</f>
        <v>0</v>
      </c>
      <c r="R72" s="36">
        <f>'Input data'!R16</f>
        <v>0</v>
      </c>
      <c r="S72" s="36">
        <f>'Input data'!S16</f>
        <v>0</v>
      </c>
      <c r="T72" s="36">
        <f>'Input data'!T16</f>
        <v>0</v>
      </c>
      <c r="U72" s="36">
        <f>'Input data'!U16</f>
        <v>0</v>
      </c>
      <c r="V72" s="36">
        <f>'Input data'!V16</f>
        <v>0</v>
      </c>
      <c r="W72" s="36">
        <f>'Input data'!W16</f>
        <v>0</v>
      </c>
    </row>
    <row r="73" spans="2:23" outlineLevel="1" x14ac:dyDescent="0.2">
      <c r="B73" s="64" t="s">
        <v>92</v>
      </c>
      <c r="C73" s="23"/>
      <c r="D73" s="23">
        <f t="shared" ref="D73:W73" si="30">D15</f>
        <v>-0.54206140000000003</v>
      </c>
      <c r="E73" s="23">
        <f t="shared" si="30"/>
        <v>0.84280860000000002</v>
      </c>
      <c r="F73" s="23">
        <f t="shared" si="30"/>
        <v>1.636568</v>
      </c>
      <c r="G73" s="23">
        <f t="shared" si="30"/>
        <v>2.20024</v>
      </c>
      <c r="H73" s="23">
        <f t="shared" si="30"/>
        <v>0</v>
      </c>
      <c r="I73" s="23">
        <f t="shared" si="30"/>
        <v>0</v>
      </c>
      <c r="J73" s="23">
        <f t="shared" si="30"/>
        <v>0</v>
      </c>
      <c r="K73" s="23">
        <f t="shared" si="30"/>
        <v>0</v>
      </c>
      <c r="L73" s="23">
        <f t="shared" si="30"/>
        <v>0</v>
      </c>
      <c r="M73" s="23">
        <f t="shared" si="30"/>
        <v>0</v>
      </c>
      <c r="N73" s="23">
        <f t="shared" si="30"/>
        <v>0</v>
      </c>
      <c r="O73" s="23">
        <f t="shared" si="30"/>
        <v>0</v>
      </c>
      <c r="P73" s="23">
        <f t="shared" si="30"/>
        <v>0</v>
      </c>
      <c r="Q73" s="23">
        <f t="shared" si="30"/>
        <v>0</v>
      </c>
      <c r="R73" s="23">
        <f t="shared" si="30"/>
        <v>0</v>
      </c>
      <c r="S73" s="23">
        <f t="shared" si="30"/>
        <v>0</v>
      </c>
      <c r="T73" s="23">
        <f t="shared" si="30"/>
        <v>0</v>
      </c>
      <c r="U73" s="23">
        <f t="shared" si="30"/>
        <v>0</v>
      </c>
      <c r="V73" s="23">
        <f t="shared" si="30"/>
        <v>0</v>
      </c>
      <c r="W73" s="23">
        <f t="shared" si="30"/>
        <v>0</v>
      </c>
    </row>
    <row r="74" spans="2:23" outlineLevel="1" x14ac:dyDescent="0.2">
      <c r="B74" s="70" t="s">
        <v>93</v>
      </c>
      <c r="C74" s="35"/>
      <c r="D74" s="35">
        <f>+D72-D73</f>
        <v>2.0000000000575113E-6</v>
      </c>
      <c r="E74" s="35">
        <f t="shared" ref="E74:T74" si="31">+E72-E73</f>
        <v>-2.0000000000575113E-6</v>
      </c>
      <c r="F74" s="35">
        <f t="shared" si="31"/>
        <v>-9.9999999991773336E-7</v>
      </c>
      <c r="G74" s="35">
        <f t="shared" si="31"/>
        <v>1.9999999998354667E-6</v>
      </c>
      <c r="H74" s="35">
        <f t="shared" si="31"/>
        <v>0</v>
      </c>
      <c r="I74" s="35">
        <f t="shared" si="31"/>
        <v>0</v>
      </c>
      <c r="J74" s="35">
        <f t="shared" si="31"/>
        <v>0</v>
      </c>
      <c r="K74" s="35">
        <f t="shared" si="31"/>
        <v>0</v>
      </c>
      <c r="L74" s="35">
        <f t="shared" si="31"/>
        <v>0</v>
      </c>
      <c r="M74" s="35">
        <f t="shared" si="31"/>
        <v>0</v>
      </c>
      <c r="N74" s="35">
        <f t="shared" si="31"/>
        <v>0</v>
      </c>
      <c r="O74" s="35">
        <f t="shared" si="31"/>
        <v>0</v>
      </c>
      <c r="P74" s="35">
        <f t="shared" si="31"/>
        <v>0</v>
      </c>
      <c r="Q74" s="35">
        <f t="shared" si="31"/>
        <v>0</v>
      </c>
      <c r="R74" s="35">
        <f t="shared" si="31"/>
        <v>0</v>
      </c>
      <c r="S74" s="35">
        <f t="shared" si="31"/>
        <v>0</v>
      </c>
      <c r="T74" s="35">
        <f t="shared" si="31"/>
        <v>0</v>
      </c>
      <c r="U74" s="35">
        <f t="shared" ref="U74:W74" si="32">+U72-U73</f>
        <v>0</v>
      </c>
      <c r="V74" s="35">
        <f t="shared" si="32"/>
        <v>0</v>
      </c>
      <c r="W74" s="35">
        <f t="shared" si="32"/>
        <v>0</v>
      </c>
    </row>
    <row r="75" spans="2:23" ht="10.5" customHeight="1" outlineLevel="1" x14ac:dyDescent="0.2"/>
    <row r="76" spans="2:23" ht="10.5" customHeight="1" outlineLevel="1" x14ac:dyDescent="0.2">
      <c r="B76" s="71" t="s">
        <v>94</v>
      </c>
    </row>
    <row r="77" spans="2:23" x14ac:dyDescent="0.2">
      <c r="B77" s="62" t="s">
        <v>19</v>
      </c>
      <c r="C77" s="62"/>
      <c r="D77" s="63">
        <f>D59-D68</f>
        <v>1.7056088930893805</v>
      </c>
      <c r="E77" s="63">
        <f t="shared" ref="E77:T77" si="33">E59-E68</f>
        <v>1.6504173699869298</v>
      </c>
      <c r="F77" s="63">
        <f t="shared" si="33"/>
        <v>1.2569436847990874</v>
      </c>
      <c r="G77" s="63">
        <f>G59-G68</f>
        <v>1.322970728115429</v>
      </c>
      <c r="H77" s="63">
        <f t="shared" si="33"/>
        <v>1.478295841304897</v>
      </c>
      <c r="I77" s="63">
        <f t="shared" si="33"/>
        <v>1.7585652520517319</v>
      </c>
      <c r="J77" s="63">
        <f t="shared" si="33"/>
        <v>1.9330238671779629</v>
      </c>
      <c r="K77" s="63">
        <f t="shared" si="33"/>
        <v>1.906632384034312</v>
      </c>
      <c r="L77" s="63">
        <f t="shared" si="33"/>
        <v>1.8555829814853741</v>
      </c>
      <c r="M77" s="63">
        <f t="shared" si="33"/>
        <v>1.7898346350250576</v>
      </c>
      <c r="N77" s="63">
        <f t="shared" si="33"/>
        <v>1.6578050273369926</v>
      </c>
      <c r="O77" s="63">
        <f t="shared" si="33"/>
        <v>1.6257652012372579</v>
      </c>
      <c r="P77" s="63">
        <f t="shared" si="33"/>
        <v>1.5458069437011059</v>
      </c>
      <c r="Q77" s="63">
        <f t="shared" si="33"/>
        <v>1.4723930518264208</v>
      </c>
      <c r="R77" s="63">
        <f t="shared" si="33"/>
        <v>1.3803413898308419</v>
      </c>
      <c r="S77" s="63">
        <f t="shared" si="33"/>
        <v>1.2678503524586486</v>
      </c>
      <c r="T77" s="63">
        <f t="shared" si="33"/>
        <v>1.2367277705181321</v>
      </c>
      <c r="U77" s="63">
        <f t="shared" ref="U77:W77" si="34">U59-U68</f>
        <v>1.150986313165119</v>
      </c>
      <c r="V77" s="63">
        <f t="shared" si="34"/>
        <v>1.0534556886676558</v>
      </c>
      <c r="W77" s="63">
        <f t="shared" si="34"/>
        <v>0.94280063923864343</v>
      </c>
    </row>
    <row r="78" spans="2:23" x14ac:dyDescent="0.2">
      <c r="B78" s="15" t="s">
        <v>20</v>
      </c>
      <c r="D78" s="23">
        <f>D60-D68-D64-D65-D66</f>
        <v>-3.0337961593859535</v>
      </c>
      <c r="E78" s="23">
        <f t="shared" ref="E78:W78" si="35">E60-E68-E64-E65-E66</f>
        <v>1.0217271434540336</v>
      </c>
      <c r="F78" s="23">
        <f t="shared" si="35"/>
        <v>1.8375675009059771</v>
      </c>
      <c r="G78" s="23">
        <f t="shared" si="35"/>
        <v>1.8496221466232776</v>
      </c>
      <c r="H78" s="23">
        <f t="shared" si="35"/>
        <v>1.8293940459965876</v>
      </c>
      <c r="I78" s="23">
        <f t="shared" si="35"/>
        <v>1.8755964970170731</v>
      </c>
      <c r="J78" s="23">
        <f t="shared" si="35"/>
        <v>1.9330204362852148</v>
      </c>
      <c r="K78" s="23">
        <f t="shared" si="35"/>
        <v>1.906629459131056</v>
      </c>
      <c r="L78" s="23">
        <f t="shared" si="35"/>
        <v>1.8555800565821068</v>
      </c>
      <c r="M78" s="23">
        <f t="shared" si="35"/>
        <v>1.7898306932657753</v>
      </c>
      <c r="N78" s="23">
        <f t="shared" si="35"/>
        <v>1.6578000656458294</v>
      </c>
      <c r="O78" s="23">
        <f t="shared" si="35"/>
        <v>1.6257607512435681</v>
      </c>
      <c r="P78" s="23">
        <f t="shared" si="35"/>
        <v>1.5458019816939563</v>
      </c>
      <c r="Q78" s="23">
        <f t="shared" si="35"/>
        <v>1.472386040500048</v>
      </c>
      <c r="R78" s="23">
        <f t="shared" si="35"/>
        <v>1.3803354037976299</v>
      </c>
      <c r="S78" s="23">
        <f t="shared" si="35"/>
        <v>1.2678453917319035</v>
      </c>
      <c r="T78" s="23">
        <f t="shared" si="35"/>
        <v>1.2367217840948925</v>
      </c>
      <c r="U78" s="23">
        <f t="shared" si="35"/>
        <v>1.1509782743378765</v>
      </c>
      <c r="V78" s="23">
        <f t="shared" si="35"/>
        <v>1.0534461095357226</v>
      </c>
      <c r="W78" s="23">
        <f t="shared" si="35"/>
        <v>0.94278900440363878</v>
      </c>
    </row>
    <row r="79" spans="2:23" x14ac:dyDescent="0.2">
      <c r="B79" s="24" t="s">
        <v>95</v>
      </c>
      <c r="C79" s="24"/>
      <c r="D79" s="229">
        <f>'Input data'!D45</f>
        <v>14.052580532637272</v>
      </c>
      <c r="E79" s="229">
        <f>'Input data'!E45</f>
        <v>13.567155408847679</v>
      </c>
      <c r="F79" s="229">
        <f>'Input data'!F45</f>
        <v>7.3776443059073022</v>
      </c>
      <c r="G79" s="35">
        <f>'Input data'!G33+G42-(G$12-F$12)/'Input data'!$C$64*100</f>
        <v>5.2007089999999998</v>
      </c>
      <c r="H79" s="35">
        <f>'Input data'!H33+H42-(H$12-G$12)/'Input data'!$C$64*100</f>
        <v>5.3891288749999999</v>
      </c>
      <c r="I79" s="35">
        <f>'Input data'!I33+I42-(I$12-H$12)/'Input data'!$C$64*100</f>
        <v>5.4095417500000007</v>
      </c>
      <c r="J79" s="35">
        <f>'Input data'!J33+J42-(J$12-I$12)/'Input data'!$C$64*100</f>
        <v>5.4982216250000002</v>
      </c>
      <c r="K79" s="35">
        <f>'Input data'!K33+K42-(K$12-J$12)/'Input data'!$C$64*100</f>
        <v>5.3966534999999993</v>
      </c>
      <c r="L79" s="35">
        <f>'Input data'!L33+L42-(L$12-K$12)/'Input data'!$C$64*100</f>
        <v>5.2498503749999994</v>
      </c>
      <c r="M79" s="35">
        <f>'Input data'!M33+M42-(M$12-L$12)/'Input data'!$C$64*100</f>
        <v>5.0606332500000004</v>
      </c>
      <c r="N79" s="35">
        <f>'Input data'!N33+N42-(N$12-M$12)/'Input data'!$C$64*100</f>
        <v>4.830396125</v>
      </c>
      <c r="O79" s="35">
        <f>'Input data'!O33+O42-(O$12-N$12)/'Input data'!$C$64*100</f>
        <v>4.5634099999999993</v>
      </c>
      <c r="P79" s="35">
        <f>'Input data'!P33+P42-(P$12-O$12)/'Input data'!$C$64*100</f>
        <v>4.4729559999999999</v>
      </c>
      <c r="Q79" s="35">
        <f>'Input data'!Q33+Q42-(Q$12-P$12)/'Input data'!$C$64*100</f>
        <v>4.3825029999999998</v>
      </c>
      <c r="R79" s="35">
        <f>'Input data'!R33+R42-(R$12-Q$12)/'Input data'!$C$64*100</f>
        <v>4.2920489999999996</v>
      </c>
      <c r="S79" s="35">
        <f>'Input data'!S33+S42-(S$12-R$12)/'Input data'!$C$64*100</f>
        <v>4.2632259999999995</v>
      </c>
      <c r="T79" s="35">
        <f>'Input data'!T33+T42-(T$12-S$12)/'Input data'!$C$64*100</f>
        <v>4.1970039999999997</v>
      </c>
      <c r="U79" s="35">
        <f>'Input data'!U33+U42-(U$12-T$12)/'Input data'!$C$64*100</f>
        <v>4.1193679999999997</v>
      </c>
      <c r="V79" s="35">
        <f>'Input data'!V33+V42-(V$12-U$12)/'Input data'!$C$64*100</f>
        <v>4.0257110000000003</v>
      </c>
      <c r="W79" s="35">
        <f>'Input data'!W33+W42-(W$12-V$12)/'Input data'!$C$64*100</f>
        <v>3.9011079999999998</v>
      </c>
    </row>
    <row r="80" spans="2:23" x14ac:dyDescent="0.2">
      <c r="D80" s="23"/>
      <c r="E80" s="23"/>
      <c r="F80" s="23"/>
      <c r="G80" s="23"/>
      <c r="H80" s="23"/>
      <c r="I80" s="23"/>
      <c r="J80" s="23"/>
      <c r="K80" s="23"/>
      <c r="L80" s="23"/>
      <c r="M80" s="23"/>
      <c r="N80" s="23"/>
      <c r="O80" s="23"/>
      <c r="P80" s="23"/>
      <c r="Q80" s="23"/>
      <c r="R80" s="23"/>
      <c r="S80" s="23"/>
      <c r="T80" s="23"/>
      <c r="U80" s="23"/>
      <c r="V80" s="23"/>
      <c r="W80" s="23"/>
    </row>
    <row r="81" spans="2:23" x14ac:dyDescent="0.2">
      <c r="B81" s="90" t="s">
        <v>115</v>
      </c>
      <c r="C81" s="37"/>
      <c r="D81" s="148">
        <f ca="1">AVERAGE(OFFSET($G$79,0,0,1,'Criteria results'!F5))</f>
        <v>5.3744003125000006</v>
      </c>
      <c r="E81" s="23"/>
      <c r="F81" s="23"/>
      <c r="G81" s="293"/>
      <c r="H81" s="293"/>
      <c r="I81" s="293"/>
      <c r="J81" s="293"/>
      <c r="K81" s="293"/>
      <c r="L81" s="293"/>
      <c r="M81" s="293"/>
      <c r="N81" s="293"/>
      <c r="O81" s="293"/>
      <c r="P81" s="293"/>
      <c r="Q81" s="293"/>
      <c r="R81" s="293"/>
      <c r="S81" s="293"/>
      <c r="T81" s="293"/>
      <c r="U81" s="23"/>
      <c r="V81" s="23"/>
      <c r="W81" s="23"/>
    </row>
    <row r="82" spans="2:23" x14ac:dyDescent="0.2">
      <c r="B82" s="62"/>
      <c r="C82" s="62"/>
      <c r="D82" s="63"/>
      <c r="E82" s="23"/>
      <c r="F82" s="23"/>
      <c r="G82" s="23"/>
      <c r="H82" s="23"/>
      <c r="I82" s="23"/>
      <c r="J82" s="23"/>
      <c r="K82" s="23"/>
      <c r="L82" s="23"/>
      <c r="M82" s="23"/>
      <c r="N82" s="23"/>
      <c r="O82" s="23"/>
      <c r="P82" s="23"/>
      <c r="Q82" s="23"/>
      <c r="R82" s="23"/>
      <c r="S82" s="23"/>
      <c r="T82" s="23"/>
      <c r="U82" s="23"/>
      <c r="V82" s="23"/>
      <c r="W82" s="23"/>
    </row>
    <row r="83" spans="2:23" s="72" customFormat="1" ht="12.75" outlineLevel="1" x14ac:dyDescent="0.2">
      <c r="B83" s="73" t="s">
        <v>96</v>
      </c>
      <c r="C83" s="74"/>
      <c r="E83" s="75"/>
      <c r="F83" s="74"/>
    </row>
    <row r="84" spans="2:23" x14ac:dyDescent="0.2">
      <c r="C84" s="23"/>
      <c r="D84" s="23"/>
      <c r="E84" s="23"/>
      <c r="F84" s="23"/>
      <c r="G84" s="23"/>
      <c r="H84" s="23"/>
      <c r="I84" s="23"/>
      <c r="J84" s="23"/>
      <c r="K84" s="23"/>
      <c r="L84" s="23"/>
      <c r="M84" s="23"/>
      <c r="N84" s="23"/>
      <c r="O84" s="23"/>
      <c r="P84" s="23"/>
      <c r="Q84" s="23"/>
      <c r="R84" s="23"/>
      <c r="S84" s="23"/>
      <c r="T84" s="23"/>
      <c r="U84" s="23"/>
      <c r="V84" s="23"/>
      <c r="W84" s="23"/>
    </row>
    <row r="85" spans="2:23" x14ac:dyDescent="0.2">
      <c r="B85" s="15" t="s">
        <v>97</v>
      </c>
      <c r="D85" s="18">
        <f t="shared" ref="D85:W85" si="36">IF((D90-C90*D43/((1+D24/100)*(1+D42/100)))&gt;0,1,0)</f>
        <v>0</v>
      </c>
      <c r="E85" s="18">
        <f t="shared" si="36"/>
        <v>0</v>
      </c>
      <c r="F85" s="18">
        <f t="shared" si="36"/>
        <v>1</v>
      </c>
      <c r="G85" s="18">
        <f t="shared" si="36"/>
        <v>1</v>
      </c>
      <c r="H85" s="18">
        <f t="shared" si="36"/>
        <v>0</v>
      </c>
      <c r="I85" s="18">
        <f t="shared" si="36"/>
        <v>0</v>
      </c>
      <c r="J85" s="18">
        <f t="shared" si="36"/>
        <v>0</v>
      </c>
      <c r="K85" s="18">
        <f t="shared" si="36"/>
        <v>0</v>
      </c>
      <c r="L85" s="18">
        <f t="shared" si="36"/>
        <v>0</v>
      </c>
      <c r="M85" s="18">
        <f t="shared" si="36"/>
        <v>0</v>
      </c>
      <c r="N85" s="18">
        <f t="shared" si="36"/>
        <v>0</v>
      </c>
      <c r="O85" s="18">
        <f t="shared" si="36"/>
        <v>0</v>
      </c>
      <c r="P85" s="18">
        <f t="shared" si="36"/>
        <v>0</v>
      </c>
      <c r="Q85" s="18">
        <f t="shared" si="36"/>
        <v>0</v>
      </c>
      <c r="R85" s="18">
        <f t="shared" si="36"/>
        <v>0</v>
      </c>
      <c r="S85" s="18">
        <f t="shared" si="36"/>
        <v>0</v>
      </c>
      <c r="T85" s="18">
        <f t="shared" si="36"/>
        <v>0</v>
      </c>
      <c r="U85" s="18">
        <f t="shared" si="36"/>
        <v>0</v>
      </c>
      <c r="V85" s="18">
        <f t="shared" si="36"/>
        <v>0</v>
      </c>
      <c r="W85" s="18">
        <f t="shared" si="36"/>
        <v>0</v>
      </c>
    </row>
    <row r="86" spans="2:23" x14ac:dyDescent="0.2">
      <c r="B86" s="15" t="s">
        <v>98</v>
      </c>
      <c r="D86" s="18">
        <f t="shared" ref="D86:W86" si="37">IF(AND(D85=0,ABS(D90-C90*D43/((1+D24/100)*(1+D42/100)))&lt;((C96*C90*D43/((1+D24/100)*(1+D42/100))+(D39*C90*C97*D43/((1+D24/100)*(1+D42/100)))))),1,0)</f>
        <v>0</v>
      </c>
      <c r="E86" s="18">
        <f t="shared" si="37"/>
        <v>1</v>
      </c>
      <c r="F86" s="18">
        <f t="shared" si="37"/>
        <v>0</v>
      </c>
      <c r="G86" s="18">
        <f t="shared" si="37"/>
        <v>0</v>
      </c>
      <c r="H86" s="18">
        <f t="shared" si="37"/>
        <v>1</v>
      </c>
      <c r="I86" s="18">
        <f t="shared" si="37"/>
        <v>1</v>
      </c>
      <c r="J86" s="18">
        <f t="shared" si="37"/>
        <v>1</v>
      </c>
      <c r="K86" s="18">
        <f t="shared" si="37"/>
        <v>1</v>
      </c>
      <c r="L86" s="18">
        <f t="shared" si="37"/>
        <v>1</v>
      </c>
      <c r="M86" s="18">
        <f t="shared" si="37"/>
        <v>1</v>
      </c>
      <c r="N86" s="18">
        <f t="shared" si="37"/>
        <v>1</v>
      </c>
      <c r="O86" s="18">
        <f t="shared" si="37"/>
        <v>1</v>
      </c>
      <c r="P86" s="18">
        <f t="shared" si="37"/>
        <v>0</v>
      </c>
      <c r="Q86" s="18">
        <f t="shared" si="37"/>
        <v>0</v>
      </c>
      <c r="R86" s="18">
        <f t="shared" si="37"/>
        <v>0</v>
      </c>
      <c r="S86" s="18">
        <f t="shared" si="37"/>
        <v>0</v>
      </c>
      <c r="T86" s="18">
        <f t="shared" si="37"/>
        <v>0</v>
      </c>
      <c r="U86" s="18">
        <f t="shared" si="37"/>
        <v>0</v>
      </c>
      <c r="V86" s="18">
        <f t="shared" si="37"/>
        <v>0</v>
      </c>
      <c r="W86" s="18">
        <f t="shared" si="37"/>
        <v>0</v>
      </c>
    </row>
    <row r="88" spans="2:23" x14ac:dyDescent="0.2">
      <c r="H88" s="27"/>
      <c r="I88" s="27"/>
      <c r="J88" s="27"/>
      <c r="K88" s="27"/>
      <c r="L88" s="27"/>
      <c r="M88" s="27"/>
      <c r="N88" s="27"/>
      <c r="O88" s="27"/>
      <c r="P88" s="27"/>
      <c r="Q88" s="27"/>
      <c r="R88" s="27"/>
      <c r="S88" s="27"/>
      <c r="T88" s="27"/>
    </row>
    <row r="89" spans="2:23" x14ac:dyDescent="0.2">
      <c r="B89" s="37"/>
      <c r="C89" s="67">
        <v>2021</v>
      </c>
      <c r="D89" s="67">
        <v>2022</v>
      </c>
      <c r="E89" s="67">
        <v>2023</v>
      </c>
      <c r="F89" s="67">
        <v>2024</v>
      </c>
      <c r="G89" s="67">
        <v>2025</v>
      </c>
      <c r="H89" s="67">
        <v>2026</v>
      </c>
      <c r="I89" s="67">
        <v>2027</v>
      </c>
      <c r="J89" s="67">
        <v>2028</v>
      </c>
      <c r="K89" s="67">
        <v>2029</v>
      </c>
      <c r="L89" s="67">
        <v>2030</v>
      </c>
      <c r="M89" s="67">
        <v>2031</v>
      </c>
      <c r="N89" s="67">
        <v>2032</v>
      </c>
      <c r="O89" s="67">
        <v>2033</v>
      </c>
      <c r="P89" s="67">
        <v>2034</v>
      </c>
      <c r="Q89" s="67">
        <v>2035</v>
      </c>
      <c r="R89" s="67">
        <v>2036</v>
      </c>
      <c r="S89" s="67">
        <v>2037</v>
      </c>
      <c r="T89" s="67">
        <v>2038</v>
      </c>
      <c r="U89" s="67">
        <v>2039</v>
      </c>
      <c r="V89" s="67">
        <v>2040</v>
      </c>
      <c r="W89" s="67">
        <v>2041</v>
      </c>
    </row>
    <row r="90" spans="2:23" x14ac:dyDescent="0.2">
      <c r="B90" s="84" t="s">
        <v>76</v>
      </c>
      <c r="C90" s="88">
        <f>C57</f>
        <v>54.398470000000003</v>
      </c>
      <c r="D90" s="88">
        <f>D57</f>
        <v>44.391771547524669</v>
      </c>
      <c r="E90" s="88">
        <f>E57</f>
        <v>43.730433720991776</v>
      </c>
      <c r="F90" s="88">
        <f>F57</f>
        <v>42.488825337098667</v>
      </c>
      <c r="G90" s="88">
        <f>G57</f>
        <v>41.199313755606511</v>
      </c>
      <c r="H90" s="88">
        <f t="shared" ref="H90:W90" si="38">G90*(1+H103/100)*H43-H60-H61+H62+H63+H64+H65+H66+H72</f>
        <v>37.456894889337619</v>
      </c>
      <c r="I90" s="88">
        <f t="shared" si="38"/>
        <v>33.593172392013621</v>
      </c>
      <c r="J90" s="88">
        <f t="shared" si="38"/>
        <v>29.81631520992169</v>
      </c>
      <c r="K90" s="88">
        <f t="shared" si="38"/>
        <v>26.364042554448972</v>
      </c>
      <c r="L90" s="88">
        <f t="shared" si="38"/>
        <v>23.177269442948784</v>
      </c>
      <c r="M90" s="88">
        <f t="shared" si="38"/>
        <v>20.25762028840618</v>
      </c>
      <c r="N90" s="88">
        <f t="shared" si="38"/>
        <v>17.655639058329722</v>
      </c>
      <c r="O90" s="88">
        <f t="shared" si="38"/>
        <v>15.251050832314142</v>
      </c>
      <c r="P90" s="88">
        <f t="shared" si="38"/>
        <v>13.045406277985567</v>
      </c>
      <c r="Q90" s="88">
        <f t="shared" si="38"/>
        <v>11.019664985888092</v>
      </c>
      <c r="R90" s="88">
        <f t="shared" si="38"/>
        <v>9.1812598024376406</v>
      </c>
      <c r="S90" s="88">
        <f t="shared" si="38"/>
        <v>7.5342408293446166</v>
      </c>
      <c r="T90" s="88">
        <f t="shared" si="38"/>
        <v>5.991051099906934</v>
      </c>
      <c r="U90" s="88">
        <f t="shared" si="38"/>
        <v>4.6007501717729529</v>
      </c>
      <c r="V90" s="88">
        <f t="shared" si="38"/>
        <v>3.3675776160229285</v>
      </c>
      <c r="W90" s="88">
        <f t="shared" si="38"/>
        <v>2.2971950537127137</v>
      </c>
    </row>
    <row r="91" spans="2:23" x14ac:dyDescent="0.2">
      <c r="B91" s="15" t="s">
        <v>99</v>
      </c>
      <c r="C91" s="23"/>
      <c r="D91" s="174">
        <f>'Input data'!C66*$D$90</f>
        <v>37.416472875665853</v>
      </c>
      <c r="E91" s="23">
        <f t="shared" ref="E91:W91" si="39">IF(E90=0,0,IF(E85=1,D90*E43/((1+E24/100)*(1+E42/100))-E92-E93,IF(AND(E85=0,E86=1),(1-D96-E39*D97)*D90*E43/((1+E24/100)*(1+E42/100)),E90)))</f>
        <v>37.985688785691551</v>
      </c>
      <c r="F91" s="23">
        <f t="shared" si="39"/>
        <v>36.086220755244689</v>
      </c>
      <c r="G91" s="23">
        <f t="shared" si="39"/>
        <v>34.066502287729229</v>
      </c>
      <c r="H91" s="23">
        <f t="shared" si="39"/>
        <v>32.665878400883344</v>
      </c>
      <c r="I91" s="23">
        <f t="shared" si="39"/>
        <v>30.609328295160459</v>
      </c>
      <c r="J91" s="23">
        <f t="shared" si="39"/>
        <v>27.996255016696999</v>
      </c>
      <c r="K91" s="23">
        <f t="shared" si="39"/>
        <v>25.39750634070667</v>
      </c>
      <c r="L91" s="23">
        <f t="shared" si="39"/>
        <v>22.973687978931132</v>
      </c>
      <c r="M91" s="23">
        <f t="shared" si="39"/>
        <v>19.980907970830675</v>
      </c>
      <c r="N91" s="23">
        <f t="shared" si="39"/>
        <v>17.42788351194157</v>
      </c>
      <c r="O91" s="23">
        <f t="shared" si="39"/>
        <v>15.115940980806414</v>
      </c>
      <c r="P91" s="23">
        <f t="shared" si="39"/>
        <v>13.045406277985567</v>
      </c>
      <c r="Q91" s="23">
        <f t="shared" si="39"/>
        <v>11.019664985888092</v>
      </c>
      <c r="R91" s="23">
        <f t="shared" si="39"/>
        <v>9.1812598024376406</v>
      </c>
      <c r="S91" s="23">
        <f t="shared" si="39"/>
        <v>7.5342408293446166</v>
      </c>
      <c r="T91" s="23">
        <f t="shared" si="39"/>
        <v>5.991051099906934</v>
      </c>
      <c r="U91" s="23">
        <f t="shared" si="39"/>
        <v>4.6007501717729529</v>
      </c>
      <c r="V91" s="23">
        <f t="shared" si="39"/>
        <v>3.3675776160229285</v>
      </c>
      <c r="W91" s="23">
        <f t="shared" si="39"/>
        <v>2.2971950537127137</v>
      </c>
    </row>
    <row r="92" spans="2:23" x14ac:dyDescent="0.2">
      <c r="B92" s="83" t="s">
        <v>100</v>
      </c>
      <c r="C92" s="23"/>
      <c r="D92" s="174">
        <f>'Input data'!C67*$D$90</f>
        <v>2.306773560775659</v>
      </c>
      <c r="E92" s="23">
        <f t="shared" ref="E92:W92" si="40">IF(E90=0,0,IF(E85=1,E39*D90*D97*E43/((1+E24/100)*(1+E42/100)),IF(AND(E85=0,E86=1),(E39*D90*D97*E43/((1+E24/100)*(1+E42/100)))*(1-ABS(E90-D90*E43/((1+E24/100)*(1+E42/100)))/((E39*D90*D97*E43/((1+E24/100)*(1+E42/100)))+(D96*D90*E43/((1+E24/100)*(1+E42/100))))),0)))</f>
        <v>1.6381495421537531</v>
      </c>
      <c r="F92" s="23">
        <f t="shared" si="40"/>
        <v>2.0686309093403406</v>
      </c>
      <c r="G92" s="23">
        <f t="shared" si="40"/>
        <v>2.4597944168704964</v>
      </c>
      <c r="H92" s="23">
        <f t="shared" si="40"/>
        <v>1.9739953419365093</v>
      </c>
      <c r="I92" s="23">
        <f t="shared" si="40"/>
        <v>1.3110357371512908</v>
      </c>
      <c r="J92" s="23">
        <f t="shared" si="40"/>
        <v>1.0533569151384412</v>
      </c>
      <c r="K92" s="23">
        <f t="shared" si="40"/>
        <v>0.7219868453043965</v>
      </c>
      <c r="L92" s="23">
        <f t="shared" si="40"/>
        <v>0.18062462530714754</v>
      </c>
      <c r="M92" s="23">
        <f t="shared" si="40"/>
        <v>0.27378822248610074</v>
      </c>
      <c r="N92" s="23">
        <f t="shared" si="40"/>
        <v>0.22741880905753448</v>
      </c>
      <c r="O92" s="23">
        <f t="shared" si="40"/>
        <v>0.13508515379041167</v>
      </c>
      <c r="P92" s="23">
        <f t="shared" si="40"/>
        <v>0</v>
      </c>
      <c r="Q92" s="23">
        <f t="shared" si="40"/>
        <v>0</v>
      </c>
      <c r="R92" s="23">
        <f t="shared" si="40"/>
        <v>0</v>
      </c>
      <c r="S92" s="23">
        <f t="shared" si="40"/>
        <v>0</v>
      </c>
      <c r="T92" s="23">
        <f t="shared" si="40"/>
        <v>0</v>
      </c>
      <c r="U92" s="23">
        <f t="shared" si="40"/>
        <v>0</v>
      </c>
      <c r="V92" s="23">
        <f t="shared" si="40"/>
        <v>0</v>
      </c>
      <c r="W92" s="23">
        <f t="shared" si="40"/>
        <v>0</v>
      </c>
    </row>
    <row r="93" spans="2:23" x14ac:dyDescent="0.2">
      <c r="B93" s="83" t="s">
        <v>101</v>
      </c>
      <c r="C93" s="23"/>
      <c r="D93" s="174">
        <f>'Input data'!C68*$D$90</f>
        <v>4.6685201110841117</v>
      </c>
      <c r="E93" s="23">
        <f t="shared" ref="E93:W93" si="41">IF(E90=0,0,IF(E85=1,(1-D97)*D90*E43/((1+E24/100)*(1+E42/100)),IF(AND(E85=0,E86=1),(D96*D90*E43/((1+E24/100)*(1+E42/100)))*(1-ABS(E90-D90*E43/((1+E24/100)*(1+E42/100)))/((E39*D90*D97*E43/((1+E24/100)*(1+E42/100)))+(D96*D90*E43/((1+E24/100)*(1+E42/100))))),0)))</f>
        <v>4.106595393146474</v>
      </c>
      <c r="F93" s="23">
        <f t="shared" si="41"/>
        <v>3.9543503275870662</v>
      </c>
      <c r="G93" s="23">
        <f t="shared" si="41"/>
        <v>3.7957466617499467</v>
      </c>
      <c r="H93" s="23">
        <f t="shared" si="41"/>
        <v>2.8170211465177677</v>
      </c>
      <c r="I93" s="23">
        <f t="shared" si="41"/>
        <v>1.6728083597018708</v>
      </c>
      <c r="J93" s="23">
        <f t="shared" si="41"/>
        <v>0.76670327808624827</v>
      </c>
      <c r="K93" s="23">
        <f t="shared" si="41"/>
        <v>0.24454936843790703</v>
      </c>
      <c r="L93" s="23">
        <f t="shared" si="41"/>
        <v>2.2956838710505904E-2</v>
      </c>
      <c r="M93" s="23">
        <f t="shared" si="41"/>
        <v>2.9240950894072813E-3</v>
      </c>
      <c r="N93" s="23">
        <f t="shared" si="41"/>
        <v>3.367373306151031E-4</v>
      </c>
      <c r="O93" s="23">
        <f t="shared" si="41"/>
        <v>2.4697717315284358E-5</v>
      </c>
      <c r="P93" s="23">
        <f t="shared" si="41"/>
        <v>0</v>
      </c>
      <c r="Q93" s="23">
        <f t="shared" si="41"/>
        <v>0</v>
      </c>
      <c r="R93" s="23">
        <f t="shared" si="41"/>
        <v>0</v>
      </c>
      <c r="S93" s="23">
        <f t="shared" si="41"/>
        <v>0</v>
      </c>
      <c r="T93" s="23">
        <f t="shared" si="41"/>
        <v>0</v>
      </c>
      <c r="U93" s="23">
        <f t="shared" si="41"/>
        <v>0</v>
      </c>
      <c r="V93" s="23">
        <f t="shared" si="41"/>
        <v>0</v>
      </c>
      <c r="W93" s="23">
        <f t="shared" si="41"/>
        <v>0</v>
      </c>
    </row>
    <row r="94" spans="2:23" x14ac:dyDescent="0.2">
      <c r="B94" s="83" t="s">
        <v>102</v>
      </c>
      <c r="C94" s="23"/>
      <c r="D94" s="174">
        <f>'Input data'!C69*$D$90</f>
        <v>0</v>
      </c>
      <c r="E94" s="23">
        <f>IF(E90=0,0,IF(E85=1,'Input data'!$C$58*(E90-D90*E43/((1+E24/100)*(1+E42/100))),0))</f>
        <v>0</v>
      </c>
      <c r="F94" s="23">
        <f>IF(F90=0,0,IF(F85=1,'Input data'!$C$58*(F90-E90*F43/((1+F24/100)*(1+F42/100))),0))</f>
        <v>0.33425531822108667</v>
      </c>
      <c r="G94" s="23">
        <f>IF(G90=0,0,IF(G85=1,'Input data'!$C$58*(G90-F90*G43/((1+G24/100)*(1+G42/100))),0))</f>
        <v>0.77242955957753623</v>
      </c>
      <c r="H94" s="23">
        <f>IF(H90=0,0,IF(H85=1,'Input data'!$C$58*(H90-G90*H43/((1+H24/100)*(1+H42/100))),0))</f>
        <v>0</v>
      </c>
      <c r="I94" s="23">
        <f>IF(I90=0,0,IF(I85=1,'Input data'!$C$58*(I90-H90*I43/((1+I24/100)*(1+I42/100))),0))</f>
        <v>0</v>
      </c>
      <c r="J94" s="23">
        <f>IF(J90=0,0,IF(J85=1,'Input data'!$C$58*(J90-I90*J43/((1+J24/100)*(1+J42/100))),0))</f>
        <v>0</v>
      </c>
      <c r="K94" s="23">
        <f>IF(K90=0,0,IF(K85=1,'Input data'!$C$58*(K90-J90*K43/((1+K24/100)*(1+K42/100))),0))</f>
        <v>0</v>
      </c>
      <c r="L94" s="23">
        <f>IF(L90=0,0,IF(L85=1,'Input data'!$C$58*(L90-K90*L43/((1+L24/100)*(1+L42/100))),0))</f>
        <v>0</v>
      </c>
      <c r="M94" s="23">
        <f>IF(M90=0,0,IF(M85=1,'Input data'!$C$58*(M90-L90*M43/((1+M24/100)*(1+M42/100))),0))</f>
        <v>0</v>
      </c>
      <c r="N94" s="23">
        <f>IF(N90=0,0,IF(N85=1,'Input data'!$C$58*(N90-M90*N43/((1+N24/100)*(1+N42/100))),0))</f>
        <v>0</v>
      </c>
      <c r="O94" s="23">
        <f>IF(O90=0,0,IF(O85=1,'Input data'!$C$58*(O90-N90*O43/((1+O24/100)*(1+O42/100))),0))</f>
        <v>0</v>
      </c>
      <c r="P94" s="23">
        <f>IF(P90=0,0,IF(P85=1,'Input data'!$C$58*(P90-O90*P43/((1+P24/100)*(1+P42/100))),0))</f>
        <v>0</v>
      </c>
      <c r="Q94" s="23">
        <f>IF(Q90=0,0,IF(Q85=1,'Input data'!$C$58*(Q90-P90*Q43/((1+Q24/100)*(1+Q42/100))),0))</f>
        <v>0</v>
      </c>
      <c r="R94" s="23">
        <f>IF(R90=0,0,IF(R85=1,'Input data'!$C$58*(R90-Q90*R43/((1+R24/100)*(1+R42/100))),0))</f>
        <v>0</v>
      </c>
      <c r="S94" s="23">
        <f>IF(S90=0,0,IF(S85=1,'Input data'!$C$58*(S90-R90*S43/((1+S24/100)*(1+S42/100))),0))</f>
        <v>0</v>
      </c>
      <c r="T94" s="23">
        <f>IF(T90=0,0,IF(T85=1,'Input data'!$C$58*(T90-S90*T43/((1+T24/100)*(1+T42/100))),0))</f>
        <v>0</v>
      </c>
      <c r="U94" s="23">
        <f>IF(U90=0,0,IF(U85=1,'Input data'!$C$58*(U90-T90*U43/((1+U24/100)*(1+U42/100))),0))</f>
        <v>0</v>
      </c>
      <c r="V94" s="23">
        <f>IF(V90=0,0,IF(V85=1,'Input data'!$C$58*(V90-U90*V43/((1+V24/100)*(1+V42/100))),0))</f>
        <v>0</v>
      </c>
      <c r="W94" s="23">
        <f>IF(W90=0,0,IF(W85=1,'Input data'!$C$58*(W90-V90*W43/((1+W24/100)*(1+W42/100))),0))</f>
        <v>0</v>
      </c>
    </row>
    <row r="95" spans="2:23" x14ac:dyDescent="0.2">
      <c r="B95" s="85" t="s">
        <v>103</v>
      </c>
      <c r="C95" s="35"/>
      <c r="D95" s="175">
        <f>'Input data'!C70*$D$90</f>
        <v>0</v>
      </c>
      <c r="E95" s="35">
        <f>IF(E90=0,0,IF(E85=1,'Input data'!$C$57*(E90-D90*E43/((1+E24/100)*(1+E42/100))),0))</f>
        <v>0</v>
      </c>
      <c r="F95" s="35">
        <f>IF(F90=0,0,IF(F85=1,'Input data'!$C$57*(F90-E90*F43/((1+F24/100)*(1+F42/100))),0))</f>
        <v>4.536802670548469E-2</v>
      </c>
      <c r="G95" s="35">
        <f>IF(G90=0,0,IF(G85=1,'Input data'!$C$57*(G90-F90*G43/((1+G24/100)*(1+G42/100))),0))</f>
        <v>0.10484082967930679</v>
      </c>
      <c r="H95" s="35">
        <f>IF(H90=0,0,IF(H85=1,'Input data'!$C$57*(H90-G90*H43/((1+H24/100)*(1+H42/100))),0))</f>
        <v>0</v>
      </c>
      <c r="I95" s="35">
        <f>IF(I90=0,0,IF(I85=1,'Input data'!$C$57*(I90-H90*I43/((1+I24/100)*(1+I42/100))),0))</f>
        <v>0</v>
      </c>
      <c r="J95" s="35">
        <f>IF(J90=0,0,IF(J85=1,'Input data'!$C$57*(J90-I90*J43/((1+J24/100)*(1+J42/100))),0))</f>
        <v>0</v>
      </c>
      <c r="K95" s="35">
        <f>IF(K90=0,0,IF(K85=1,'Input data'!$C$57*(K90-J90*K43/((1+K24/100)*(1+K42/100))),0))</f>
        <v>0</v>
      </c>
      <c r="L95" s="35">
        <f>IF(L90=0,0,IF(L85=1,'Input data'!$C$57*(L90-K90*L43/((1+L24/100)*(1+L42/100))),0))</f>
        <v>0</v>
      </c>
      <c r="M95" s="35">
        <f>IF(M90=0,0,IF(M85=1,'Input data'!$C$57*(M90-L90*M43/((1+M24/100)*(1+M42/100))),0))</f>
        <v>0</v>
      </c>
      <c r="N95" s="35">
        <f>IF(N90=0,0,IF(N85=1,'Input data'!$C$57*(N90-M90*N43/((1+N24/100)*(1+N42/100))),0))</f>
        <v>0</v>
      </c>
      <c r="O95" s="35">
        <f>IF(O90=0,0,IF(O85=1,'Input data'!$C$57*(O90-N90*O43/((1+O24/100)*(1+O42/100))),0))</f>
        <v>0</v>
      </c>
      <c r="P95" s="35">
        <f>IF(P90=0,0,IF(P85=1,'Input data'!$C$57*(P90-O90*P43/((1+P24/100)*(1+P42/100))),0))</f>
        <v>0</v>
      </c>
      <c r="Q95" s="35">
        <f>IF(Q90=0,0,IF(Q85=1,'Input data'!$C$57*(Q90-P90*Q43/((1+Q24/100)*(1+Q42/100))),0))</f>
        <v>0</v>
      </c>
      <c r="R95" s="35">
        <f>IF(R90=0,0,IF(R85=1,'Input data'!$C$57*(R90-Q90*R43/((1+R24/100)*(1+R42/100))),0))</f>
        <v>0</v>
      </c>
      <c r="S95" s="35">
        <f>IF(S90=0,0,IF(S85=1,'Input data'!$C$57*(S90-R90*S43/((1+S24/100)*(1+S42/100))),0))</f>
        <v>0</v>
      </c>
      <c r="T95" s="35">
        <f>IF(T90=0,0,IF(T85=1,'Input data'!$C$57*(T90-S90*T43/((1+T24/100)*(1+T42/100))),0))</f>
        <v>0</v>
      </c>
      <c r="U95" s="35">
        <f>IF(U90=0,0,IF(U85=1,'Input data'!$C$57*(U90-T90*U43/((1+U24/100)*(1+U42/100))),0))</f>
        <v>0</v>
      </c>
      <c r="V95" s="35">
        <f>IF(V90=0,0,IF(V85=1,'Input data'!$C$57*(V90-U90*V43/((1+V24/100)*(1+V42/100))),0))</f>
        <v>0</v>
      </c>
      <c r="W95" s="35">
        <f>IF(W90=0,0,IF(W85=1,'Input data'!$C$57*(W90-V90*W43/((1+W24/100)*(1+W42/100))),0))</f>
        <v>0</v>
      </c>
    </row>
    <row r="96" spans="2:23" x14ac:dyDescent="0.2">
      <c r="B96" s="15" t="s">
        <v>51</v>
      </c>
      <c r="C96" s="25"/>
      <c r="D96" s="179">
        <f>'Baseline NFPC'!$D$93</f>
        <v>0.10516645198728225</v>
      </c>
      <c r="E96" s="25">
        <f t="shared" ref="E96:G96" si="42">IF(E90&lt;&gt;0,(E93+E95)/(E91+E92+E93+E94+E95),0)</f>
        <v>9.390703552924512E-2</v>
      </c>
      <c r="F96" s="25">
        <f t="shared" si="42"/>
        <v>9.413577152485407E-2</v>
      </c>
      <c r="G96" s="25">
        <f t="shared" si="42"/>
        <v>9.4676030638943628E-2</v>
      </c>
      <c r="H96" s="25">
        <f t="shared" ref="H96:W96" si="43">IF(H90&lt;&gt;0,(H93+H95)/(H91+H92+H93+H94+H95),0)</f>
        <v>7.5207012082564625E-2</v>
      </c>
      <c r="I96" s="25">
        <f t="shared" si="43"/>
        <v>4.979608178058114E-2</v>
      </c>
      <c r="J96" s="25">
        <f t="shared" si="43"/>
        <v>2.5714219637412467E-2</v>
      </c>
      <c r="K96" s="25">
        <f t="shared" si="43"/>
        <v>9.2758676114577474E-3</v>
      </c>
      <c r="L96" s="25">
        <f t="shared" si="43"/>
        <v>9.9048935712701307E-4</v>
      </c>
      <c r="M96" s="25">
        <f t="shared" si="43"/>
        <v>1.4434543879178127E-4</v>
      </c>
      <c r="N96" s="25">
        <f t="shared" si="43"/>
        <v>1.9072508760663321E-5</v>
      </c>
      <c r="O96" s="25">
        <f t="shared" si="43"/>
        <v>1.6194108580999866E-6</v>
      </c>
      <c r="P96" s="25">
        <f t="shared" si="43"/>
        <v>0</v>
      </c>
      <c r="Q96" s="25">
        <f t="shared" si="43"/>
        <v>0</v>
      </c>
      <c r="R96" s="25">
        <f t="shared" si="43"/>
        <v>0</v>
      </c>
      <c r="S96" s="25">
        <f t="shared" si="43"/>
        <v>0</v>
      </c>
      <c r="T96" s="25">
        <f t="shared" si="43"/>
        <v>0</v>
      </c>
      <c r="U96" s="25">
        <f>IF(U90&lt;&gt;0,(U93+U95)/(U91+U92+U93+U94+U95),0)</f>
        <v>0</v>
      </c>
      <c r="V96" s="25">
        <f t="shared" si="43"/>
        <v>0</v>
      </c>
      <c r="W96" s="23">
        <f t="shared" si="43"/>
        <v>0</v>
      </c>
    </row>
    <row r="97" spans="2:25" x14ac:dyDescent="0.2">
      <c r="B97" s="24" t="s">
        <v>52</v>
      </c>
      <c r="C97" s="86"/>
      <c r="D97" s="180">
        <f>'Baseline NFPC'!$D$94</f>
        <v>0.89483354801271775</v>
      </c>
      <c r="E97" s="86">
        <f t="shared" ref="E97:G97" si="44">IF(E90&lt;&gt;0,(E91+E92+E94)/(E91+E92+E93+E94+E95),1)</f>
        <v>0.90609296447075482</v>
      </c>
      <c r="F97" s="86">
        <f t="shared" si="44"/>
        <v>0.90586422847514603</v>
      </c>
      <c r="G97" s="86">
        <f t="shared" si="44"/>
        <v>0.90532396936105652</v>
      </c>
      <c r="H97" s="86">
        <f t="shared" ref="H97:W97" si="45">IF(H90&lt;&gt;0,(H91+H92+H94)/(H91+H92+H93+H94+H95),1)</f>
        <v>0.92479298791743536</v>
      </c>
      <c r="I97" s="86">
        <f t="shared" si="45"/>
        <v>0.95020391821941885</v>
      </c>
      <c r="J97" s="86">
        <f t="shared" si="45"/>
        <v>0.97428578036258762</v>
      </c>
      <c r="K97" s="86">
        <f t="shared" si="45"/>
        <v>0.99072413238854218</v>
      </c>
      <c r="L97" s="86">
        <f t="shared" si="45"/>
        <v>0.99900951064287302</v>
      </c>
      <c r="M97" s="86">
        <f t="shared" si="45"/>
        <v>0.99985565456120817</v>
      </c>
      <c r="N97" s="86">
        <f t="shared" si="45"/>
        <v>0.99998092749123946</v>
      </c>
      <c r="O97" s="86">
        <f t="shared" si="45"/>
        <v>0.99999838058914192</v>
      </c>
      <c r="P97" s="86">
        <f t="shared" si="45"/>
        <v>1</v>
      </c>
      <c r="Q97" s="86">
        <f t="shared" si="45"/>
        <v>1</v>
      </c>
      <c r="R97" s="86">
        <f t="shared" si="45"/>
        <v>1</v>
      </c>
      <c r="S97" s="86">
        <f t="shared" si="45"/>
        <v>1</v>
      </c>
      <c r="T97" s="86">
        <f t="shared" si="45"/>
        <v>1</v>
      </c>
      <c r="U97" s="86">
        <f t="shared" si="45"/>
        <v>1</v>
      </c>
      <c r="V97" s="86">
        <f t="shared" si="45"/>
        <v>1</v>
      </c>
      <c r="W97" s="35">
        <f t="shared" si="45"/>
        <v>1</v>
      </c>
    </row>
    <row r="98" spans="2:25" x14ac:dyDescent="0.2">
      <c r="C98" s="27"/>
      <c r="D98" s="27"/>
      <c r="E98" s="27"/>
      <c r="F98" s="27"/>
      <c r="G98" s="27"/>
      <c r="H98" s="27"/>
      <c r="I98" s="27"/>
      <c r="J98" s="27"/>
      <c r="K98" s="27"/>
      <c r="L98" s="27"/>
      <c r="M98" s="27"/>
      <c r="N98" s="27"/>
      <c r="O98" s="27"/>
      <c r="P98" s="27"/>
      <c r="Q98" s="27"/>
      <c r="R98" s="27"/>
      <c r="S98" s="27"/>
      <c r="T98" s="27"/>
      <c r="U98" s="27"/>
      <c r="V98" s="27"/>
      <c r="W98" s="27"/>
    </row>
    <row r="99" spans="2:25" x14ac:dyDescent="0.2">
      <c r="B99" s="90" t="s">
        <v>104</v>
      </c>
      <c r="C99" s="92">
        <f>'Baseline NFPC'!C96</f>
        <v>1.510173</v>
      </c>
      <c r="D99" s="92">
        <f>'Baseline NFPC'!D96</f>
        <v>1.408838</v>
      </c>
      <c r="E99" s="92">
        <f>'Baseline NFPC'!E96</f>
        <v>1.550894</v>
      </c>
      <c r="F99" s="92">
        <f>'Baseline NFPC'!F96</f>
        <v>1.641526</v>
      </c>
      <c r="G99" s="92">
        <f>'Baseline NFPC'!G96</f>
        <v>1.6843859999999999</v>
      </c>
      <c r="H99" s="92">
        <f>H101</f>
        <v>1.7963362728642545</v>
      </c>
      <c r="I99" s="92">
        <f t="shared" ref="I99:V99" si="46">I101</f>
        <v>1.8477295502688917</v>
      </c>
      <c r="J99" s="92">
        <f t="shared" si="46"/>
        <v>1.8765132788055841</v>
      </c>
      <c r="K99" s="92">
        <f t="shared" si="46"/>
        <v>1.9046582440660691</v>
      </c>
      <c r="L99" s="92">
        <f t="shared" si="46"/>
        <v>1.9309319418432969</v>
      </c>
      <c r="M99" s="92">
        <f t="shared" si="46"/>
        <v>1.9360733845092364</v>
      </c>
      <c r="N99" s="92">
        <f t="shared" si="46"/>
        <v>1.9574640995012271</v>
      </c>
      <c r="O99" s="92">
        <f t="shared" si="46"/>
        <v>1.9793499442805511</v>
      </c>
      <c r="P99" s="92">
        <f t="shared" si="46"/>
        <v>1.9944079624134392</v>
      </c>
      <c r="Q99" s="92">
        <f t="shared" si="46"/>
        <v>1.994406836309681</v>
      </c>
      <c r="R99" s="92">
        <f t="shared" si="46"/>
        <v>1.994406836309681</v>
      </c>
      <c r="S99" s="92">
        <f t="shared" si="46"/>
        <v>1.994406836309681</v>
      </c>
      <c r="T99" s="92">
        <f t="shared" si="46"/>
        <v>1.9944068363096807</v>
      </c>
      <c r="U99" s="92">
        <f t="shared" si="46"/>
        <v>1.9944068363096807</v>
      </c>
      <c r="V99" s="92">
        <f t="shared" si="46"/>
        <v>1.9944068363096805</v>
      </c>
      <c r="W99" s="92">
        <f>W101</f>
        <v>1.9944068363096805</v>
      </c>
    </row>
    <row r="100" spans="2:25" x14ac:dyDescent="0.2">
      <c r="B100" s="22" t="s">
        <v>105</v>
      </c>
      <c r="C100" s="23"/>
      <c r="D100" s="23"/>
      <c r="E100" s="184">
        <f>((E36*D90)-(E38*(D93+D95)))/(D91+D92+D94)</f>
        <v>1.3300501067037456</v>
      </c>
      <c r="F100" s="184">
        <f>((F36*E90)-(F38*(E93+E95)))/(E91+E92+E94)</f>
        <v>1.4422601697097268</v>
      </c>
      <c r="G100" s="184">
        <f>((G36*F90)-(G38*(F93+F95)))/(F91+F92+F94)</f>
        <v>1.5667517513753211</v>
      </c>
      <c r="H100" s="23">
        <f t="shared" ref="H100:W100" si="47">IF(G90&gt;0,(G100*G91+H37*(G94+G92))/(G91+G92+G94),H37)</f>
        <v>1.6908439377034645</v>
      </c>
      <c r="I100" s="23">
        <f t="shared" si="47"/>
        <v>1.7707918845428485</v>
      </c>
      <c r="J100" s="23">
        <f t="shared" si="47"/>
        <v>1.8290334794176364</v>
      </c>
      <c r="K100" s="23">
        <f t="shared" si="47"/>
        <v>1.8817868430887097</v>
      </c>
      <c r="L100" s="23">
        <f t="shared" si="47"/>
        <v>1.9231701113634601</v>
      </c>
      <c r="M100" s="23">
        <f t="shared" si="47"/>
        <v>1.9352677268814316</v>
      </c>
      <c r="N100" s="23">
        <f t="shared" si="47"/>
        <v>1.9573515065775851</v>
      </c>
      <c r="O100" s="23">
        <f t="shared" si="47"/>
        <v>1.9793357018026567</v>
      </c>
      <c r="P100" s="23">
        <f t="shared" si="47"/>
        <v>1.994406836309681</v>
      </c>
      <c r="Q100" s="23">
        <f t="shared" si="47"/>
        <v>1.994406836309681</v>
      </c>
      <c r="R100" s="23">
        <f t="shared" si="47"/>
        <v>1.994406836309681</v>
      </c>
      <c r="S100" s="23">
        <f t="shared" si="47"/>
        <v>1.994406836309681</v>
      </c>
      <c r="T100" s="23">
        <f t="shared" si="47"/>
        <v>1.9944068363096807</v>
      </c>
      <c r="U100" s="23">
        <f t="shared" si="47"/>
        <v>1.9944068363096807</v>
      </c>
      <c r="V100" s="23">
        <f t="shared" si="47"/>
        <v>1.9944068363096805</v>
      </c>
      <c r="W100" s="23">
        <f t="shared" si="47"/>
        <v>1.9944068363096805</v>
      </c>
    </row>
    <row r="101" spans="2:25" x14ac:dyDescent="0.2">
      <c r="B101" s="24" t="s">
        <v>41</v>
      </c>
      <c r="C101" s="35"/>
      <c r="D101" s="35"/>
      <c r="E101" s="35">
        <f t="shared" ref="E101:W101" si="48">(E100*(D91+D92+D94)+E38*(D93+D95))/D90</f>
        <v>1.550894</v>
      </c>
      <c r="F101" s="35">
        <f t="shared" si="48"/>
        <v>1.641526</v>
      </c>
      <c r="G101" s="35">
        <f t="shared" si="48"/>
        <v>1.6843859999999999</v>
      </c>
      <c r="H101" s="35">
        <f t="shared" si="48"/>
        <v>1.7963362728642545</v>
      </c>
      <c r="I101" s="35">
        <f t="shared" si="48"/>
        <v>1.8477295502688917</v>
      </c>
      <c r="J101" s="35">
        <f t="shared" si="48"/>
        <v>1.8765132788055841</v>
      </c>
      <c r="K101" s="35">
        <f t="shared" si="48"/>
        <v>1.9046582440660691</v>
      </c>
      <c r="L101" s="35">
        <f t="shared" si="48"/>
        <v>1.9309319418432969</v>
      </c>
      <c r="M101" s="35">
        <f t="shared" si="48"/>
        <v>1.9360733845092364</v>
      </c>
      <c r="N101" s="35">
        <f t="shared" si="48"/>
        <v>1.9574640995012271</v>
      </c>
      <c r="O101" s="35">
        <f t="shared" si="48"/>
        <v>1.9793499442805511</v>
      </c>
      <c r="P101" s="35">
        <f t="shared" si="48"/>
        <v>1.9944079624134392</v>
      </c>
      <c r="Q101" s="35">
        <f t="shared" si="48"/>
        <v>1.994406836309681</v>
      </c>
      <c r="R101" s="35">
        <f t="shared" si="48"/>
        <v>1.994406836309681</v>
      </c>
      <c r="S101" s="35">
        <f t="shared" si="48"/>
        <v>1.994406836309681</v>
      </c>
      <c r="T101" s="35">
        <f t="shared" si="48"/>
        <v>1.9944068363096807</v>
      </c>
      <c r="U101" s="35">
        <f t="shared" si="48"/>
        <v>1.9944068363096807</v>
      </c>
      <c r="V101" s="35">
        <f t="shared" si="48"/>
        <v>1.9944068363096805</v>
      </c>
      <c r="W101" s="35">
        <f t="shared" si="48"/>
        <v>1.9944068363096805</v>
      </c>
    </row>
    <row r="102" spans="2:25" x14ac:dyDescent="0.2">
      <c r="C102" s="27"/>
      <c r="D102" s="27"/>
      <c r="E102" s="27"/>
      <c r="F102" s="27"/>
      <c r="G102" s="23"/>
      <c r="H102" s="23"/>
      <c r="I102" s="23"/>
      <c r="J102" s="23"/>
      <c r="K102" s="23"/>
      <c r="L102" s="23"/>
      <c r="M102" s="23"/>
      <c r="N102" s="23"/>
      <c r="O102" s="23"/>
      <c r="P102" s="23"/>
      <c r="Q102" s="23"/>
      <c r="R102" s="23"/>
      <c r="S102" s="23"/>
      <c r="T102" s="23"/>
      <c r="U102" s="23"/>
      <c r="V102" s="23"/>
      <c r="W102" s="23"/>
    </row>
    <row r="103" spans="2:25" x14ac:dyDescent="0.2">
      <c r="B103" s="90" t="s">
        <v>134</v>
      </c>
      <c r="C103" s="92">
        <f t="shared" ref="C103:W103" si="49">((1+C99/100)/((1+C24/100)*(1+C42/100))-1)*100</f>
        <v>-12.245307400573802</v>
      </c>
      <c r="D103" s="92">
        <f t="shared" si="49"/>
        <v>-13.05543232655879</v>
      </c>
      <c r="E103" s="92">
        <f t="shared" si="49"/>
        <v>1.8855084301715008</v>
      </c>
      <c r="F103" s="92">
        <f t="shared" si="49"/>
        <v>-2.1266613444980154</v>
      </c>
      <c r="G103" s="92">
        <f t="shared" si="49"/>
        <v>-3.5011632013121075</v>
      </c>
      <c r="H103" s="92">
        <f t="shared" si="49"/>
        <v>-3.7979178008702874</v>
      </c>
      <c r="I103" s="92">
        <f t="shared" si="49"/>
        <v>-3.8763297026594867</v>
      </c>
      <c r="J103" s="92">
        <f t="shared" si="49"/>
        <v>-3.7151976497935335</v>
      </c>
      <c r="K103" s="92">
        <f t="shared" si="49"/>
        <v>-3.3779510428381676</v>
      </c>
      <c r="L103" s="92">
        <f t="shared" si="49"/>
        <v>-3.2158299883105257</v>
      </c>
      <c r="M103" s="92">
        <f t="shared" si="49"/>
        <v>-3.0329699299292745</v>
      </c>
      <c r="N103" s="92">
        <f t="shared" si="49"/>
        <v>-2.7946148675187521</v>
      </c>
      <c r="O103" s="92">
        <f t="shared" si="49"/>
        <v>-2.5191485539123093</v>
      </c>
      <c r="P103" s="92">
        <f t="shared" si="49"/>
        <v>-2.4183860927139977</v>
      </c>
      <c r="Q103" s="92">
        <f t="shared" si="49"/>
        <v>-2.3318996303277939</v>
      </c>
      <c r="R103" s="92">
        <f t="shared" si="49"/>
        <v>-2.2452814830041912</v>
      </c>
      <c r="S103" s="92">
        <f t="shared" si="49"/>
        <v>-2.2177687675521307</v>
      </c>
      <c r="T103" s="92">
        <f t="shared" si="49"/>
        <v>-2.1543065411749662</v>
      </c>
      <c r="U103" s="92">
        <f t="shared" si="49"/>
        <v>-2.0797951349250665</v>
      </c>
      <c r="V103" s="92">
        <f t="shared" si="49"/>
        <v>-1.9897510884146707</v>
      </c>
      <c r="W103" s="92">
        <f t="shared" si="49"/>
        <v>-1.8696889768963665</v>
      </c>
    </row>
    <row r="104" spans="2:25" x14ac:dyDescent="0.2">
      <c r="F104" s="23"/>
      <c r="G104" s="23"/>
      <c r="H104" s="23"/>
      <c r="I104" s="23"/>
      <c r="J104" s="23"/>
      <c r="K104" s="23"/>
      <c r="L104" s="23"/>
      <c r="M104" s="23"/>
      <c r="N104" s="23"/>
      <c r="O104" s="23"/>
      <c r="P104" s="23"/>
      <c r="Q104" s="23"/>
      <c r="R104" s="23"/>
      <c r="S104" s="23"/>
      <c r="T104" s="23"/>
      <c r="U104" s="23"/>
      <c r="V104" s="23"/>
      <c r="W104" s="23"/>
    </row>
    <row r="105" spans="2:25" x14ac:dyDescent="0.2">
      <c r="F105" s="23"/>
      <c r="G105" s="23"/>
      <c r="H105" s="173"/>
      <c r="I105" s="173"/>
      <c r="J105" s="173"/>
      <c r="K105" s="173"/>
      <c r="L105" s="173"/>
      <c r="M105" s="173"/>
      <c r="N105" s="173"/>
      <c r="O105" s="173"/>
      <c r="P105" s="173"/>
      <c r="Q105" s="173"/>
      <c r="R105" s="173"/>
      <c r="S105" s="173"/>
      <c r="T105" s="173"/>
      <c r="U105" s="23"/>
      <c r="V105" s="23"/>
      <c r="W105" s="23"/>
    </row>
    <row r="106" spans="2:25" x14ac:dyDescent="0.2">
      <c r="T106" s="47"/>
      <c r="U106" s="47"/>
      <c r="V106" s="47"/>
      <c r="W106" s="47"/>
      <c r="X106" s="47"/>
      <c r="Y106" s="47"/>
    </row>
    <row r="107" spans="2:25" x14ac:dyDescent="0.2">
      <c r="T107" s="47"/>
      <c r="U107" s="93"/>
      <c r="V107" s="93"/>
      <c r="W107" s="93"/>
      <c r="X107" s="93"/>
      <c r="Y107" s="47"/>
    </row>
    <row r="108" spans="2:25" x14ac:dyDescent="0.2">
      <c r="H108" s="98"/>
      <c r="I108" s="98"/>
      <c r="J108" s="98"/>
      <c r="K108" s="98"/>
      <c r="L108" s="98"/>
      <c r="M108" s="98"/>
      <c r="N108" s="98"/>
      <c r="O108" s="98"/>
      <c r="P108" s="98"/>
      <c r="Q108" s="98"/>
      <c r="R108" s="98"/>
      <c r="S108" s="98"/>
      <c r="T108" s="98"/>
      <c r="U108" s="98"/>
      <c r="V108" s="98"/>
      <c r="W108" s="98"/>
    </row>
    <row r="109" spans="2:25" x14ac:dyDescent="0.2">
      <c r="E109" s="23"/>
      <c r="F109" s="23"/>
      <c r="G109" s="98"/>
      <c r="H109" s="98"/>
      <c r="I109" s="98"/>
      <c r="J109" s="98"/>
      <c r="K109" s="98"/>
      <c r="L109" s="98"/>
      <c r="M109" s="98"/>
      <c r="N109" s="98"/>
      <c r="O109" s="98"/>
      <c r="P109" s="98"/>
      <c r="Q109" s="98"/>
      <c r="R109" s="98"/>
      <c r="S109" s="98"/>
      <c r="T109" s="98"/>
      <c r="U109" s="98"/>
      <c r="V109" s="98"/>
      <c r="W109" s="98"/>
    </row>
    <row r="110" spans="2:25" x14ac:dyDescent="0.2">
      <c r="E110" s="23"/>
      <c r="F110" s="23"/>
      <c r="G110" s="98"/>
      <c r="H110" s="98"/>
      <c r="I110" s="98"/>
      <c r="J110" s="98"/>
      <c r="K110" s="98"/>
      <c r="L110" s="98"/>
      <c r="M110" s="98"/>
      <c r="N110" s="98"/>
      <c r="O110" s="98"/>
      <c r="P110" s="98"/>
      <c r="Q110" s="98"/>
      <c r="R110" s="98"/>
      <c r="S110" s="98"/>
      <c r="T110" s="98"/>
      <c r="U110" s="98"/>
      <c r="V110" s="98"/>
      <c r="W110" s="98"/>
    </row>
    <row r="113" spans="5:24" x14ac:dyDescent="0.2">
      <c r="E113" s="23"/>
      <c r="F113" s="23"/>
      <c r="G113" s="98"/>
      <c r="H113" s="98"/>
      <c r="I113" s="98"/>
      <c r="J113" s="98"/>
      <c r="K113" s="98"/>
      <c r="L113" s="98"/>
      <c r="M113" s="98"/>
      <c r="N113" s="98"/>
      <c r="O113" s="98"/>
      <c r="P113" s="98"/>
      <c r="Q113" s="98"/>
      <c r="R113" s="98"/>
      <c r="S113" s="98"/>
      <c r="T113" s="98"/>
      <c r="U113" s="98"/>
      <c r="V113" s="98"/>
      <c r="W113" s="98"/>
    </row>
    <row r="114" spans="5:24" x14ac:dyDescent="0.2">
      <c r="E114" s="23"/>
      <c r="F114" s="23"/>
      <c r="G114" s="98"/>
      <c r="H114" s="98"/>
      <c r="I114" s="98"/>
      <c r="J114" s="98"/>
      <c r="K114" s="98"/>
      <c r="L114" s="98"/>
      <c r="M114" s="98"/>
      <c r="N114" s="98"/>
      <c r="O114" s="98"/>
      <c r="P114" s="98"/>
      <c r="Q114" s="98"/>
      <c r="R114" s="98"/>
      <c r="S114" s="98"/>
      <c r="T114" s="98"/>
      <c r="U114" s="98"/>
      <c r="V114" s="98"/>
      <c r="W114" s="98"/>
      <c r="X114" s="38"/>
    </row>
    <row r="115" spans="5:24" x14ac:dyDescent="0.2">
      <c r="G115" s="38"/>
      <c r="H115" s="38"/>
      <c r="I115" s="38"/>
      <c r="J115" s="38"/>
      <c r="K115" s="38"/>
      <c r="L115" s="38"/>
      <c r="M115" s="38"/>
      <c r="N115" s="38"/>
      <c r="O115" s="38"/>
      <c r="P115" s="38"/>
      <c r="Q115" s="38"/>
      <c r="R115" s="38"/>
      <c r="S115" s="38"/>
      <c r="T115" s="38"/>
      <c r="U115" s="38"/>
      <c r="V115" s="38"/>
      <c r="W115" s="38"/>
      <c r="X115" s="38"/>
    </row>
    <row r="116" spans="5:24" x14ac:dyDescent="0.2">
      <c r="E116" s="23"/>
      <c r="F116" s="23"/>
      <c r="G116" s="98"/>
      <c r="H116" s="98"/>
      <c r="I116" s="98"/>
      <c r="J116" s="98"/>
      <c r="K116" s="98"/>
      <c r="L116" s="98"/>
      <c r="M116" s="98"/>
      <c r="N116" s="98"/>
      <c r="O116" s="98"/>
      <c r="P116" s="98"/>
      <c r="Q116" s="98"/>
      <c r="R116" s="98"/>
      <c r="S116" s="98"/>
      <c r="T116" s="98"/>
      <c r="U116" s="98"/>
      <c r="V116" s="98"/>
      <c r="W116" s="98"/>
      <c r="X116" s="38"/>
    </row>
    <row r="117" spans="5:24" x14ac:dyDescent="0.2">
      <c r="E117" s="23"/>
      <c r="F117" s="23"/>
      <c r="G117" s="98"/>
      <c r="H117" s="98"/>
      <c r="I117" s="98"/>
      <c r="J117" s="98"/>
      <c r="K117" s="98"/>
      <c r="L117" s="98"/>
      <c r="M117" s="98"/>
      <c r="N117" s="98"/>
      <c r="O117" s="98"/>
      <c r="P117" s="98"/>
      <c r="Q117" s="98"/>
      <c r="R117" s="98"/>
      <c r="S117" s="98"/>
      <c r="T117" s="98"/>
      <c r="U117" s="98"/>
      <c r="V117" s="98"/>
      <c r="W117" s="98"/>
      <c r="X117" s="38"/>
    </row>
    <row r="118" spans="5:24" x14ac:dyDescent="0.2">
      <c r="G118" s="38"/>
      <c r="H118" s="38"/>
      <c r="I118" s="38"/>
      <c r="J118" s="38"/>
      <c r="K118" s="38"/>
      <c r="L118" s="38"/>
      <c r="M118" s="38"/>
      <c r="N118" s="38"/>
      <c r="O118" s="38"/>
      <c r="P118" s="38"/>
      <c r="Q118" s="38"/>
      <c r="R118" s="38"/>
      <c r="S118" s="38"/>
      <c r="T118" s="38"/>
      <c r="U118" s="38"/>
      <c r="V118" s="38"/>
      <c r="W118" s="38"/>
      <c r="X118" s="38"/>
    </row>
    <row r="119" spans="5:24" x14ac:dyDescent="0.2">
      <c r="E119" s="23"/>
      <c r="F119" s="23"/>
      <c r="G119" s="98"/>
      <c r="H119" s="98"/>
      <c r="I119" s="98"/>
      <c r="J119" s="98"/>
      <c r="K119" s="98"/>
      <c r="L119" s="98"/>
      <c r="M119" s="98"/>
      <c r="N119" s="98"/>
      <c r="O119" s="98"/>
      <c r="P119" s="98"/>
      <c r="Q119" s="98"/>
      <c r="R119" s="98"/>
      <c r="S119" s="98"/>
      <c r="T119" s="98"/>
      <c r="U119" s="98"/>
      <c r="V119" s="98"/>
      <c r="W119" s="98"/>
      <c r="X119" s="98"/>
    </row>
    <row r="120" spans="5:24" x14ac:dyDescent="0.2">
      <c r="E120" s="23"/>
      <c r="F120" s="23"/>
      <c r="G120" s="98"/>
      <c r="H120" s="98"/>
      <c r="I120" s="98"/>
      <c r="J120" s="98"/>
      <c r="K120" s="98"/>
      <c r="L120" s="98"/>
      <c r="M120" s="98"/>
      <c r="N120" s="98"/>
      <c r="O120" s="98"/>
      <c r="P120" s="98"/>
      <c r="Q120" s="98"/>
      <c r="R120" s="98"/>
      <c r="S120" s="98"/>
      <c r="T120" s="98"/>
      <c r="U120" s="98"/>
      <c r="V120" s="98"/>
      <c r="W120" s="98"/>
      <c r="X120" s="98"/>
    </row>
    <row r="121" spans="5:24" x14ac:dyDescent="0.2">
      <c r="G121" s="98"/>
      <c r="H121" s="98"/>
      <c r="I121" s="98"/>
      <c r="J121" s="98"/>
      <c r="K121" s="98"/>
      <c r="L121" s="98"/>
      <c r="M121" s="98"/>
      <c r="N121" s="98"/>
      <c r="O121" s="98"/>
      <c r="P121" s="98"/>
      <c r="Q121" s="98"/>
      <c r="R121" s="98"/>
      <c r="S121" s="98"/>
      <c r="T121" s="98"/>
      <c r="U121" s="98"/>
      <c r="V121" s="98"/>
      <c r="W121" s="98"/>
      <c r="X121" s="98"/>
    </row>
    <row r="122" spans="5:24" x14ac:dyDescent="0.2">
      <c r="E122" s="23"/>
      <c r="F122" s="23"/>
      <c r="G122" s="98"/>
      <c r="H122" s="98"/>
      <c r="I122" s="98"/>
      <c r="J122" s="98"/>
      <c r="K122" s="98"/>
      <c r="L122" s="98"/>
      <c r="M122" s="98"/>
      <c r="N122" s="98"/>
      <c r="O122" s="98"/>
      <c r="P122" s="98"/>
      <c r="Q122" s="98"/>
      <c r="R122" s="98"/>
      <c r="S122" s="98"/>
      <c r="T122" s="98"/>
      <c r="U122" s="98"/>
      <c r="V122" s="98"/>
      <c r="W122" s="98"/>
      <c r="X122" s="98"/>
    </row>
    <row r="123" spans="5:24" x14ac:dyDescent="0.2">
      <c r="E123" s="23"/>
      <c r="F123" s="23"/>
      <c r="G123" s="98"/>
      <c r="H123" s="98"/>
      <c r="I123" s="98"/>
      <c r="J123" s="98"/>
      <c r="K123" s="98"/>
      <c r="L123" s="98"/>
      <c r="M123" s="98"/>
      <c r="N123" s="98"/>
      <c r="O123" s="98"/>
      <c r="P123" s="98"/>
      <c r="Q123" s="98"/>
      <c r="R123" s="98"/>
      <c r="S123" s="98"/>
      <c r="T123" s="98"/>
      <c r="U123" s="98"/>
      <c r="V123" s="98"/>
      <c r="W123" s="98"/>
      <c r="X123" s="98"/>
    </row>
    <row r="124" spans="5:24" x14ac:dyDescent="0.2">
      <c r="G124" s="98"/>
      <c r="H124" s="98"/>
      <c r="I124" s="98"/>
      <c r="J124" s="98"/>
      <c r="K124" s="98"/>
      <c r="L124" s="98"/>
      <c r="M124" s="98"/>
      <c r="N124" s="98"/>
      <c r="O124" s="98"/>
      <c r="P124" s="98"/>
      <c r="Q124" s="98"/>
      <c r="R124" s="98"/>
      <c r="S124" s="98"/>
      <c r="T124" s="98"/>
      <c r="U124" s="98"/>
      <c r="V124" s="98"/>
      <c r="W124" s="98"/>
      <c r="X124" s="98"/>
    </row>
    <row r="125" spans="5:24" x14ac:dyDescent="0.2">
      <c r="G125" s="98"/>
      <c r="H125" s="98"/>
      <c r="I125" s="98"/>
      <c r="J125" s="98"/>
      <c r="K125" s="98"/>
      <c r="L125" s="98"/>
      <c r="M125" s="98"/>
      <c r="N125" s="98"/>
      <c r="O125" s="98"/>
      <c r="P125" s="98"/>
      <c r="Q125" s="98"/>
      <c r="R125" s="98"/>
      <c r="S125" s="98"/>
      <c r="T125" s="98"/>
      <c r="U125" s="98"/>
      <c r="V125" s="98"/>
      <c r="W125" s="98"/>
      <c r="X125" s="98"/>
    </row>
  </sheetData>
  <conditionalFormatting sqref="G12:M12">
    <cfRule type="expression" dxfId="6" priority="4">
      <formula>AND(G10&gt;$C$5,G10&lt;=$C$6)</formula>
    </cfRule>
  </conditionalFormatting>
  <conditionalFormatting sqref="U10:W44 U46:W53 U84:W140 U55:W82">
    <cfRule type="expression" dxfId="5" priority="1">
      <formula>U$10&gt;$C$7</formula>
    </cfRule>
  </conditionalFormatting>
  <pageMargins left="0.7" right="0.7" top="0.75" bottom="0.75" header="0.3" footer="0.3"/>
  <pageSetup paperSize="9" orientation="portrait" r:id="rId1"/>
  <ignoredErrors>
    <ignoredError sqref="C5 C47:C48"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BD62-F475-4E99-9E07-BEAA4AE832C8}">
  <sheetPr codeName="Sheet18">
    <tabColor rgb="FF92D050"/>
  </sheetPr>
  <dimension ref="A1:AY139"/>
  <sheetViews>
    <sheetView zoomScaleNormal="100" workbookViewId="0"/>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51" ht="24.75" customHeight="1" x14ac:dyDescent="0.2">
      <c r="B1" s="28"/>
    </row>
    <row r="2" spans="1:51" ht="11.25" customHeight="1" x14ac:dyDescent="0.2">
      <c r="B2" s="16"/>
    </row>
    <row r="3" spans="1:51" ht="11.25" customHeight="1" x14ac:dyDescent="0.2">
      <c r="B3" s="8" t="s">
        <v>11</v>
      </c>
      <c r="C3" s="9" t="str">
        <f>'Input data'!C3</f>
        <v>IE</v>
      </c>
    </row>
    <row r="4" spans="1:51" x14ac:dyDescent="0.2">
      <c r="B4" s="49" t="s">
        <v>16</v>
      </c>
      <c r="C4" s="10"/>
    </row>
    <row r="5" spans="1:51" x14ac:dyDescent="0.2">
      <c r="A5" s="18"/>
      <c r="B5" s="11" t="str">
        <f>'Input data'!B5</f>
        <v>Last year before the adjustment</v>
      </c>
      <c r="C5" s="12">
        <f>+'Input data'!C5</f>
        <v>2024</v>
      </c>
      <c r="J5" s="38"/>
      <c r="M5" s="27"/>
    </row>
    <row r="6" spans="1:51" x14ac:dyDescent="0.2">
      <c r="A6" s="18"/>
      <c r="B6" s="50" t="s">
        <v>22</v>
      </c>
      <c r="C6" s="12">
        <f>+C5+'Criteria results'!$F$5</f>
        <v>2028</v>
      </c>
      <c r="E6" s="30"/>
      <c r="F6" s="18"/>
    </row>
    <row r="7" spans="1:51" x14ac:dyDescent="0.2">
      <c r="A7" s="18"/>
      <c r="B7" s="13" t="s">
        <v>17</v>
      </c>
      <c r="C7" s="51">
        <f>C5+'Criteria results'!$F$5+10</f>
        <v>2038</v>
      </c>
      <c r="E7" s="30"/>
      <c r="F7" s="18"/>
      <c r="G7" s="38"/>
      <c r="H7" s="38"/>
      <c r="I7" s="38"/>
      <c r="J7" s="38"/>
      <c r="K7" s="38"/>
      <c r="L7" s="38"/>
      <c r="M7" s="38"/>
    </row>
    <row r="8" spans="1:51" x14ac:dyDescent="0.2">
      <c r="A8" s="18"/>
      <c r="C8" s="18"/>
      <c r="E8" s="30"/>
      <c r="F8" s="18"/>
      <c r="G8" s="18"/>
      <c r="H8" s="18"/>
      <c r="I8" s="18"/>
      <c r="J8" s="18"/>
      <c r="K8" s="18"/>
      <c r="L8" s="18"/>
      <c r="M8" s="18"/>
      <c r="N8" s="18"/>
      <c r="O8" s="18"/>
      <c r="P8" s="18"/>
      <c r="Q8" s="18"/>
      <c r="R8" s="18"/>
      <c r="S8" s="18"/>
      <c r="T8" s="18"/>
      <c r="U8" s="18"/>
      <c r="V8" s="18"/>
      <c r="W8" s="18"/>
    </row>
    <row r="9" spans="1:51" s="52" customFormat="1" ht="12.75" x14ac:dyDescent="0.2">
      <c r="B9" s="14" t="s">
        <v>23</v>
      </c>
    </row>
    <row r="10" spans="1:51" x14ac:dyDescent="0.2">
      <c r="C10" s="20">
        <v>2021</v>
      </c>
      <c r="D10" s="20">
        <v>2022</v>
      </c>
      <c r="E10" s="20">
        <v>2023</v>
      </c>
      <c r="F10" s="20">
        <v>2024</v>
      </c>
      <c r="G10" s="20">
        <v>2025</v>
      </c>
      <c r="H10" s="20">
        <v>2026</v>
      </c>
      <c r="I10" s="20">
        <v>2027</v>
      </c>
      <c r="J10" s="20">
        <v>2028</v>
      </c>
      <c r="K10" s="20">
        <v>2029</v>
      </c>
      <c r="L10" s="20">
        <v>2030</v>
      </c>
      <c r="M10" s="20">
        <v>2031</v>
      </c>
      <c r="N10" s="20">
        <v>2032</v>
      </c>
      <c r="O10" s="20">
        <v>2033</v>
      </c>
      <c r="P10" s="20">
        <v>2034</v>
      </c>
      <c r="Q10" s="20">
        <v>2035</v>
      </c>
      <c r="R10" s="20">
        <v>2036</v>
      </c>
      <c r="S10" s="20">
        <v>2037</v>
      </c>
      <c r="T10" s="20">
        <v>2038</v>
      </c>
      <c r="U10" s="20">
        <v>2039</v>
      </c>
      <c r="V10" s="20">
        <v>2040</v>
      </c>
      <c r="W10" s="20">
        <v>2041</v>
      </c>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row>
    <row r="11" spans="1:51" x14ac:dyDescent="0.2">
      <c r="B11" s="17" t="s">
        <v>24</v>
      </c>
      <c r="C11" s="18"/>
      <c r="D11" s="18"/>
      <c r="E11" s="18"/>
      <c r="F11" s="181"/>
      <c r="G11" s="181"/>
      <c r="H11" s="181"/>
      <c r="I11" s="181"/>
      <c r="J11" s="181"/>
      <c r="K11" s="181"/>
      <c r="L11" s="181"/>
      <c r="M11" s="181"/>
      <c r="N11" s="181"/>
      <c r="O11" s="181"/>
      <c r="P11" s="181"/>
      <c r="Q11" s="181"/>
      <c r="R11" s="181"/>
      <c r="S11" s="181"/>
      <c r="T11" s="181"/>
      <c r="U11" s="181"/>
      <c r="V11" s="181"/>
      <c r="W11" s="181"/>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row>
    <row r="12" spans="1:51" x14ac:dyDescent="0.2">
      <c r="B12" s="15" t="s">
        <v>26</v>
      </c>
      <c r="C12" s="1">
        <f>'Input data'!C13</f>
        <v>-3.1653180000000001</v>
      </c>
      <c r="D12" s="2">
        <f>'Input data'!D13</f>
        <v>-2.376722</v>
      </c>
      <c r="E12" s="2">
        <f>'Input data'!E13</f>
        <v>1.7124649999999999</v>
      </c>
      <c r="F12" s="2">
        <f>'Input data'!F13</f>
        <v>2.5288010000000001</v>
      </c>
      <c r="G12" s="3">
        <f>IF(G10&lt;=$C$6,F12+'Criteria results'!$F$7,F12)</f>
        <v>2.5288010000000001</v>
      </c>
      <c r="H12" s="3">
        <f>IF(H10&lt;=$C$6,G12+'Criteria results'!$F$7,G12)</f>
        <v>2.5288010000000001</v>
      </c>
      <c r="I12" s="3">
        <f>IF(I10&lt;=$C$6,H12+'Criteria results'!$F$7,H12)</f>
        <v>2.5288010000000001</v>
      </c>
      <c r="J12" s="3">
        <f>IF(J10&lt;=$C$6,I12+'Criteria results'!$F$7,I12)</f>
        <v>2.5288010000000001</v>
      </c>
      <c r="K12" s="96">
        <f>IF(K10&lt;=$C$6,J12+'Criteria results'!$F$7,J12)</f>
        <v>2.5288010000000001</v>
      </c>
      <c r="L12" s="96">
        <f>IF(L10&lt;=$C$6,K12+'Criteria results'!$F$7,K12)</f>
        <v>2.5288010000000001</v>
      </c>
      <c r="M12" s="96">
        <f>IF(M10&lt;=$C$6,L12+'Criteria results'!$F$7,L12)</f>
        <v>2.5288010000000001</v>
      </c>
      <c r="N12" s="96">
        <f>M12</f>
        <v>2.5288010000000001</v>
      </c>
      <c r="O12" s="96">
        <f t="shared" ref="O12:W12" si="0">N12</f>
        <v>2.5288010000000001</v>
      </c>
      <c r="P12" s="96">
        <f t="shared" si="0"/>
        <v>2.5288010000000001</v>
      </c>
      <c r="Q12" s="96">
        <f t="shared" si="0"/>
        <v>2.5288010000000001</v>
      </c>
      <c r="R12" s="96">
        <f t="shared" si="0"/>
        <v>2.5288010000000001</v>
      </c>
      <c r="S12" s="96">
        <f t="shared" si="0"/>
        <v>2.5288010000000001</v>
      </c>
      <c r="T12" s="96">
        <f t="shared" si="0"/>
        <v>2.5288010000000001</v>
      </c>
      <c r="U12" s="96">
        <f t="shared" si="0"/>
        <v>2.5288010000000001</v>
      </c>
      <c r="V12" s="96">
        <f t="shared" si="0"/>
        <v>2.5288010000000001</v>
      </c>
      <c r="W12" s="96">
        <f t="shared" si="0"/>
        <v>2.5288010000000001</v>
      </c>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5"/>
    </row>
    <row r="13" spans="1:51" x14ac:dyDescent="0.2">
      <c r="B13" s="263" t="s">
        <v>138</v>
      </c>
      <c r="C13" s="18"/>
      <c r="D13" s="18"/>
      <c r="E13" s="18"/>
      <c r="F13" s="181"/>
      <c r="G13" s="181">
        <f>G12-F12</f>
        <v>0</v>
      </c>
      <c r="H13" s="181">
        <f t="shared" ref="H13:W13" si="1">H12-G12</f>
        <v>0</v>
      </c>
      <c r="I13" s="181">
        <f t="shared" si="1"/>
        <v>0</v>
      </c>
      <c r="J13" s="181">
        <f t="shared" si="1"/>
        <v>0</v>
      </c>
      <c r="K13" s="181">
        <f t="shared" si="1"/>
        <v>0</v>
      </c>
      <c r="L13" s="181">
        <f t="shared" si="1"/>
        <v>0</v>
      </c>
      <c r="M13" s="181">
        <f t="shared" si="1"/>
        <v>0</v>
      </c>
      <c r="N13" s="181">
        <f t="shared" si="1"/>
        <v>0</v>
      </c>
      <c r="O13" s="181">
        <f t="shared" si="1"/>
        <v>0</v>
      </c>
      <c r="P13" s="181">
        <f t="shared" si="1"/>
        <v>0</v>
      </c>
      <c r="Q13" s="181">
        <f t="shared" si="1"/>
        <v>0</v>
      </c>
      <c r="R13" s="181">
        <f t="shared" si="1"/>
        <v>0</v>
      </c>
      <c r="S13" s="181">
        <f t="shared" si="1"/>
        <v>0</v>
      </c>
      <c r="T13" s="181">
        <f t="shared" si="1"/>
        <v>0</v>
      </c>
      <c r="U13" s="181">
        <f t="shared" si="1"/>
        <v>0</v>
      </c>
      <c r="V13" s="181">
        <f t="shared" si="1"/>
        <v>0</v>
      </c>
      <c r="W13" s="181">
        <f t="shared" si="1"/>
        <v>0</v>
      </c>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row>
    <row r="14" spans="1:51" x14ac:dyDescent="0.2">
      <c r="B14" s="15" t="s">
        <v>27</v>
      </c>
      <c r="C14" s="1">
        <f>'Input data'!C14</f>
        <v>0</v>
      </c>
      <c r="D14" s="2">
        <f>'Input data'!D14</f>
        <v>0</v>
      </c>
      <c r="E14" s="2">
        <f>'Input data'!E14</f>
        <v>0</v>
      </c>
      <c r="F14" s="2">
        <f>'Input data'!F14</f>
        <v>0</v>
      </c>
      <c r="G14" s="2">
        <f>'Input data'!G14</f>
        <v>0</v>
      </c>
      <c r="H14" s="2">
        <f>0</f>
        <v>0</v>
      </c>
      <c r="I14" s="2">
        <f>0</f>
        <v>0</v>
      </c>
      <c r="J14" s="2">
        <f>0</f>
        <v>0</v>
      </c>
      <c r="K14" s="2">
        <f>0</f>
        <v>0</v>
      </c>
      <c r="L14" s="2">
        <f>0</f>
        <v>0</v>
      </c>
      <c r="M14" s="2">
        <f>0</f>
        <v>0</v>
      </c>
      <c r="N14" s="2">
        <f>0</f>
        <v>0</v>
      </c>
      <c r="O14" s="2">
        <f>0</f>
        <v>0</v>
      </c>
      <c r="P14" s="2">
        <f>0</f>
        <v>0</v>
      </c>
      <c r="Q14" s="2">
        <f>0</f>
        <v>0</v>
      </c>
      <c r="R14" s="2">
        <f>0</f>
        <v>0</v>
      </c>
      <c r="S14" s="2">
        <f>0</f>
        <v>0</v>
      </c>
      <c r="T14" s="2">
        <f>0</f>
        <v>0</v>
      </c>
      <c r="U14" s="2">
        <f>0</f>
        <v>0</v>
      </c>
      <c r="V14" s="2">
        <f>0</f>
        <v>0</v>
      </c>
      <c r="W14" s="2">
        <f>0</f>
        <v>0</v>
      </c>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5"/>
    </row>
    <row r="15" spans="1:51" x14ac:dyDescent="0.2">
      <c r="B15" s="15" t="s">
        <v>59</v>
      </c>
      <c r="C15" s="1">
        <f>'Input data'!C15</f>
        <v>2.6902740000000001</v>
      </c>
      <c r="D15" s="2">
        <f>'Input data'!D15</f>
        <v>-0.54206140000000003</v>
      </c>
      <c r="E15" s="2">
        <f>'Input data'!E15</f>
        <v>0.84280860000000002</v>
      </c>
      <c r="F15" s="2">
        <f>'Input data'!F15</f>
        <v>1.636568</v>
      </c>
      <c r="G15" s="2">
        <f>'Input data'!G15</f>
        <v>2.20024</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5"/>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19"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46"/>
      <c r="B18" s="15" t="s">
        <v>30</v>
      </c>
      <c r="C18" s="1">
        <f>'Input data'!C20</f>
        <v>0</v>
      </c>
      <c r="D18" s="79">
        <f>'Input data'!D20</f>
        <v>11.98063</v>
      </c>
      <c r="E18" s="79">
        <f>'Input data'!E20</f>
        <v>11.588229999999999</v>
      </c>
      <c r="F18" s="79">
        <f>'Input data'!F20</f>
        <v>11.59789</v>
      </c>
      <c r="G18" s="79">
        <f>'Input data'!G20</f>
        <v>11.651579999999999</v>
      </c>
      <c r="H18" s="79">
        <f>'Input data'!H20</f>
        <v>11.82718</v>
      </c>
      <c r="I18" s="79">
        <f>'Input data'!I20</f>
        <v>12.010150000000001</v>
      </c>
      <c r="J18" s="79">
        <f>'Input data'!J20</f>
        <v>12.141079999999999</v>
      </c>
      <c r="K18" s="79">
        <f>'Input data'!K20</f>
        <v>12.226990000000001</v>
      </c>
      <c r="L18" s="79">
        <f>'Input data'!L20</f>
        <v>12.335329999999999</v>
      </c>
      <c r="M18" s="79">
        <f>'Input data'!M20</f>
        <v>12.45979</v>
      </c>
      <c r="N18" s="79">
        <f>'Input data'!N20</f>
        <v>12.64282</v>
      </c>
      <c r="O18" s="79">
        <f>'Input data'!O20</f>
        <v>12.72106</v>
      </c>
      <c r="P18" s="79">
        <f>'Input data'!P20</f>
        <v>12.846260000000001</v>
      </c>
      <c r="Q18" s="79">
        <f>'Input data'!Q20</f>
        <v>12.96374</v>
      </c>
      <c r="R18" s="79">
        <f>'Input data'!R20</f>
        <v>13.096490000000001</v>
      </c>
      <c r="S18" s="79">
        <f>'Input data'!S20</f>
        <v>13.246269999999999</v>
      </c>
      <c r="T18" s="79">
        <f>'Input data'!T20</f>
        <v>13.310990000000002</v>
      </c>
      <c r="U18" s="79">
        <f>'Input data'!U20</f>
        <v>13.428369999999999</v>
      </c>
      <c r="V18" s="79">
        <f>'Input data'!V20</f>
        <v>13.554639999999999</v>
      </c>
      <c r="W18" s="79">
        <f>'Input data'!W20</f>
        <v>13.691049999999999</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46"/>
      <c r="B19" s="15" t="s">
        <v>36</v>
      </c>
      <c r="C19" s="1">
        <f>'Input data'!C26</f>
        <v>0.1107195</v>
      </c>
      <c r="D19" s="79">
        <f>'Input data'!D26</f>
        <v>0.13275200000000001</v>
      </c>
      <c r="E19" s="79">
        <f>'Input data'!E26</f>
        <v>0.13495019999999999</v>
      </c>
      <c r="F19" s="79">
        <f>'Input data'!F26</f>
        <v>0.1371484</v>
      </c>
      <c r="G19" s="79">
        <f>'Input data'!G26</f>
        <v>0.13934659999999999</v>
      </c>
      <c r="H19" s="79">
        <f>'Input data'!H26</f>
        <v>0.1415448</v>
      </c>
      <c r="I19" s="79">
        <f>'Input data'!I26</f>
        <v>0.14374300000000001</v>
      </c>
      <c r="J19" s="79">
        <f>'Input data'!J26</f>
        <v>0.14594119999999999</v>
      </c>
      <c r="K19" s="79">
        <f>'Input data'!K26</f>
        <v>0.1481394</v>
      </c>
      <c r="L19" s="79">
        <f>'Input data'!L26</f>
        <v>0.15033759999999999</v>
      </c>
      <c r="M19" s="79">
        <f>'Input data'!M26</f>
        <v>0.1525358</v>
      </c>
      <c r="N19" s="79">
        <f>'Input data'!N26</f>
        <v>0.15473400000000001</v>
      </c>
      <c r="O19" s="79">
        <f>'Input data'!O26</f>
        <v>0.15693219999999999</v>
      </c>
      <c r="P19" s="79">
        <f>'Input data'!P26</f>
        <v>0.15913050000000001</v>
      </c>
      <c r="Q19" s="79">
        <f>'Input data'!Q26</f>
        <v>0.16132869999999999</v>
      </c>
      <c r="R19" s="79">
        <f>'Input data'!R26</f>
        <v>0.1635269</v>
      </c>
      <c r="S19" s="79">
        <f>'Input data'!S26</f>
        <v>0.16572509999999999</v>
      </c>
      <c r="T19" s="79">
        <f>'Input data'!T26</f>
        <v>0.1679233</v>
      </c>
      <c r="U19" s="79">
        <f>'Input data'!U26</f>
        <v>0.17012150000000001</v>
      </c>
      <c r="V19" s="79">
        <f>'Input data'!V26</f>
        <v>0.17231969999999999</v>
      </c>
      <c r="W19" s="79">
        <f>'Input data'!W26</f>
        <v>0.1745179</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17" t="s">
        <v>60</v>
      </c>
    </row>
    <row r="22" spans="1:50" ht="10.5" customHeight="1" x14ac:dyDescent="0.2">
      <c r="B22" s="19" t="s">
        <v>61</v>
      </c>
    </row>
    <row r="23" spans="1:50" x14ac:dyDescent="0.2">
      <c r="B23" s="15" t="s">
        <v>39</v>
      </c>
      <c r="C23" s="23">
        <f>'Input data'!C31</f>
        <v>410.94639999999998</v>
      </c>
      <c r="D23" s="78">
        <f>'Baseline NFPC'!D22</f>
        <v>449.71106432020798</v>
      </c>
      <c r="E23" s="78">
        <f>'Baseline NFPC'!E22</f>
        <v>435.32576076006092</v>
      </c>
      <c r="F23" s="78">
        <f>'Baseline NFPC'!F22</f>
        <v>440.73991595314897</v>
      </c>
      <c r="G23" s="23">
        <f>IF(AND(G50&gt;1,F50&gt;1),IF(AND(G50&gt;0,F50&gt;0),G27*(G51/100+1),0)+IF(G50&gt;0,F23*(1+G52/100),0)-F23*(1+'Input data'!G30/100),IF(G50=1,G27,F23*(1+G52/100)))</f>
        <v>455.69777366516195</v>
      </c>
      <c r="H23" s="23">
        <f>IF(AND(H50&gt;1,G50&gt;1),IF(AND(H50&gt;0,G50&gt;0),H27*(H51/100+1),0)+IF(H50&gt;0,G23*(1+H52/100),0)-G23*(1+'Input data'!H30/100),IF(H50=1,H27,G23*(1+H52/100)))</f>
        <v>472.76873176212086</v>
      </c>
      <c r="I23" s="23">
        <f>IF(AND(I50&gt;1,H50&gt;1),IF(AND(I50&gt;0,H50&gt;0),I27*(I51/100+1),0)+IF(I50&gt;0,H23*(1+I52/100),0)-H23*(1+'Input data'!I30/100),IF(I50=1,I27,H23*(1+I52/100)))</f>
        <v>490.74514346033686</v>
      </c>
      <c r="J23" s="23">
        <f>IF(AND(J50&gt;1,I50&gt;1),IF(AND(J50&gt;0,I50&gt;0),J27*(J51/100+1),0)+IF(J50&gt;0,I23*(1+J52/100),0)-I23*(1+'Input data'!J30/100),IF(J50=1,J27,I23*(1+J52/100)))</f>
        <v>508.30099151816682</v>
      </c>
      <c r="K23" s="23">
        <f>IF(AND(K50&gt;1,J50&gt;1),IF(AND(K50&gt;0,J50&gt;0),K27*(K51/100+1),0)+IF(K50&gt;0,J23*(1+K52/100),0)-J23*(1+'Input data'!K30/100),IF(K50=1,K27,J23*(1+K52/100)))</f>
        <v>524.38467182382431</v>
      </c>
      <c r="L23" s="23">
        <f>IF(AND(L50&gt;1,K50&gt;1),IF(AND(L50&gt;0,K50&gt;0),L27*(L51/100+1),0)+IF(L50&gt;0,K23*(1+L52/100),0)-K23*(1+'Input data'!L30/100),IF(L50=1,L27,K23*(1+L52/100)))</f>
        <v>539.79116689586237</v>
      </c>
      <c r="M23" s="23">
        <f>IF(AND(M50&gt;1,L50&gt;1),IF(AND(M50&gt;0,L50&gt;0),M27*(M51/100+1),0)+IF(M50&gt;0,L23*(1+M52/100),0)-L23*(1+'Input data'!M30/100),IF(M50=1,M27,L23*(1+M52/100)))</f>
        <v>554.20041168200885</v>
      </c>
      <c r="N23" s="23">
        <f>IF(AND(N50&gt;1,M50&gt;1),IF(AND(N50&gt;0,M50&gt;0),N27*(N51/100+1),0)+IF(N50&gt;0,M23*(1+N52/100),0)-M23*(1+'Input data'!N30/100),IF(N50=1,N27,M23*(1+N52/100)))</f>
        <v>567.27835540882324</v>
      </c>
      <c r="O23" s="23">
        <f>IF(AND(O50&gt;1,N50&gt;1),IF(AND(O50&gt;0,N50&gt;0),O27*(O51/100+1),0)+IF(O50&gt;0,N23*(1+O52/100),0)-N23*(1+'Input data'!O30/100),IF(O50=1,O27,N23*(1+O52/100)))</f>
        <v>578.69998887167651</v>
      </c>
      <c r="P23" s="23">
        <f>IF(AND(P50&gt;1,O50&gt;1),IF(AND(P50&gt;0,O50&gt;0),P27*(P51/100+1),0)+IF(P50&gt;0,O23*(1+P52/100),0)-O23*(1+'Input data'!P30/100),IF(P50=1,P27,O23*(1+P52/100)))</f>
        <v>589.98728331362338</v>
      </c>
      <c r="Q23" s="23">
        <f>IF(AND(Q50&gt;1,P50&gt;1),IF(AND(Q50&gt;0,P50&gt;0),Q27*(Q51/100+1),0)+IF(Q50&gt;0,P23*(1+Q52/100),0)-P23*(1+'Input data'!Q30/100),IF(Q50=1,Q27,P23*(1+Q52/100)))</f>
        <v>601.1233345852778</v>
      </c>
      <c r="R23" s="23">
        <f>IF(AND(R50&gt;1,Q50&gt;1),IF(AND(R50&gt;0,Q50&gt;0),R27*(R51/100+1),0)+IF(R50&gt;0,Q23*(1+R52/100),0)-Q23*(1+'Input data'!R30/100),IF(R50=1,R27,Q23*(1+R52/100)))</f>
        <v>612.0911123527535</v>
      </c>
      <c r="S23" s="23">
        <f>IF(AND(S50&gt;1,R50&gt;1),IF(AND(S50&gt;0,R50&gt;0),S27*(S51/100+1),0)+IF(S50&gt;0,R23*(1+S52/100),0)-R23*(1+'Input data'!S30/100),IF(S50=1,S27,R23*(1+S52/100)))</f>
        <v>623.25090441503585</v>
      </c>
      <c r="T23" s="23">
        <f>IF(AND(T50&gt;1,S50&gt;1),IF(AND(T50&gt;0,S50&gt;0),T27*(T51/100+1),0)+IF(T50&gt;0,S23*(1+T52/100),0)-S23*(1+'Input data'!T30/100),IF(T50=1,T27,S23*(1+T52/100)))</f>
        <v>634.37285419937643</v>
      </c>
      <c r="U23" s="23">
        <f>IF(AND(U50&gt;1,T50&gt;1),IF(AND(U50&gt;0,T50&gt;0),U27*(U51/100+1),0)+IF(U50&gt;0,T23*(1+U52/100),0)-T23*(1+'Input data'!U30/100),IF(U50=1,U27,T23*(1+U52/100)))</f>
        <v>645.37523935821116</v>
      </c>
      <c r="V23" s="23">
        <f>IF(AND(V50&gt;1,U50&gt;1),IF(AND(V50&gt;0,U50&gt;0),V27*(V51/100+1),0)+IF(V50&gt;0,U23*(1+V52/100),0)-U23*(1+'Input data'!V30/100),IF(V50=1,V27,U23*(1+V52/100)))</f>
        <v>656.14147945371826</v>
      </c>
      <c r="W23" s="23">
        <f>IF(AND(W50&gt;1,V50&gt;1),IF(AND(W50&gt;0,V50&gt;0),W27*(W51/100+1),0)+IF(W50&gt;0,V23*(1+W52/100),0)-V23*(1+'Input data'!W30/100),IF(W50=1,W27,V23*(1+W52/100)))</f>
        <v>666.45019697439318</v>
      </c>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row>
    <row r="24" spans="1:50" x14ac:dyDescent="0.2">
      <c r="A24" s="46"/>
      <c r="B24" s="47" t="s">
        <v>38</v>
      </c>
      <c r="C24" s="23">
        <f>+'Input data'!C30</f>
        <v>15.125220000000001</v>
      </c>
      <c r="D24" s="78">
        <f>'Baseline NFPC'!D23</f>
        <v>9.4330219999999994</v>
      </c>
      <c r="E24" s="78">
        <f>'Baseline NFPC'!E23</f>
        <v>-3.198788</v>
      </c>
      <c r="F24" s="78">
        <f>'Baseline NFPC'!F23</f>
        <v>1.2437020000000001</v>
      </c>
      <c r="G24" s="23">
        <f t="shared" ref="G24:S24" si="2">100*(G23/F23-1)</f>
        <v>3.3938060000000103</v>
      </c>
      <c r="H24" s="23">
        <f t="shared" si="2"/>
        <v>3.7461140000000004</v>
      </c>
      <c r="I24" s="23">
        <f t="shared" si="2"/>
        <v>3.8023689999999943</v>
      </c>
      <c r="J24" s="23">
        <f t="shared" si="2"/>
        <v>3.5773859999999935</v>
      </c>
      <c r="K24" s="23">
        <f t="shared" si="2"/>
        <v>3.1642039999999927</v>
      </c>
      <c r="L24" s="23">
        <f t="shared" si="2"/>
        <v>2.9380139999999999</v>
      </c>
      <c r="M24" s="23">
        <f t="shared" si="2"/>
        <v>2.6694109999999993</v>
      </c>
      <c r="N24" s="23">
        <f t="shared" si="2"/>
        <v>2.3597859999999971</v>
      </c>
      <c r="O24" s="23">
        <f t="shared" si="2"/>
        <v>2.0134089999999993</v>
      </c>
      <c r="P24" s="23">
        <f t="shared" si="2"/>
        <v>1.9504570000000054</v>
      </c>
      <c r="Q24" s="23">
        <f t="shared" si="2"/>
        <v>1.8875069999999994</v>
      </c>
      <c r="R24" s="23">
        <f t="shared" si="2"/>
        <v>1.8245470000000097</v>
      </c>
      <c r="S24" s="23">
        <f t="shared" si="2"/>
        <v>1.82322399999999</v>
      </c>
      <c r="T24" s="23">
        <f>100*(T23/S23-1)</f>
        <v>1.7845059999999968</v>
      </c>
      <c r="U24" s="23">
        <f t="shared" ref="U24:W24" si="3">100*(U23/T23-1)</f>
        <v>1.7343719999999951</v>
      </c>
      <c r="V24" s="23">
        <f t="shared" si="3"/>
        <v>1.6682139999999901</v>
      </c>
      <c r="W24" s="23">
        <f t="shared" si="3"/>
        <v>1.5711119999999967</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row>
    <row r="26" spans="1:50" ht="15" x14ac:dyDescent="0.2">
      <c r="A26" s="153"/>
      <c r="B26" s="19" t="s">
        <v>62</v>
      </c>
      <c r="C26" s="152"/>
      <c r="D26" s="152"/>
      <c r="E26" s="152"/>
      <c r="F26" s="152"/>
    </row>
    <row r="27" spans="1:50" x14ac:dyDescent="0.2">
      <c r="B27" s="15" t="s">
        <v>39</v>
      </c>
      <c r="C27" s="23">
        <f>'Input data'!C34</f>
        <v>392.80360000000002</v>
      </c>
      <c r="D27" s="78">
        <f>+C27*(1+'Input data'!D33/100)</f>
        <v>412.27893996926002</v>
      </c>
      <c r="E27" s="78">
        <f>+D27*(1+'Input data'!E33/100)</f>
        <v>430.14514677977348</v>
      </c>
      <c r="F27" s="78">
        <f>+E27*(1+'Input data'!F33/100)</f>
        <v>445.69743599367973</v>
      </c>
      <c r="G27" s="23">
        <f>+F27*(1+'Input data'!G33/100)</f>
        <v>460.34221582925238</v>
      </c>
      <c r="H27" s="23">
        <f>+G27*(1+'Input data'!H33/100)</f>
        <v>475.97011592279887</v>
      </c>
      <c r="I27" s="23">
        <f>+H27*(1+'Input data'!I33/100)</f>
        <v>491.84785546913162</v>
      </c>
      <c r="J27" s="23">
        <f>+I27*(1+'Input data'!J33/100)</f>
        <v>508.30095810962138</v>
      </c>
      <c r="K27" s="23">
        <f>+J27*(1+'Input data'!K33/100)</f>
        <v>524.38464244117392</v>
      </c>
      <c r="L27" s="23">
        <f>+K27*(1+'Input data'!L33/100)</f>
        <v>539.79113664994554</v>
      </c>
      <c r="M27" s="23">
        <f>+L27*(1+'Input data'!M33/100)</f>
        <v>554.20036983288139</v>
      </c>
      <c r="N27" s="23">
        <f>+M27*(1+'Input data'!N33/100)</f>
        <v>567.2783014881386</v>
      </c>
      <c r="O27" s="23">
        <f>+N27*(1+'Input data'!O33/100)</f>
        <v>578.69993953813093</v>
      </c>
      <c r="P27" s="23">
        <f>+O27*(1+'Input data'!P33/100)</f>
        <v>589.9872272308487</v>
      </c>
      <c r="Q27" s="23">
        <f>+P27*(1+'Input data'!Q33/100)</f>
        <v>601.12325384444785</v>
      </c>
      <c r="R27" s="23">
        <f>+Q27*(1+'Input data'!R33/100)</f>
        <v>612.09104216123421</v>
      </c>
      <c r="S27" s="23">
        <f>+R27*(1+'Input data'!S33/100)</f>
        <v>623.25084518558879</v>
      </c>
      <c r="T27" s="23">
        <f>+S27*(1+'Input data'!T33/100)</f>
        <v>634.37278144795948</v>
      </c>
      <c r="U27" s="23">
        <f>+T27*(1+'Input data'!U33/100)</f>
        <v>645.37513997010285</v>
      </c>
      <c r="V27" s="23">
        <f>+U27*(1+'Input data'!V33/100)</f>
        <v>656.14135904634952</v>
      </c>
      <c r="W27" s="23">
        <f>+V27*(1+'Input data'!W33/100)</f>
        <v>666.45004842963544</v>
      </c>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row>
    <row r="28" spans="1:50" ht="5.25" customHeight="1" x14ac:dyDescent="0.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row>
    <row r="29" spans="1:50" x14ac:dyDescent="0.2">
      <c r="B29" s="19" t="s">
        <v>63</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row>
    <row r="30" spans="1:50" x14ac:dyDescent="0.2">
      <c r="B30" s="15" t="s">
        <v>63</v>
      </c>
      <c r="C30" s="23">
        <f>100*(C23/C27-1)</f>
        <v>4.6187967727383317</v>
      </c>
      <c r="D30" s="78">
        <f t="shared" ref="D30:W30" si="4">100*(D23/D27-1)</f>
        <v>9.0793200238991076</v>
      </c>
      <c r="E30" s="78">
        <f t="shared" si="4"/>
        <v>1.2043874071511418</v>
      </c>
      <c r="F30" s="78">
        <f t="shared" si="4"/>
        <v>-1.1123061611243101</v>
      </c>
      <c r="G30" s="23">
        <f t="shared" si="4"/>
        <v>-1.0089107634249972</v>
      </c>
      <c r="H30" s="23">
        <f t="shared" si="4"/>
        <v>-0.6726019246967252</v>
      </c>
      <c r="I30" s="23">
        <f t="shared" si="4"/>
        <v>-0.2241977872899259</v>
      </c>
      <c r="J30" s="23">
        <f t="shared" si="4"/>
        <v>6.5725914710768052E-6</v>
      </c>
      <c r="K30" s="23">
        <f t="shared" si="4"/>
        <v>5.6032629425217806E-6</v>
      </c>
      <c r="L30" s="23">
        <f t="shared" si="4"/>
        <v>5.6032629647262411E-6</v>
      </c>
      <c r="M30" s="23">
        <f>100*(M23/M27-1)</f>
        <v>7.5512629926777208E-6</v>
      </c>
      <c r="N30" s="23">
        <f t="shared" si="4"/>
        <v>9.5051554849234776E-6</v>
      </c>
      <c r="O30" s="23">
        <f t="shared" si="4"/>
        <v>8.5248921255498544E-6</v>
      </c>
      <c r="P30" s="23">
        <f t="shared" si="4"/>
        <v>9.5057608229254242E-6</v>
      </c>
      <c r="Q30" s="23">
        <f t="shared" si="4"/>
        <v>1.3431659717788591E-5</v>
      </c>
      <c r="R30" s="23">
        <f t="shared" si="4"/>
        <v>1.1467496574546487E-5</v>
      </c>
      <c r="S30" s="23">
        <f t="shared" si="4"/>
        <v>9.5033079405837384E-6</v>
      </c>
      <c r="T30" s="23">
        <f t="shared" si="4"/>
        <v>1.146824375464206E-5</v>
      </c>
      <c r="U30" s="23">
        <f t="shared" si="4"/>
        <v>1.5400052189029623E-5</v>
      </c>
      <c r="V30" s="23">
        <f t="shared" si="4"/>
        <v>1.8350827457602747E-5</v>
      </c>
      <c r="W30" s="23">
        <f t="shared" si="4"/>
        <v>2.2288955947580291E-5</v>
      </c>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row>
    <row r="31" spans="1:50" ht="4.9000000000000004" customHeight="1" x14ac:dyDescent="0.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row>
    <row r="32" spans="1:50" x14ac:dyDescent="0.2">
      <c r="B32" s="19" t="s">
        <v>64</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row>
    <row r="33" spans="2:51" x14ac:dyDescent="0.2">
      <c r="B33" s="15" t="s">
        <v>38</v>
      </c>
      <c r="C33" s="1">
        <f t="shared" ref="C33:W33" si="5">100*((1+C24/100)*(1+C42/100)-1)</f>
        <v>15.674922893711729</v>
      </c>
      <c r="D33" s="2">
        <f t="shared" si="5"/>
        <v>16.636197882869187</v>
      </c>
      <c r="E33" s="2">
        <f t="shared" si="5"/>
        <v>-0.32842200556995049</v>
      </c>
      <c r="F33" s="2">
        <f>100*((1+F24/100)*(1+F42/100)-1)</f>
        <v>3.8500651926889118</v>
      </c>
      <c r="G33" s="1">
        <f>100*((1+G24/100)*(1+G42/100)-1)</f>
        <v>5.3736908892798363</v>
      </c>
      <c r="H33" s="1">
        <f t="shared" si="5"/>
        <v>5.815107059902247</v>
      </c>
      <c r="I33" s="1">
        <f t="shared" si="5"/>
        <v>5.9548904398074587</v>
      </c>
      <c r="J33" s="1">
        <f t="shared" si="5"/>
        <v>5.8074699143702668</v>
      </c>
      <c r="K33" s="1">
        <f t="shared" si="5"/>
        <v>5.467291724734924</v>
      </c>
      <c r="L33" s="1">
        <f t="shared" si="5"/>
        <v>5.3177724513546076</v>
      </c>
      <c r="M33" s="1">
        <f t="shared" si="5"/>
        <v>5.1244668531641668</v>
      </c>
      <c r="N33" s="1">
        <f t="shared" si="5"/>
        <v>4.8886992840400323</v>
      </c>
      <c r="O33" s="1">
        <f t="shared" si="5"/>
        <v>4.6147509295000111</v>
      </c>
      <c r="P33" s="1">
        <f t="shared" si="5"/>
        <v>4.5221572778250119</v>
      </c>
      <c r="Q33" s="1">
        <f t="shared" si="5"/>
        <v>4.429600299650005</v>
      </c>
      <c r="R33" s="1">
        <f t="shared" si="5"/>
        <v>4.3370676972250166</v>
      </c>
      <c r="S33" s="1">
        <f t="shared" si="5"/>
        <v>4.3077106655999842</v>
      </c>
      <c r="T33" s="1">
        <f t="shared" si="5"/>
        <v>4.2400572072499809</v>
      </c>
      <c r="U33" s="1">
        <f>100*((1+U24/100)*(1+U42/100)-1)</f>
        <v>4.1607367721999911</v>
      </c>
      <c r="V33" s="1">
        <f t="shared" si="5"/>
        <v>4.0650421450499907</v>
      </c>
      <c r="W33" s="1">
        <f t="shared" si="5"/>
        <v>3.9377189095999965</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17" t="s">
        <v>113</v>
      </c>
    </row>
    <row r="36" spans="2:51" x14ac:dyDescent="0.2">
      <c r="B36" s="15" t="s">
        <v>41</v>
      </c>
      <c r="C36" s="23">
        <f>'Input data'!C37</f>
        <v>1.510173</v>
      </c>
      <c r="D36" s="78">
        <f>'Input data'!D37</f>
        <v>1.408838</v>
      </c>
      <c r="E36" s="78">
        <f>'Input data'!E37</f>
        <v>1.550894</v>
      </c>
      <c r="F36" s="78">
        <f>'Input data'!F37</f>
        <v>1.641526</v>
      </c>
      <c r="G36" s="78">
        <f>'Input data'!G37</f>
        <v>1.6843859999999999</v>
      </c>
      <c r="H36" s="23">
        <f t="shared" ref="H36:W36" si="6">H101</f>
        <v>1.7963362728642545</v>
      </c>
      <c r="I36" s="23">
        <f t="shared" si="6"/>
        <v>1.8477295502688917</v>
      </c>
      <c r="J36" s="23">
        <f t="shared" si="6"/>
        <v>1.8765132788055841</v>
      </c>
      <c r="K36" s="23">
        <f t="shared" si="6"/>
        <v>1.9046582440660691</v>
      </c>
      <c r="L36" s="23">
        <f t="shared" si="6"/>
        <v>1.9309319418432969</v>
      </c>
      <c r="M36" s="23">
        <f t="shared" si="6"/>
        <v>1.9360733845092364</v>
      </c>
      <c r="N36" s="23">
        <f t="shared" si="6"/>
        <v>1.9574640995012271</v>
      </c>
      <c r="O36" s="23">
        <f t="shared" si="6"/>
        <v>1.9793499442805511</v>
      </c>
      <c r="P36" s="23">
        <f t="shared" si="6"/>
        <v>1.9944079624134392</v>
      </c>
      <c r="Q36" s="23">
        <f t="shared" si="6"/>
        <v>1.994406836309681</v>
      </c>
      <c r="R36" s="23">
        <f t="shared" si="6"/>
        <v>1.994406836309681</v>
      </c>
      <c r="S36" s="23">
        <f t="shared" si="6"/>
        <v>1.994406836309681</v>
      </c>
      <c r="T36" s="23">
        <f t="shared" si="6"/>
        <v>1.9944068363096807</v>
      </c>
      <c r="U36" s="23">
        <f t="shared" si="6"/>
        <v>1.9944068363096807</v>
      </c>
      <c r="V36" s="23">
        <f t="shared" si="6"/>
        <v>1.9944068363096805</v>
      </c>
      <c r="W36" s="23">
        <f t="shared" si="6"/>
        <v>1.9944068363096805</v>
      </c>
    </row>
    <row r="37" spans="2:51" x14ac:dyDescent="0.2">
      <c r="B37" s="21" t="s">
        <v>66</v>
      </c>
      <c r="C37" s="1"/>
      <c r="D37" s="2">
        <f>'Input data'!D$39</f>
        <v>1.75</v>
      </c>
      <c r="E37" s="2">
        <f>'Input data'!E$39</f>
        <v>2.87</v>
      </c>
      <c r="F37" s="138">
        <f>'Input data'!F$39</f>
        <v>2.837221</v>
      </c>
      <c r="G37" s="138">
        <f>'Input data'!G$39</f>
        <v>2.9036849999999998</v>
      </c>
      <c r="H37" s="1">
        <f>G37+($O$37-$G$37)/($O$10-$G$10)</f>
        <v>2.9987318749999998</v>
      </c>
      <c r="I37" s="1">
        <f t="shared" ref="I37:N37" si="7">H37+($O$37-$G$37)/($O$10-$G$10)</f>
        <v>3.0937787499999998</v>
      </c>
      <c r="J37" s="1">
        <f t="shared" si="7"/>
        <v>3.1888256249999998</v>
      </c>
      <c r="K37" s="1">
        <f t="shared" si="7"/>
        <v>3.2838724999999998</v>
      </c>
      <c r="L37" s="1">
        <f t="shared" si="7"/>
        <v>3.3789193749999997</v>
      </c>
      <c r="M37" s="1">
        <f t="shared" si="7"/>
        <v>3.4739662499999997</v>
      </c>
      <c r="N37" s="1">
        <f t="shared" si="7"/>
        <v>3.5690131249999997</v>
      </c>
      <c r="O37" s="172">
        <f>'Input data'!$C$52</f>
        <v>3.6640600000000001</v>
      </c>
      <c r="P37" s="1">
        <f>'Baseline NFPC'!P36</f>
        <v>3.680857</v>
      </c>
      <c r="Q37" s="1">
        <f>'Baseline NFPC'!Q36</f>
        <v>3.697654</v>
      </c>
      <c r="R37" s="1">
        <f>'Baseline NFPC'!R36</f>
        <v>3.7144509999999999</v>
      </c>
      <c r="S37" s="1">
        <f>'Baseline NFPC'!S36</f>
        <v>3.7312479999999999</v>
      </c>
      <c r="T37" s="1">
        <f>'Baseline NFPC'!T36</f>
        <v>3.7480450000000003</v>
      </c>
      <c r="U37" s="1">
        <f>'Baseline NFPC'!U36</f>
        <v>3.7648420000000002</v>
      </c>
      <c r="V37" s="1">
        <f>'Baseline NFPC'!V36</f>
        <v>3.7816390000000002</v>
      </c>
      <c r="W37" s="1">
        <f>'Baseline NFPC'!W36</f>
        <v>3.7984360000000001</v>
      </c>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5"/>
    </row>
    <row r="38" spans="2:51" x14ac:dyDescent="0.2">
      <c r="B38" s="21" t="s">
        <v>67</v>
      </c>
      <c r="C38" s="1"/>
      <c r="D38" s="2">
        <f>'Input data'!D$38</f>
        <v>0.35</v>
      </c>
      <c r="E38" s="2">
        <f>'Input data'!E$38</f>
        <v>3.43</v>
      </c>
      <c r="F38" s="138">
        <f>'Input data'!F$38</f>
        <v>3.5642079999999998</v>
      </c>
      <c r="G38" s="138">
        <f>'Input data'!G$38</f>
        <v>2.8163749999999999</v>
      </c>
      <c r="H38" s="1">
        <f>G38+($O$38-$G$38)/($O$10-$G$10)</f>
        <v>2.8050893749999997</v>
      </c>
      <c r="I38" s="1">
        <f t="shared" ref="I38:N38" si="8">H38+($O$38-$G$38)/($O$10-$G$10)</f>
        <v>2.7938037499999995</v>
      </c>
      <c r="J38" s="1">
        <f t="shared" si="8"/>
        <v>2.7825181249999993</v>
      </c>
      <c r="K38" s="1">
        <f t="shared" si="8"/>
        <v>2.7712324999999991</v>
      </c>
      <c r="L38" s="1">
        <f t="shared" si="8"/>
        <v>2.7599468749999989</v>
      </c>
      <c r="M38" s="1">
        <f t="shared" si="8"/>
        <v>2.7486612499999987</v>
      </c>
      <c r="N38" s="1">
        <f t="shared" si="8"/>
        <v>2.7373756249999985</v>
      </c>
      <c r="O38" s="172">
        <f>'Input data'!$C$53</f>
        <v>2.7260900000000001</v>
      </c>
      <c r="P38" s="1">
        <f>'Baseline NFPC'!P37</f>
        <v>2.6897855000000002</v>
      </c>
      <c r="Q38" s="1">
        <f>'Baseline NFPC'!Q37</f>
        <v>2.6534810000000002</v>
      </c>
      <c r="R38" s="1">
        <f>'Baseline NFPC'!R37</f>
        <v>2.6171765000000002</v>
      </c>
      <c r="S38" s="1">
        <f>'Baseline NFPC'!S37</f>
        <v>2.5808720000000003</v>
      </c>
      <c r="T38" s="1">
        <f>'Baseline NFPC'!T37</f>
        <v>2.5445675000000003</v>
      </c>
      <c r="U38" s="1">
        <f>'Baseline NFPC'!U37</f>
        <v>2.5082629999999999</v>
      </c>
      <c r="V38" s="1">
        <f>'Baseline NFPC'!V37</f>
        <v>2.4719584999999999</v>
      </c>
      <c r="W38" s="1">
        <f>'Baseline NFPC'!W37</f>
        <v>2.435654</v>
      </c>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5"/>
    </row>
    <row r="39" spans="2:51" s="4" customFormat="1" ht="12.75" x14ac:dyDescent="0.2">
      <c r="B39" s="15" t="s">
        <v>68</v>
      </c>
      <c r="C39" s="23">
        <f>'Baseline NFPC'!C38</f>
        <v>1E-3</v>
      </c>
      <c r="D39" s="23">
        <f>'Baseline NFPC'!D38</f>
        <v>7.5373060000000006E-2</v>
      </c>
      <c r="E39" s="23">
        <f>'Baseline NFPC'!E38</f>
        <v>4.6882050000000001E-2</v>
      </c>
      <c r="F39" s="23">
        <f>'Baseline NFPC'!F38</f>
        <v>5.4216720000000003E-2</v>
      </c>
      <c r="G39" s="23">
        <f>'Baseline NFPC'!G38</f>
        <v>6.7343109999999998E-2</v>
      </c>
      <c r="H39" s="23">
        <f>'Baseline NFPC'!H38</f>
        <v>7.3281109999999997E-2</v>
      </c>
      <c r="I39" s="23">
        <f>'Baseline NFPC'!I38</f>
        <v>6.3735609999999998E-2</v>
      </c>
      <c r="J39" s="23">
        <f>'Baseline NFPC'!J38</f>
        <v>7.1999019999999997E-2</v>
      </c>
      <c r="K39" s="23">
        <f>'Baseline NFPC'!K38</f>
        <v>7.7920139999999999E-2</v>
      </c>
      <c r="L39" s="23">
        <f>'Baseline NFPC'!L38</f>
        <v>7.3665930000000004E-2</v>
      </c>
      <c r="M39" s="23">
        <f>'Baseline NFPC'!M38</f>
        <v>9.2833230000000003E-2</v>
      </c>
      <c r="N39" s="23">
        <f>'Baseline NFPC'!N38</f>
        <v>9.7499160000000001E-2</v>
      </c>
      <c r="O39" s="23">
        <f>'Baseline NFPC'!O38</f>
        <v>0.10431984</v>
      </c>
      <c r="P39" s="23">
        <f>'Baseline NFPC'!P38</f>
        <v>7.7692949999999997E-2</v>
      </c>
      <c r="Q39" s="23">
        <f>'Baseline NFPC'!Q38</f>
        <v>8.1896739999999996E-2</v>
      </c>
      <c r="R39" s="23">
        <f>'Baseline NFPC'!R38</f>
        <v>7.226059E-2</v>
      </c>
      <c r="S39" s="23">
        <f>'Baseline NFPC'!S38</f>
        <v>7.2475159999999997E-2</v>
      </c>
      <c r="T39" s="23">
        <f>'Baseline NFPC'!T38</f>
        <v>7.2704249999999998E-2</v>
      </c>
      <c r="U39" s="23">
        <f>'Baseline NFPC'!U38</f>
        <v>7.292216E-2</v>
      </c>
      <c r="V39" s="23">
        <f>'Baseline NFPC'!V38</f>
        <v>7.3112590000000005E-2</v>
      </c>
      <c r="W39" s="23">
        <f>'Baseline NFPC'!W38</f>
        <v>7.3435849999999997E-2</v>
      </c>
    </row>
    <row r="40" spans="2:51" x14ac:dyDescent="0.2">
      <c r="C40" s="1"/>
      <c r="D40" s="1"/>
      <c r="E40" s="82"/>
      <c r="F40" s="82"/>
      <c r="G40" s="82"/>
      <c r="H40" s="82"/>
      <c r="I40" s="82"/>
      <c r="J40" s="82"/>
      <c r="K40" s="82"/>
      <c r="L40" s="82"/>
      <c r="M40" s="82"/>
      <c r="N40" s="82"/>
      <c r="O40" s="1"/>
      <c r="P40" s="1"/>
      <c r="Q40" s="1"/>
      <c r="R40" s="1"/>
      <c r="S40" s="1"/>
      <c r="T40" s="1"/>
      <c r="U40" s="1"/>
      <c r="V40" s="1"/>
      <c r="W40" s="1"/>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5"/>
    </row>
    <row r="41" spans="2:51" x14ac:dyDescent="0.2">
      <c r="B41" s="17" t="s">
        <v>69</v>
      </c>
      <c r="C41" s="1"/>
      <c r="D41" s="1"/>
      <c r="E41" s="1"/>
      <c r="F41" s="1"/>
      <c r="G41" s="1"/>
      <c r="H41" s="1"/>
      <c r="I41" s="1"/>
      <c r="J41" s="1"/>
      <c r="K41" s="1"/>
      <c r="L41" s="1"/>
      <c r="M41" s="1"/>
      <c r="N41" s="1"/>
      <c r="O41" s="1"/>
      <c r="P41" s="1"/>
      <c r="Q41" s="1"/>
      <c r="R41" s="1"/>
      <c r="S41" s="1"/>
      <c r="T41" s="1"/>
      <c r="U41" s="1"/>
      <c r="V41" s="1"/>
      <c r="W41" s="1"/>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5"/>
    </row>
    <row r="42" spans="2:51" x14ac:dyDescent="0.2">
      <c r="B42" s="15" t="s">
        <v>114</v>
      </c>
      <c r="C42" s="1">
        <f>'Input data'!C42</f>
        <v>0.47748259999999998</v>
      </c>
      <c r="D42" s="2">
        <f>'Input data'!D42</f>
        <v>6.5822690000000001</v>
      </c>
      <c r="E42" s="2">
        <f>'Input data'!E42</f>
        <v>2.965217</v>
      </c>
      <c r="F42" s="2">
        <f>'Input data'!F42</f>
        <v>2.5743459999999998</v>
      </c>
      <c r="G42" s="2">
        <f>'Input data'!G42</f>
        <v>1.9148970000000001</v>
      </c>
      <c r="H42" s="1">
        <f>'Baseline NFPC'!H41</f>
        <v>1.994284875</v>
      </c>
      <c r="I42" s="1">
        <f>'Baseline NFPC'!I41</f>
        <v>2.0736727500000001</v>
      </c>
      <c r="J42" s="1">
        <f>'Baseline NFPC'!J41</f>
        <v>2.1530606250000002</v>
      </c>
      <c r="K42" s="1">
        <f>'Baseline NFPC'!K41</f>
        <v>2.2324484999999998</v>
      </c>
      <c r="L42" s="1">
        <f>'Baseline NFPC'!L41</f>
        <v>2.3118363749999999</v>
      </c>
      <c r="M42" s="1">
        <f>'Baseline NFPC'!M41</f>
        <v>2.3912242500000001</v>
      </c>
      <c r="N42" s="1">
        <f>'Baseline NFPC'!N41</f>
        <v>2.4706121249999997</v>
      </c>
      <c r="O42" s="172">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5"/>
    </row>
    <row r="43" spans="2:51" x14ac:dyDescent="0.2">
      <c r="B43" s="15" t="s">
        <v>70</v>
      </c>
      <c r="C43" s="1">
        <f>'Baseline NFPC'!C42</f>
        <v>1</v>
      </c>
      <c r="D43" s="1">
        <f>'Baseline NFPC'!D42</f>
        <v>1</v>
      </c>
      <c r="E43" s="1">
        <f>'Baseline NFPC'!E42</f>
        <v>0.99999990000000005</v>
      </c>
      <c r="F43" s="1">
        <f>'Baseline NFPC'!F42</f>
        <v>1</v>
      </c>
      <c r="G43" s="1">
        <f>'Baseline NFPC'!G42</f>
        <v>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5"/>
    </row>
    <row r="44" spans="2:51" x14ac:dyDescent="0.2">
      <c r="C44" s="1"/>
      <c r="D44" s="1"/>
      <c r="E44" s="1"/>
      <c r="F44" s="1"/>
      <c r="G44" s="1"/>
      <c r="H44" s="1"/>
      <c r="I44" s="1"/>
      <c r="J44" s="1"/>
      <c r="K44" s="1"/>
      <c r="L44" s="1"/>
      <c r="M44" s="1"/>
      <c r="N44" s="1"/>
      <c r="O44" s="1"/>
      <c r="P44" s="1"/>
      <c r="Q44" s="1"/>
      <c r="R44" s="1"/>
      <c r="S44" s="1"/>
      <c r="T44" s="1"/>
      <c r="U44" s="1"/>
      <c r="V44" s="1"/>
      <c r="W44" s="1"/>
    </row>
    <row r="45" spans="2:51" s="52" customFormat="1" ht="12.75" x14ac:dyDescent="0.2">
      <c r="B45" s="60" t="s">
        <v>71</v>
      </c>
      <c r="C45" s="53"/>
    </row>
    <row r="46" spans="2:51" x14ac:dyDescent="0.2">
      <c r="C46" s="25"/>
    </row>
    <row r="47" spans="2:51" x14ac:dyDescent="0.2">
      <c r="B47" s="39" t="s">
        <v>46</v>
      </c>
      <c r="C47" s="40">
        <f>'Input data'!C49</f>
        <v>0.75</v>
      </c>
    </row>
    <row r="48" spans="2:51" x14ac:dyDescent="0.2">
      <c r="B48" s="41" t="s">
        <v>189</v>
      </c>
      <c r="C48" s="42">
        <f>'Input data'!C50</f>
        <v>0.52200000000000002</v>
      </c>
    </row>
    <row r="49" spans="2:48" x14ac:dyDescent="0.2">
      <c r="C49" s="43"/>
    </row>
    <row r="50" spans="2:48" outlineLevel="1" x14ac:dyDescent="0.2">
      <c r="B50" s="15" t="s">
        <v>72</v>
      </c>
      <c r="C50" s="23">
        <v>0</v>
      </c>
      <c r="D50" s="23">
        <f>IF(AND(ABS((D12-C12)-('Input data'!D13-'Input data'!C13))&gt;0.0001,ABS(D12-C12)&gt;0.0001,D$10&gt;$C$5),4,IF(C50=4,3,IF(C50=3,2,IF(C50=2,1,0))))</f>
        <v>0</v>
      </c>
      <c r="E50" s="23">
        <f>IF(AND(ABS((E12-D12)-('Input data'!E13-'Input data'!D13))&gt;0.0001,ABS(E12-D12)&gt;0.0001,E$10&gt;$C$5),4,IF(D50=4,3,IF(D50=3,2,IF(D50=2,1,0))))</f>
        <v>0</v>
      </c>
      <c r="F50" s="23">
        <f>IF(AND(ABS((F12-E12)-('Input data'!F13-'Input data'!E13))&gt;0.0001,ABS(F12-E12)&gt;0.0001,F$10&gt;$C$5),4,IF(E50=4,3,IF(E50=3,2,IF(E50=2,1,0))))</f>
        <v>0</v>
      </c>
      <c r="G50" s="23">
        <f>IF(AND(ABS((G12-F12)-('Input data'!G13-'Input data'!F13))&gt;0.0001,ABS(G12-F12)&gt;0.0001,G$10&gt;$C$5),4,IF(F50=4,3,IF(F50=3,2,IF(F50=2,1,0))))</f>
        <v>0</v>
      </c>
      <c r="H50" s="23">
        <f>IF(AND(ABS((H12-G12)-('Input data'!H13-'Input data'!G13))&gt;0.0001,ABS(H12-G12)&gt;0.0001,H$10&gt;$C$5),4,IF(G50=4,3,IF(G50=3,2,IF(G50=2,1,0))))</f>
        <v>0</v>
      </c>
      <c r="I50" s="23">
        <f>IF(AND(ABS((I12-H12)-('Input data'!I13-'Input data'!H13))&gt;0.0001,ABS(I12-H12)&gt;0.0001,I$10&gt;$C$5),4,IF(H50=4,3,IF(H50=3,2,IF(H50=2,1,0))))</f>
        <v>0</v>
      </c>
      <c r="J50" s="23">
        <f>IF(AND(ABS((J12-I12)-('Input data'!J13-'Input data'!I13))&gt;0.0001,ABS(J12-I12)&gt;0.0001,J$10&gt;$C$5),4,IF(I50=4,3,IF(I50=3,2,IF(I50=2,1,0))))</f>
        <v>0</v>
      </c>
      <c r="K50" s="23">
        <f>IF(AND(ABS((K12-J12)-('Input data'!K13-'Input data'!J13))&gt;0.0001,ABS(K12-J12)&gt;0.0001,K$10&gt;$C$5),4,IF(J50=4,3,IF(J50=3,2,IF(J50=2,1,0))))</f>
        <v>0</v>
      </c>
      <c r="L50" s="23">
        <f>IF(AND(ABS((L12-K12)-('Input data'!L13-'Input data'!K13))&gt;0.0001,ABS(L12-K12)&gt;0.0001,L$10&gt;$C$5),4,IF(K50=4,3,IF(K50=3,2,IF(K50=2,1,0))))</f>
        <v>0</v>
      </c>
      <c r="M50" s="23">
        <f>IF(AND(ABS((M12-L12)-('Input data'!M13-'Input data'!L13))&gt;0.0001,ABS(M12-L12)&gt;0.0001,M$10&gt;$C$5),4,IF(L50=4,3,IF(L50=3,2,IF(L50=2,1,0))))</f>
        <v>0</v>
      </c>
      <c r="N50" s="23">
        <f>IF(AND(ABS((N12-M12)-('Input data'!N13-'Input data'!M13))&gt;0.0001,ABS(N12-M12)&gt;0.0001,N$10&gt;$C$5),4,IF(M50=4,3,IF(M50=3,2,IF(M50=2,1,0))))</f>
        <v>0</v>
      </c>
      <c r="O50" s="23">
        <f>IF(AND(ABS((O12-N12)-('Input data'!O13-'Input data'!N13))&gt;0.0001,ABS(O12-N12)&gt;0.0001,O$10&gt;$C$5),4,IF(N50=4,3,IF(N50=3,2,IF(N50=2,1,0))))</f>
        <v>0</v>
      </c>
      <c r="P50" s="23">
        <f>IF(AND(ABS((P12-O12)-('Input data'!P13-'Input data'!O13))&gt;0.0001,ABS(P12-O12)&gt;0.0001,P$10&gt;$C$5),4,IF(O50=4,3,IF(O50=3,2,IF(O50=2,1,0))))</f>
        <v>0</v>
      </c>
      <c r="Q50" s="23">
        <f>IF(AND(ABS((Q12-P12)-('Input data'!Q13-'Input data'!P13))&gt;0.0001,ABS(Q12-P12)&gt;0.0001,Q$10&gt;$C$5),4,IF(P50=4,3,IF(P50=3,2,IF(P50=2,1,0))))</f>
        <v>0</v>
      </c>
      <c r="R50" s="23">
        <f>IF(AND(ABS((R12-Q12)-('Input data'!R13-'Input data'!Q13))&gt;0.0001,ABS(R12-Q12)&gt;0.0001,R$10&gt;$C$5),4,IF(Q50=4,3,IF(Q50=3,2,IF(Q50=2,1,0))))</f>
        <v>0</v>
      </c>
      <c r="S50" s="23">
        <f>IF(AND(ABS((S12-R12)-('Input data'!S13-'Input data'!R13))&gt;0.0001,ABS(S12-R12)&gt;0.0001,S$10&gt;$C$5),4,IF(R50=4,3,IF(R50=3,2,IF(R50=2,1,0))))</f>
        <v>0</v>
      </c>
      <c r="T50" s="23">
        <f>IF(AND(ABS((T12-S12)-('Input data'!T13-'Input data'!S13))&gt;0.0001,ABS(T12-S12)&gt;0.0001,T$10&gt;$C$5),4,IF(S50=4,3,IF(S50=3,2,IF(S50=2,1,0))))</f>
        <v>0</v>
      </c>
      <c r="U50" s="23">
        <f>IF(AND(ABS((U12-T12)-('Input data'!U13-'Input data'!T13))&gt;0.0001,ABS(U12-T12)&gt;0.0001,U$10&gt;$C$5),4,IF(T50=4,3,IF(T50=3,2,IF(T50=2,1,0))))</f>
        <v>0</v>
      </c>
      <c r="V50" s="23">
        <f>IF(AND(ABS((V12-U12)-('Input data'!V13-'Input data'!U13))&gt;0.0001,ABS(V12-U12)&gt;0.0001,V$10&gt;$C$5),4,IF(U50=4,3,IF(U50=3,2,IF(U50=2,1,0))))</f>
        <v>0</v>
      </c>
      <c r="W50" s="23">
        <f>IF(AND(ABS((W12-V12)-('Input data'!W13-'Input data'!V13))&gt;0.0001,ABS(W12-V12)&gt;0.0001,W$10&gt;$C$5),4,IF(V50=4,3,IF(V50=3,2,IF(V50=2,1,0))))</f>
        <v>0</v>
      </c>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row>
    <row r="51" spans="2:48" outlineLevel="1" x14ac:dyDescent="0.2">
      <c r="B51" s="15" t="s">
        <v>73</v>
      </c>
      <c r="C51" s="23">
        <v>0</v>
      </c>
      <c r="D51" s="23">
        <f t="shared" ref="D51:W51" si="9">IF(C50=4,2/3*C30,IF(C50=3,1/3*B30,0))</f>
        <v>0</v>
      </c>
      <c r="E51" s="23">
        <f t="shared" si="9"/>
        <v>0</v>
      </c>
      <c r="F51" s="23">
        <f t="shared" si="9"/>
        <v>0</v>
      </c>
      <c r="G51" s="23">
        <f t="shared" si="9"/>
        <v>0</v>
      </c>
      <c r="H51" s="23">
        <f t="shared" si="9"/>
        <v>0</v>
      </c>
      <c r="I51" s="23">
        <f t="shared" si="9"/>
        <v>0</v>
      </c>
      <c r="J51" s="23">
        <f t="shared" si="9"/>
        <v>0</v>
      </c>
      <c r="K51" s="23">
        <f t="shared" si="9"/>
        <v>0</v>
      </c>
      <c r="L51" s="23">
        <f t="shared" si="9"/>
        <v>0</v>
      </c>
      <c r="M51" s="23">
        <f t="shared" si="9"/>
        <v>0</v>
      </c>
      <c r="N51" s="23">
        <f t="shared" si="9"/>
        <v>0</v>
      </c>
      <c r="O51" s="23">
        <f t="shared" si="9"/>
        <v>0</v>
      </c>
      <c r="P51" s="23">
        <f t="shared" si="9"/>
        <v>0</v>
      </c>
      <c r="Q51" s="23">
        <f t="shared" si="9"/>
        <v>0</v>
      </c>
      <c r="R51" s="23">
        <f t="shared" si="9"/>
        <v>0</v>
      </c>
      <c r="S51" s="23">
        <f t="shared" si="9"/>
        <v>0</v>
      </c>
      <c r="T51" s="23">
        <f t="shared" si="9"/>
        <v>0</v>
      </c>
      <c r="U51" s="23">
        <f t="shared" si="9"/>
        <v>0</v>
      </c>
      <c r="V51" s="23">
        <f t="shared" si="9"/>
        <v>0</v>
      </c>
      <c r="W51" s="23">
        <f t="shared" si="9"/>
        <v>0</v>
      </c>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row>
    <row r="52" spans="2:48" outlineLevel="1" x14ac:dyDescent="0.2">
      <c r="B52" s="15" t="s">
        <v>74</v>
      </c>
      <c r="C52" s="23"/>
      <c r="D52" s="23">
        <f>'Input data'!D30-$C$47*((D12-C12)-('Input data'!D13-'Input data'!C13))</f>
        <v>9.4330219999999994</v>
      </c>
      <c r="E52" s="23">
        <f>'Input data'!E30-$C$47*((E12-D12)-('Input data'!E13-'Input data'!D13))</f>
        <v>-3.198788</v>
      </c>
      <c r="F52" s="23">
        <f>'Input data'!F30-$C$47*((F12-E12)-('Input data'!F13-'Input data'!E13))</f>
        <v>1.2437020000000001</v>
      </c>
      <c r="G52" s="23">
        <f>'Input data'!G30-$C$47*((G12-F12))</f>
        <v>3.3938060000000001</v>
      </c>
      <c r="H52" s="23">
        <f>'Input data'!H30-$C$47*((H12-G12))</f>
        <v>3.7461139999999999</v>
      </c>
      <c r="I52" s="23">
        <f>'Input data'!I30-$C$47*((I12-H12))</f>
        <v>3.8023690000000001</v>
      </c>
      <c r="J52" s="23">
        <f>'Input data'!J30-$C$47*((J12-I12))</f>
        <v>3.5773860000000002</v>
      </c>
      <c r="K52" s="23">
        <f>'Input data'!K30-$C$47*((K12-J12))</f>
        <v>3.1642039999999998</v>
      </c>
      <c r="L52" s="23">
        <f>'Input data'!L30-$C$47*((L12-K12))</f>
        <v>2.9380139999999999</v>
      </c>
      <c r="M52" s="23">
        <f>'Input data'!M30-$C$47*((M12-L12))</f>
        <v>2.6694110000000002</v>
      </c>
      <c r="N52" s="23">
        <f>'Input data'!N30-$C$47*((N12-M12))</f>
        <v>2.3597860000000002</v>
      </c>
      <c r="O52" s="23">
        <f>'Input data'!O30-$C$47*((O12-N12))</f>
        <v>2.0134089999999998</v>
      </c>
      <c r="P52" s="23">
        <f>'Input data'!P30-$C$47*((P12-O12))</f>
        <v>1.9504570000000001</v>
      </c>
      <c r="Q52" s="23">
        <f>'Input data'!Q30-$C$47*((Q12-P12))</f>
        <v>1.887507</v>
      </c>
      <c r="R52" s="23">
        <f>'Input data'!R30-$C$47*((R12-Q12))</f>
        <v>1.8245469999999999</v>
      </c>
      <c r="S52" s="23">
        <f>'Input data'!S30-$C$47*((S12-R12))</f>
        <v>1.823224</v>
      </c>
      <c r="T52" s="23">
        <f>'Input data'!T30-$C$47*((T12-S12))</f>
        <v>1.7845059999999999</v>
      </c>
      <c r="U52" s="23">
        <f>'Input data'!U30-$C$47*((U12-T12))</f>
        <v>1.734372</v>
      </c>
      <c r="V52" s="23">
        <f>'Input data'!V30-$C$47*((V12-U12))</f>
        <v>1.6682140000000001</v>
      </c>
      <c r="W52" s="23">
        <f>'Input data'!W30-$C$47*((W12-V12))</f>
        <v>1.5711120000000001</v>
      </c>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row>
    <row r="53" spans="2:48" x14ac:dyDescent="0.2">
      <c r="C53" s="25"/>
    </row>
    <row r="54" spans="2:48" s="52" customFormat="1" ht="12.75" outlineLevel="1" x14ac:dyDescent="0.2">
      <c r="B54" s="57" t="s">
        <v>75</v>
      </c>
      <c r="C54" s="54"/>
      <c r="E54" s="55"/>
      <c r="F54" s="54"/>
    </row>
    <row r="55" spans="2:48" outlineLevel="1" x14ac:dyDescent="0.2">
      <c r="B55" s="30"/>
      <c r="C55" s="18"/>
      <c r="E55" s="31"/>
      <c r="F55" s="18"/>
    </row>
    <row r="56" spans="2:48" outlineLevel="1" x14ac:dyDescent="0.2">
      <c r="B56" s="66"/>
      <c r="C56" s="67">
        <v>2021</v>
      </c>
      <c r="D56" s="67">
        <v>2022</v>
      </c>
      <c r="E56" s="67">
        <v>2023</v>
      </c>
      <c r="F56" s="67">
        <v>2024</v>
      </c>
      <c r="G56" s="67">
        <v>2025</v>
      </c>
      <c r="H56" s="67">
        <v>2026</v>
      </c>
      <c r="I56" s="67">
        <v>2027</v>
      </c>
      <c r="J56" s="67">
        <v>2028</v>
      </c>
      <c r="K56" s="67">
        <v>2029</v>
      </c>
      <c r="L56" s="67">
        <v>2030</v>
      </c>
      <c r="M56" s="67">
        <v>2031</v>
      </c>
      <c r="N56" s="67">
        <v>2032</v>
      </c>
      <c r="O56" s="67">
        <v>2033</v>
      </c>
      <c r="P56" s="67">
        <v>2034</v>
      </c>
      <c r="Q56" s="67">
        <v>2035</v>
      </c>
      <c r="R56" s="67">
        <v>2036</v>
      </c>
      <c r="S56" s="67">
        <v>2037</v>
      </c>
      <c r="T56" s="67">
        <v>2038</v>
      </c>
      <c r="U56" s="67">
        <v>2039</v>
      </c>
      <c r="V56" s="67">
        <v>2040</v>
      </c>
      <c r="W56" s="67">
        <v>2041</v>
      </c>
    </row>
    <row r="57" spans="2:48" ht="10.5" customHeight="1" outlineLevel="1" x14ac:dyDescent="0.2">
      <c r="B57" s="68" t="s">
        <v>76</v>
      </c>
      <c r="C57" s="32">
        <f>+'Input data'!C12</f>
        <v>54.398470000000003</v>
      </c>
      <c r="D57" s="32">
        <f>+C57+D58</f>
        <v>44.391771547524669</v>
      </c>
      <c r="E57" s="32">
        <f>+D57+E58</f>
        <v>43.730433720991776</v>
      </c>
      <c r="F57" s="32">
        <f>+E57+F58</f>
        <v>42.488825337098667</v>
      </c>
      <c r="G57" s="32">
        <f>+F57+G58</f>
        <v>41.199313755606511</v>
      </c>
      <c r="H57" s="32">
        <f t="shared" ref="H57:S57" si="10">+G57+H58</f>
        <v>37.456894889337612</v>
      </c>
      <c r="I57" s="32">
        <f t="shared" si="10"/>
        <v>33.593172392013621</v>
      </c>
      <c r="J57" s="32">
        <f t="shared" si="10"/>
        <v>29.816315209921697</v>
      </c>
      <c r="K57" s="32">
        <f t="shared" si="10"/>
        <v>26.364042554448975</v>
      </c>
      <c r="L57" s="32">
        <f t="shared" si="10"/>
        <v>23.177269442948791</v>
      </c>
      <c r="M57" s="32">
        <f t="shared" si="10"/>
        <v>20.257620288406187</v>
      </c>
      <c r="N57" s="32">
        <f t="shared" si="10"/>
        <v>17.655639058329729</v>
      </c>
      <c r="O57" s="32">
        <f t="shared" si="10"/>
        <v>15.251050832314153</v>
      </c>
      <c r="P57" s="32">
        <f t="shared" si="10"/>
        <v>13.045406277985578</v>
      </c>
      <c r="Q57" s="32">
        <f t="shared" si="10"/>
        <v>11.019664985888102</v>
      </c>
      <c r="R57" s="32">
        <f t="shared" si="10"/>
        <v>9.1812598024376513</v>
      </c>
      <c r="S57" s="32">
        <f t="shared" si="10"/>
        <v>7.5342408293446272</v>
      </c>
      <c r="T57" s="32">
        <f>+S57+T58</f>
        <v>5.9910510999069437</v>
      </c>
      <c r="U57" s="32">
        <f>+T57+U58</f>
        <v>4.6007501717729626</v>
      </c>
      <c r="V57" s="32">
        <f t="shared" ref="V57:W57" si="11">+U57+V58</f>
        <v>3.3675776160229378</v>
      </c>
      <c r="W57" s="32">
        <f t="shared" si="11"/>
        <v>2.297195053712723</v>
      </c>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row>
    <row r="58" spans="2:48" outlineLevel="1" x14ac:dyDescent="0.2">
      <c r="B58" s="69" t="s">
        <v>77</v>
      </c>
      <c r="C58" s="33"/>
      <c r="D58" s="33">
        <f>-D59+D67+D72</f>
        <v>-10.006698452475334</v>
      </c>
      <c r="E58" s="33">
        <f>-E59+E67+E72</f>
        <v>-0.66133782653289608</v>
      </c>
      <c r="F58" s="33">
        <f>-F59+F67+F72</f>
        <v>-1.2416083838931098</v>
      </c>
      <c r="G58" s="33">
        <f>-G59+G67+G72</f>
        <v>-1.2895115814921554</v>
      </c>
      <c r="H58" s="33">
        <f t="shared" ref="H58:S58" si="12">-H59+H67+H72</f>
        <v>-3.7424188662688991</v>
      </c>
      <c r="I58" s="33">
        <f t="shared" si="12"/>
        <v>-3.8637224973239879</v>
      </c>
      <c r="J58" s="33">
        <f t="shared" si="12"/>
        <v>-3.7768571820919248</v>
      </c>
      <c r="K58" s="33">
        <f t="shared" si="12"/>
        <v>-3.4522726554727217</v>
      </c>
      <c r="L58" s="33">
        <f t="shared" si="12"/>
        <v>-3.1867731115001838</v>
      </c>
      <c r="M58" s="33">
        <f t="shared" si="12"/>
        <v>-2.9196491545426029</v>
      </c>
      <c r="N58" s="33">
        <f t="shared" si="12"/>
        <v>-2.6019812300764573</v>
      </c>
      <c r="O58" s="33">
        <f t="shared" si="12"/>
        <v>-2.4045882260155764</v>
      </c>
      <c r="P58" s="33">
        <f t="shared" si="12"/>
        <v>-2.2056445543285745</v>
      </c>
      <c r="Q58" s="33">
        <f t="shared" si="12"/>
        <v>-2.0257412920974751</v>
      </c>
      <c r="R58" s="33">
        <f t="shared" si="12"/>
        <v>-1.8384051834504502</v>
      </c>
      <c r="S58" s="33">
        <f t="shared" si="12"/>
        <v>-1.6470189730930245</v>
      </c>
      <c r="T58" s="33">
        <f>-T59+T67+T72</f>
        <v>-1.5431897294376831</v>
      </c>
      <c r="U58" s="33">
        <f t="shared" ref="U58:W58" si="13">-U59+U67+U72</f>
        <v>-1.3903009281339811</v>
      </c>
      <c r="V58" s="33">
        <f t="shared" si="13"/>
        <v>-1.2331725557500248</v>
      </c>
      <c r="W58" s="33">
        <f t="shared" si="13"/>
        <v>-1.0703825623102148</v>
      </c>
    </row>
    <row r="59" spans="2:48" outlineLevel="1" x14ac:dyDescent="0.2">
      <c r="B59" s="65" t="s">
        <v>78</v>
      </c>
      <c r="C59" s="34"/>
      <c r="D59" s="34">
        <f>D60+D61-D62-D63-D64-D65-D66</f>
        <v>2.3626830524753339</v>
      </c>
      <c r="E59" s="34">
        <f>E60+E61-E62-E63-E64-E65-E66</f>
        <v>2.3411552265328961</v>
      </c>
      <c r="F59" s="34">
        <f t="shared" ref="F59:R59" si="14">F60+F61-F62-F63-F64-F65-F66</f>
        <v>1.9481771838931101</v>
      </c>
      <c r="G59" s="34">
        <f t="shared" si="14"/>
        <v>2.0021495814921515</v>
      </c>
      <c r="H59" s="34">
        <f t="shared" si="14"/>
        <v>2.1777027953083095</v>
      </c>
      <c r="I59" s="34">
        <f t="shared" si="14"/>
        <v>2.4117697550346588</v>
      </c>
      <c r="J59" s="34">
        <f t="shared" si="14"/>
        <v>2.5288044308927482</v>
      </c>
      <c r="K59" s="34">
        <f t="shared" si="14"/>
        <v>2.4450921249032542</v>
      </c>
      <c r="L59" s="34">
        <f t="shared" si="14"/>
        <v>2.3389503249032675</v>
      </c>
      <c r="M59" s="34">
        <f t="shared" si="14"/>
        <v>2.2166895417592811</v>
      </c>
      <c r="N59" s="34">
        <f t="shared" si="14"/>
        <v>2.0358587616911619</v>
      </c>
      <c r="O59" s="34">
        <f t="shared" si="14"/>
        <v>1.9598164499936888</v>
      </c>
      <c r="P59" s="34">
        <f t="shared" si="14"/>
        <v>1.8368152620071476</v>
      </c>
      <c r="Q59" s="34">
        <f t="shared" si="14"/>
        <v>1.7215355113263722</v>
      </c>
      <c r="R59" s="34">
        <f t="shared" si="14"/>
        <v>1.5909826860332095</v>
      </c>
      <c r="S59" s="34">
        <f>S60+S61-S62-S63-S64-S65-S66</f>
        <v>1.4433998607267446</v>
      </c>
      <c r="T59" s="34">
        <f>T60+T61-T62-T63-T64-T65-T66</f>
        <v>1.3808790864232365</v>
      </c>
      <c r="U59" s="34">
        <f>U60+U61-U62-U63-U64-U65-U66</f>
        <v>1.2656993388272422</v>
      </c>
      <c r="V59" s="34">
        <f t="shared" ref="V59:W59" si="15">V60+V61-V62-V63-V64-V65-V66</f>
        <v>1.1416290791319328</v>
      </c>
      <c r="W59" s="34">
        <f t="shared" si="15"/>
        <v>1.0074193348350047</v>
      </c>
    </row>
    <row r="60" spans="2:48" outlineLevel="1" x14ac:dyDescent="0.2">
      <c r="B60" s="64" t="s">
        <v>79</v>
      </c>
      <c r="C60" s="1"/>
      <c r="D60" s="1">
        <f>D12</f>
        <v>-2.376722</v>
      </c>
      <c r="E60" s="1">
        <f>E12</f>
        <v>1.7124649999999999</v>
      </c>
      <c r="F60" s="1">
        <f>F12</f>
        <v>2.5288010000000001</v>
      </c>
      <c r="G60" s="1">
        <f t="shared" ref="G60:W60" si="16">IF(G12="",F60,G12)</f>
        <v>2.5288010000000001</v>
      </c>
      <c r="H60" s="1">
        <f t="shared" si="16"/>
        <v>2.5288010000000001</v>
      </c>
      <c r="I60" s="1">
        <f t="shared" si="16"/>
        <v>2.5288010000000001</v>
      </c>
      <c r="J60" s="1">
        <f t="shared" si="16"/>
        <v>2.5288010000000001</v>
      </c>
      <c r="K60" s="1">
        <f t="shared" si="16"/>
        <v>2.5288010000000001</v>
      </c>
      <c r="L60" s="1">
        <f t="shared" si="16"/>
        <v>2.5288010000000001</v>
      </c>
      <c r="M60" s="1">
        <f t="shared" si="16"/>
        <v>2.5288010000000001</v>
      </c>
      <c r="N60" s="1">
        <f t="shared" si="16"/>
        <v>2.5288010000000001</v>
      </c>
      <c r="O60" s="1">
        <f t="shared" si="16"/>
        <v>2.5288010000000001</v>
      </c>
      <c r="P60" s="1">
        <f t="shared" si="16"/>
        <v>2.5288010000000001</v>
      </c>
      <c r="Q60" s="1">
        <f t="shared" si="16"/>
        <v>2.5288010000000001</v>
      </c>
      <c r="R60" s="1">
        <f t="shared" si="16"/>
        <v>2.5288010000000001</v>
      </c>
      <c r="S60" s="1">
        <f t="shared" si="16"/>
        <v>2.5288010000000001</v>
      </c>
      <c r="T60" s="1">
        <f t="shared" si="16"/>
        <v>2.5288010000000001</v>
      </c>
      <c r="U60" s="1">
        <f t="shared" si="16"/>
        <v>2.5288010000000001</v>
      </c>
      <c r="V60" s="1">
        <f t="shared" si="16"/>
        <v>2.5288010000000001</v>
      </c>
      <c r="W60" s="1">
        <f t="shared" si="16"/>
        <v>2.5288010000000001</v>
      </c>
    </row>
    <row r="61" spans="2:48" outlineLevel="1" x14ac:dyDescent="0.2">
      <c r="B61" s="64" t="s">
        <v>80</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64" t="s">
        <v>81</v>
      </c>
      <c r="C62" s="1"/>
      <c r="D62" s="1">
        <f t="shared" ref="D62:W62" si="17">-$C$48*D30</f>
        <v>-4.7394050524753339</v>
      </c>
      <c r="E62" s="1">
        <f t="shared" si="17"/>
        <v>-0.62869022653289608</v>
      </c>
      <c r="F62" s="1">
        <f t="shared" si="17"/>
        <v>0.58062381610688996</v>
      </c>
      <c r="G62" s="1">
        <f t="shared" si="17"/>
        <v>0.52665141850784858</v>
      </c>
      <c r="H62" s="1">
        <f t="shared" si="17"/>
        <v>0.35109820469169056</v>
      </c>
      <c r="I62" s="1">
        <f t="shared" si="17"/>
        <v>0.11703124496534133</v>
      </c>
      <c r="J62" s="1">
        <f t="shared" si="17"/>
        <v>-3.4308927479020923E-6</v>
      </c>
      <c r="K62" s="1">
        <f t="shared" si="17"/>
        <v>-2.9249032559963697E-6</v>
      </c>
      <c r="L62" s="1">
        <f t="shared" si="17"/>
        <v>-2.9249032675870978E-6</v>
      </c>
      <c r="M62" s="1">
        <f>-$C$48*M30</f>
        <v>-3.9417592821777706E-6</v>
      </c>
      <c r="N62" s="1">
        <f t="shared" si="17"/>
        <v>-4.9616911631300557E-6</v>
      </c>
      <c r="O62" s="1">
        <f t="shared" si="17"/>
        <v>-4.449993689537024E-6</v>
      </c>
      <c r="P62" s="1">
        <f t="shared" si="17"/>
        <v>-4.9620071495670713E-6</v>
      </c>
      <c r="Q62" s="1">
        <f t="shared" si="17"/>
        <v>-7.0113263726856449E-6</v>
      </c>
      <c r="R62" s="1">
        <f t="shared" si="17"/>
        <v>-5.9860332119132669E-6</v>
      </c>
      <c r="S62" s="1">
        <f t="shared" si="17"/>
        <v>-4.9607267449847116E-6</v>
      </c>
      <c r="T62" s="1">
        <f t="shared" si="17"/>
        <v>-5.9864232399231559E-6</v>
      </c>
      <c r="U62" s="1">
        <f>-$C$48*U30</f>
        <v>-8.0388272426734627E-6</v>
      </c>
      <c r="V62" s="1">
        <f t="shared" si="17"/>
        <v>-9.5791319328686345E-6</v>
      </c>
      <c r="W62" s="1">
        <f t="shared" si="17"/>
        <v>-1.1634835004636912E-5</v>
      </c>
    </row>
    <row r="63" spans="2:48" outlineLevel="1" x14ac:dyDescent="0.2">
      <c r="B63" s="64" t="s">
        <v>82</v>
      </c>
      <c r="C63" s="1"/>
      <c r="D63" s="1">
        <f t="shared" ref="D63:W63" si="18">-D14</f>
        <v>0</v>
      </c>
      <c r="E63" s="1">
        <f t="shared" si="18"/>
        <v>0</v>
      </c>
      <c r="F63" s="1">
        <f t="shared" si="18"/>
        <v>0</v>
      </c>
      <c r="G63" s="1">
        <f t="shared" si="18"/>
        <v>0</v>
      </c>
      <c r="H63" s="1">
        <f t="shared" si="18"/>
        <v>0</v>
      </c>
      <c r="I63" s="1">
        <f t="shared" si="18"/>
        <v>0</v>
      </c>
      <c r="J63" s="1">
        <f t="shared" si="18"/>
        <v>0</v>
      </c>
      <c r="K63" s="1">
        <f t="shared" si="18"/>
        <v>0</v>
      </c>
      <c r="L63" s="1">
        <f t="shared" si="18"/>
        <v>0</v>
      </c>
      <c r="M63" s="1">
        <f t="shared" si="18"/>
        <v>0</v>
      </c>
      <c r="N63" s="1">
        <f t="shared" si="18"/>
        <v>0</v>
      </c>
      <c r="O63" s="1">
        <f t="shared" si="18"/>
        <v>0</v>
      </c>
      <c r="P63" s="1">
        <f t="shared" si="18"/>
        <v>0</v>
      </c>
      <c r="Q63" s="1">
        <f t="shared" si="18"/>
        <v>0</v>
      </c>
      <c r="R63" s="1">
        <f t="shared" si="18"/>
        <v>0</v>
      </c>
      <c r="S63" s="1">
        <f t="shared" si="18"/>
        <v>0</v>
      </c>
      <c r="T63" s="1">
        <f t="shared" si="18"/>
        <v>0</v>
      </c>
      <c r="U63" s="1">
        <f t="shared" si="18"/>
        <v>0</v>
      </c>
      <c r="V63" s="1">
        <f t="shared" si="18"/>
        <v>0</v>
      </c>
      <c r="W63" s="1">
        <f t="shared" si="18"/>
        <v>0</v>
      </c>
    </row>
    <row r="64" spans="2:48" outlineLevel="1" x14ac:dyDescent="0.2">
      <c r="B64" s="64" t="s">
        <v>83</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8.5910000000001929E-2</v>
      </c>
      <c r="L64" s="1">
        <f>IF(L$56&lt;=$C$6,0,HLOOKUP(L$56,'Input data'!$C$9:$BB$26,12,FALSE)-HLOOKUP($C$6,'Input data'!$C$9:$BB$26,12,FALSE))</f>
        <v>0.19425000000000026</v>
      </c>
      <c r="M64" s="1">
        <f>IF(M$56&lt;=$C$6,0,HLOOKUP(M$56,'Input data'!$C$9:$BB$26,12,FALSE)-HLOOKUP($C$6,'Input data'!$C$9:$BB$26,12,FALSE))</f>
        <v>0.31871000000000116</v>
      </c>
      <c r="N64" s="1">
        <f>IF(N$56&lt;=$C$6,0,HLOOKUP(N$56,'Input data'!$C$9:$BB$26,12,FALSE)-HLOOKUP($C$6,'Input data'!$C$9:$BB$26,12,FALSE))</f>
        <v>0.50174000000000163</v>
      </c>
      <c r="O64" s="1">
        <f>IF(O$56&lt;=$C$6,0,HLOOKUP(O$56,'Input data'!$C$9:$BB$26,12,FALSE)-HLOOKUP($C$6,'Input data'!$C$9:$BB$26,12,FALSE))</f>
        <v>0.57998000000000083</v>
      </c>
      <c r="P64" s="1">
        <f>IF(P$56&lt;=$C$6,0,HLOOKUP(P$56,'Input data'!$C$9:$BB$26,12,FALSE)-HLOOKUP($C$6,'Input data'!$C$9:$BB$26,12,FALSE))</f>
        <v>0.70518000000000214</v>
      </c>
      <c r="Q64" s="1">
        <f>IF(Q$56&lt;=$C$6,0,HLOOKUP(Q$56,'Input data'!$C$9:$BB$26,12,FALSE)-HLOOKUP($C$6,'Input data'!$C$9:$BB$26,12,FALSE))</f>
        <v>0.82266000000000084</v>
      </c>
      <c r="R64" s="1">
        <f>IF(R$56&lt;=$C$6,0,HLOOKUP(R$56,'Input data'!$C$9:$BB$26,12,FALSE)-HLOOKUP($C$6,'Input data'!$C$9:$BB$26,12,FALSE))</f>
        <v>0.95541000000000231</v>
      </c>
      <c r="S64" s="1">
        <f>IF(S$56&lt;=$C$6,0,HLOOKUP(S$56,'Input data'!$C$9:$BB$26,12,FALSE)-HLOOKUP($C$6,'Input data'!$C$9:$BB$26,12,FALSE))</f>
        <v>1.1051900000000003</v>
      </c>
      <c r="T64" s="1">
        <f>IF(T$56&lt;=$C$6,0,HLOOKUP(T$56,'Input data'!$C$9:$BB$26,12,FALSE)-HLOOKUP($C$6,'Input data'!$C$9:$BB$26,12,FALSE))</f>
        <v>1.1699100000000033</v>
      </c>
      <c r="U64" s="1">
        <f>IF(U$56&lt;=$C$6,0,HLOOKUP(U$56,'Input data'!$C$9:$BB$26,12,FALSE)-HLOOKUP($C$6,'Input data'!$C$9:$BB$26,12,FALSE))</f>
        <v>1.2872900000000005</v>
      </c>
      <c r="V64" s="1">
        <f>IF(V$56&lt;=$C$6,0,HLOOKUP(V$56,'Input data'!$C$9:$BB$26,12,FALSE)-HLOOKUP($C$6,'Input data'!$C$9:$BB$26,12,FALSE))</f>
        <v>1.4135600000000004</v>
      </c>
      <c r="W64" s="1">
        <f>IF(W$56&lt;=$C$6,0,HLOOKUP(W$56,'Input data'!$C$9:$BB$26,12,FALSE)-HLOOKUP($C$6,'Input data'!$C$9:$BB$26,12,FALSE))</f>
        <v>1.5499700000000001</v>
      </c>
    </row>
    <row r="65" spans="2:23" outlineLevel="1" x14ac:dyDescent="0.2">
      <c r="B65" s="64" t="s">
        <v>84</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-2.1982000000000113E-3</v>
      </c>
      <c r="L65" s="1">
        <f>IF(L$56&lt;=$C$6,0,-HLOOKUP(L$56,'Input data'!$C$9:$BB$26,18,FALSE)+HLOOKUP($C$6,'Input data'!$C$9:$BB$26,18,FALSE))</f>
        <v>-4.3963999999999948E-3</v>
      </c>
      <c r="M65" s="1">
        <f>IF(M$56&lt;=$C$6,0,-HLOOKUP(M$56,'Input data'!$C$9:$BB$26,18,FALSE)+HLOOKUP($C$6,'Input data'!$C$9:$BB$26,18,FALSE))</f>
        <v>-6.594600000000006E-3</v>
      </c>
      <c r="N65" s="1">
        <f>IF(N$56&lt;=$C$6,0,-HLOOKUP(N$56,'Input data'!$C$9:$BB$26,18,FALSE)+HLOOKUP($C$6,'Input data'!$C$9:$BB$26,18,FALSE))</f>
        <v>-8.7928000000000173E-3</v>
      </c>
      <c r="O65" s="1">
        <f>IF(O$56&lt;=$C$6,0,-HLOOKUP(O$56,'Input data'!$C$9:$BB$26,18,FALSE)+HLOOKUP($C$6,'Input data'!$C$9:$BB$26,18,FALSE))</f>
        <v>-1.0991000000000001E-2</v>
      </c>
      <c r="P65" s="1">
        <f>IF(P$56&lt;=$C$6,0,-HLOOKUP(P$56,'Input data'!$C$9:$BB$26,18,FALSE)+HLOOKUP($C$6,'Input data'!$C$9:$BB$26,18,FALSE))</f>
        <v>-1.3189300000000015E-2</v>
      </c>
      <c r="Q65" s="1">
        <f>IF(Q$56&lt;=$C$6,0,-HLOOKUP(Q$56,'Input data'!$C$9:$BB$26,18,FALSE)+HLOOKUP($C$6,'Input data'!$C$9:$BB$26,18,FALSE))</f>
        <v>-1.5387499999999998E-2</v>
      </c>
      <c r="R65" s="1">
        <f>IF(R$56&lt;=$C$6,0,-HLOOKUP(R$56,'Input data'!$C$9:$BB$26,18,FALSE)+HLOOKUP($C$6,'Input data'!$C$9:$BB$26,18,FALSE))</f>
        <v>-1.758570000000001E-2</v>
      </c>
      <c r="S65" s="1">
        <f>IF(S$56&lt;=$C$6,0,-HLOOKUP(S$56,'Input data'!$C$9:$BB$26,18,FALSE)+HLOOKUP($C$6,'Input data'!$C$9:$BB$26,18,FALSE))</f>
        <v>-1.9783899999999993E-2</v>
      </c>
      <c r="T65" s="1">
        <f>IF(T$56&lt;=$C$6,0,-HLOOKUP(T$56,'Input data'!$C$9:$BB$26,18,FALSE)+HLOOKUP($C$6,'Input data'!$C$9:$BB$26,18,FALSE))</f>
        <v>-2.1982100000000004E-2</v>
      </c>
      <c r="U65" s="182">
        <f>IF(U$56&lt;=$C$6,0,-HLOOKUP(U$56,'Input data'!$C$9:$BB$26,18,FALSE)+HLOOKUP($C$6,'Input data'!$C$9:$BB$26,18,FALSE))</f>
        <v>-2.4180300000000016E-2</v>
      </c>
      <c r="V65" s="182">
        <f>IF(V$56&lt;=$C$6,0,-HLOOKUP(V$56,'Input data'!$C$9:$BB$26,18,FALSE)+HLOOKUP($C$6,'Input data'!$C$9:$BB$26,18,FALSE))</f>
        <v>-2.6378499999999999E-2</v>
      </c>
      <c r="W65" s="182">
        <f>IF(W$56&lt;=$C$6,0,-HLOOKUP(W$56,'Input data'!$C$9:$BB$26,18,FALSE)+HLOOKUP($C$6,'Input data'!$C$9:$BB$26,18,FALSE))</f>
        <v>-2.857670000000001E-2</v>
      </c>
    </row>
    <row r="66" spans="2:23" outlineLevel="1" x14ac:dyDescent="0.2">
      <c r="B66" s="64" t="s">
        <v>85</v>
      </c>
      <c r="C66" s="26"/>
      <c r="D66" s="26">
        <v>0</v>
      </c>
      <c r="E66" s="26">
        <v>0</v>
      </c>
      <c r="F66" s="26">
        <v>0</v>
      </c>
      <c r="G66" s="26">
        <v>0</v>
      </c>
      <c r="H66" s="26">
        <v>0</v>
      </c>
      <c r="I66" s="26">
        <v>0</v>
      </c>
      <c r="J66" s="26">
        <v>0</v>
      </c>
      <c r="K66" s="26">
        <v>0</v>
      </c>
      <c r="L66" s="26">
        <v>0</v>
      </c>
      <c r="M66" s="26">
        <v>0</v>
      </c>
      <c r="N66" s="26">
        <v>0</v>
      </c>
      <c r="O66" s="26">
        <v>0</v>
      </c>
      <c r="P66" s="26">
        <v>0</v>
      </c>
      <c r="Q66" s="26">
        <v>0</v>
      </c>
      <c r="R66" s="26">
        <v>0</v>
      </c>
      <c r="S66" s="26">
        <v>0</v>
      </c>
      <c r="T66" s="26">
        <v>0</v>
      </c>
      <c r="U66" s="183">
        <v>0</v>
      </c>
      <c r="V66" s="183">
        <v>0</v>
      </c>
      <c r="W66" s="183">
        <v>0</v>
      </c>
    </row>
    <row r="67" spans="2:23" outlineLevel="1" x14ac:dyDescent="0.2">
      <c r="B67" s="65" t="s">
        <v>86</v>
      </c>
      <c r="C67" s="34"/>
      <c r="D67" s="34">
        <f t="shared" ref="D67:O67" si="19">SUM(D68:D71)</f>
        <v>-7.1019560000000004</v>
      </c>
      <c r="E67" s="34">
        <f t="shared" si="19"/>
        <v>0.83701080000000005</v>
      </c>
      <c r="F67" s="34">
        <f t="shared" si="19"/>
        <v>-0.9299982</v>
      </c>
      <c r="G67" s="34">
        <f t="shared" si="19"/>
        <v>-1.4876040000000039</v>
      </c>
      <c r="H67" s="34">
        <f t="shared" si="19"/>
        <v>-1.5647160709605898</v>
      </c>
      <c r="I67" s="34">
        <f t="shared" si="19"/>
        <v>-1.451952742289329</v>
      </c>
      <c r="J67" s="34">
        <f t="shared" si="19"/>
        <v>-1.2480527511991766</v>
      </c>
      <c r="K67" s="34">
        <f t="shared" si="19"/>
        <v>-1.0071805305694674</v>
      </c>
      <c r="L67" s="34">
        <f t="shared" si="19"/>
        <v>-0.84782278659691657</v>
      </c>
      <c r="M67" s="34">
        <f t="shared" si="19"/>
        <v>-0.70295961278332175</v>
      </c>
      <c r="N67" s="34">
        <f t="shared" si="19"/>
        <v>-0.56612246838529534</v>
      </c>
      <c r="O67" s="34">
        <f t="shared" si="19"/>
        <v>-0.44477177602188761</v>
      </c>
      <c r="P67" s="34">
        <f t="shared" ref="P67:W67" si="20">SUM(P68:P71)</f>
        <v>-0.36882929232142708</v>
      </c>
      <c r="Q67" s="34">
        <f t="shared" si="20"/>
        <v>-0.30420578077110294</v>
      </c>
      <c r="R67" s="34">
        <f t="shared" si="20"/>
        <v>-0.24742249741724076</v>
      </c>
      <c r="S67" s="34">
        <f t="shared" si="20"/>
        <v>-0.2036191123662798</v>
      </c>
      <c r="T67" s="34">
        <f t="shared" si="20"/>
        <v>-0.1623106430144465</v>
      </c>
      <c r="U67" s="34">
        <f t="shared" si="20"/>
        <v>-0.12460158930673897</v>
      </c>
      <c r="V67" s="34">
        <f t="shared" si="20"/>
        <v>-9.1543476618091993E-2</v>
      </c>
      <c r="W67" s="34">
        <f t="shared" si="20"/>
        <v>-6.2963227475210146E-2</v>
      </c>
    </row>
    <row r="68" spans="2:23" outlineLevel="1" x14ac:dyDescent="0.2">
      <c r="B68" s="64" t="s">
        <v>87</v>
      </c>
      <c r="C68" s="23"/>
      <c r="D68" s="23">
        <f t="shared" ref="D68:E68" si="21">C57*D36/100*(1/(1+D33/100))</f>
        <v>0.65707415938595348</v>
      </c>
      <c r="E68" s="23">
        <f t="shared" si="21"/>
        <v>0.69073785654596631</v>
      </c>
      <c r="F68" s="23">
        <f>E57*F36/100*(1/(1+F33/100))</f>
        <v>0.69123349909402287</v>
      </c>
      <c r="G68" s="23">
        <f>F57*G36/100*(1/(1+G33/100))</f>
        <v>0.67917885337672257</v>
      </c>
      <c r="H68" s="23">
        <f t="shared" ref="H68:W68" si="22">G57*H36/100*(1/(1+H33/100))</f>
        <v>0.69940695400341246</v>
      </c>
      <c r="I68" s="23">
        <f t="shared" si="22"/>
        <v>0.65320450298292709</v>
      </c>
      <c r="J68" s="23">
        <f>I57*J36/100*(1/(1+J33/100))</f>
        <v>0.59578056371478527</v>
      </c>
      <c r="K68" s="23">
        <f t="shared" si="22"/>
        <v>0.5384597408689421</v>
      </c>
      <c r="L68" s="23">
        <f t="shared" si="22"/>
        <v>0.48336734341789334</v>
      </c>
      <c r="M68" s="23">
        <f t="shared" si="22"/>
        <v>0.4268549067342236</v>
      </c>
      <c r="N68" s="23">
        <f t="shared" si="22"/>
        <v>0.37805373435416917</v>
      </c>
      <c r="O68" s="23">
        <f t="shared" si="22"/>
        <v>0.33405124875643094</v>
      </c>
      <c r="P68" s="23">
        <f t="shared" si="22"/>
        <v>0.29100831830604174</v>
      </c>
      <c r="Q68" s="23">
        <f t="shared" si="22"/>
        <v>0.2491424594999514</v>
      </c>
      <c r="R68" s="23">
        <f t="shared" si="22"/>
        <v>0.2106412962023676</v>
      </c>
      <c r="S68" s="23">
        <f t="shared" si="22"/>
        <v>0.17554950826809612</v>
      </c>
      <c r="T68" s="23">
        <f t="shared" si="22"/>
        <v>0.14415131590510435</v>
      </c>
      <c r="U68" s="23">
        <f t="shared" si="22"/>
        <v>0.11471302566212324</v>
      </c>
      <c r="V68" s="23">
        <f t="shared" si="22"/>
        <v>8.8173390464276982E-2</v>
      </c>
      <c r="W68" s="23">
        <f t="shared" si="22"/>
        <v>6.4618695596361256E-2</v>
      </c>
    </row>
    <row r="69" spans="2:23" outlineLevel="1" x14ac:dyDescent="0.2">
      <c r="B69" s="64" t="s">
        <v>88</v>
      </c>
      <c r="C69" s="23"/>
      <c r="D69" s="23">
        <f t="shared" ref="D69:W69" si="23">-C57*(D24/100)*(1/(1+D33/100))</f>
        <v>-4.3995086738994873</v>
      </c>
      <c r="E69" s="23">
        <f t="shared" si="23"/>
        <v>1.4246776160491681</v>
      </c>
      <c r="F69" s="23">
        <f t="shared" si="23"/>
        <v>-0.52371298736068417</v>
      </c>
      <c r="G69" s="23">
        <f t="shared" si="23"/>
        <v>-1.3684519270897813</v>
      </c>
      <c r="H69" s="23">
        <f t="shared" si="23"/>
        <v>-1.4585566308873017</v>
      </c>
      <c r="I69" s="23">
        <f t="shared" si="23"/>
        <v>-1.3442035131392693</v>
      </c>
      <c r="J69" s="23">
        <f t="shared" si="23"/>
        <v>-1.1357964112366903</v>
      </c>
      <c r="K69" s="23">
        <f t="shared" si="23"/>
        <v>-0.8945418272304837</v>
      </c>
      <c r="L69" s="23">
        <f t="shared" si="23"/>
        <v>-0.735468708829215</v>
      </c>
      <c r="M69" s="23">
        <f t="shared" si="23"/>
        <v>-0.58853718694611512</v>
      </c>
      <c r="N69" s="23">
        <f t="shared" si="23"/>
        <v>-0.45575594965139082</v>
      </c>
      <c r="O69" s="23">
        <f t="shared" si="23"/>
        <v>-0.33979933293296694</v>
      </c>
      <c r="P69" s="23">
        <f t="shared" si="23"/>
        <v>-0.28459533966731421</v>
      </c>
      <c r="Q69" s="23">
        <f t="shared" si="23"/>
        <v>-0.23578846990592417</v>
      </c>
      <c r="R69" s="23">
        <f t="shared" si="23"/>
        <v>-0.19270137770550005</v>
      </c>
      <c r="S69" s="23">
        <f t="shared" si="23"/>
        <v>-0.16048183892852008</v>
      </c>
      <c r="T69" s="23">
        <f t="shared" si="23"/>
        <v>-0.12898014760946752</v>
      </c>
      <c r="U69" s="23">
        <f t="shared" si="23"/>
        <v>-9.9756507108550038E-2</v>
      </c>
      <c r="V69" s="23">
        <f t="shared" si="23"/>
        <v>-7.3752296533510703E-2</v>
      </c>
      <c r="W69" s="23">
        <f t="shared" si="23"/>
        <v>-5.0903961131441966E-2</v>
      </c>
    </row>
    <row r="70" spans="2:23" outlineLevel="1" x14ac:dyDescent="0.2">
      <c r="B70" s="64" t="s">
        <v>89</v>
      </c>
      <c r="C70" s="23"/>
      <c r="D70" s="23">
        <f t="shared" ref="D70:W70" si="24">-C57*D42/100*(1/(1+D42/100))</f>
        <v>-3.3595209230198506</v>
      </c>
      <c r="E70" s="23">
        <f t="shared" si="24"/>
        <v>-1.2784048777640751</v>
      </c>
      <c r="F70" s="23">
        <f t="shared" si="24"/>
        <v>-1.0975187414590026</v>
      </c>
      <c r="G70" s="23">
        <f t="shared" si="24"/>
        <v>-0.79833004365921334</v>
      </c>
      <c r="H70" s="23">
        <f t="shared" si="24"/>
        <v>-0.80556639407670061</v>
      </c>
      <c r="I70" s="23">
        <f t="shared" si="24"/>
        <v>-0.76095373213298689</v>
      </c>
      <c r="J70" s="23">
        <f t="shared" si="24"/>
        <v>-0.70803690367727146</v>
      </c>
      <c r="K70" s="23">
        <f t="shared" si="24"/>
        <v>-0.65109844420792573</v>
      </c>
      <c r="L70" s="23">
        <f t="shared" si="24"/>
        <v>-0.5957214211855949</v>
      </c>
      <c r="M70" s="23">
        <f t="shared" si="24"/>
        <v>-0.54127733257143018</v>
      </c>
      <c r="N70" s="23">
        <f t="shared" si="24"/>
        <v>-0.48842025308807369</v>
      </c>
      <c r="O70" s="23">
        <f t="shared" si="24"/>
        <v>-0.43902369184535162</v>
      </c>
      <c r="P70" s="23">
        <f t="shared" si="24"/>
        <v>-0.37524227096015461</v>
      </c>
      <c r="Q70" s="23">
        <f t="shared" si="24"/>
        <v>-0.31755977036513017</v>
      </c>
      <c r="R70" s="23">
        <f t="shared" si="24"/>
        <v>-0.26536241591410831</v>
      </c>
      <c r="S70" s="23">
        <f t="shared" si="24"/>
        <v>-0.21868678170585584</v>
      </c>
      <c r="T70" s="23">
        <f t="shared" si="24"/>
        <v>-0.17748181131008334</v>
      </c>
      <c r="U70" s="23">
        <f t="shared" si="24"/>
        <v>-0.13955810786031217</v>
      </c>
      <c r="V70" s="23">
        <f t="shared" si="24"/>
        <v>-0.10596457054885827</v>
      </c>
      <c r="W70" s="23">
        <f t="shared" si="24"/>
        <v>-7.6677961940129435E-2</v>
      </c>
    </row>
    <row r="71" spans="2:23" outlineLevel="1" x14ac:dyDescent="0.2">
      <c r="B71" s="64" t="s">
        <v>90</v>
      </c>
      <c r="C71" s="35"/>
      <c r="D71" s="35">
        <f>'Baseline NFPC'!D70</f>
        <v>-5.6246661639391959E-7</v>
      </c>
      <c r="E71" s="35">
        <f>'Baseline NFPC'!E70</f>
        <v>2.0516894094768645E-7</v>
      </c>
      <c r="F71" s="35">
        <f>'Baseline NFPC'!F70</f>
        <v>2.97256639303356E-8</v>
      </c>
      <c r="G71" s="35">
        <f>'Baseline NFPC'!G70</f>
        <v>-8.8262773201286393E-7</v>
      </c>
      <c r="H71" s="35">
        <v>0</v>
      </c>
      <c r="I71" s="35">
        <v>0</v>
      </c>
      <c r="J71" s="35">
        <v>0</v>
      </c>
      <c r="K71" s="35">
        <v>0</v>
      </c>
      <c r="L71" s="35">
        <v>0</v>
      </c>
      <c r="M71" s="35">
        <v>0</v>
      </c>
      <c r="N71" s="35">
        <v>0</v>
      </c>
      <c r="O71" s="35">
        <v>0</v>
      </c>
      <c r="P71" s="35">
        <v>0</v>
      </c>
      <c r="Q71" s="35">
        <v>0</v>
      </c>
      <c r="R71" s="35">
        <v>0</v>
      </c>
      <c r="S71" s="35">
        <v>0</v>
      </c>
      <c r="T71" s="35">
        <v>0</v>
      </c>
      <c r="U71" s="35">
        <v>0</v>
      </c>
      <c r="V71" s="35">
        <v>0</v>
      </c>
      <c r="W71" s="35">
        <v>0</v>
      </c>
    </row>
    <row r="72" spans="2:23" outlineLevel="1" x14ac:dyDescent="0.2">
      <c r="B72" s="65" t="s">
        <v>91</v>
      </c>
      <c r="C72" s="36"/>
      <c r="D72" s="36">
        <f>'Input data'!D16</f>
        <v>-0.54205939999999997</v>
      </c>
      <c r="E72" s="36">
        <f>'Input data'!E16</f>
        <v>0.84280659999999996</v>
      </c>
      <c r="F72" s="36">
        <f>'Input data'!F16</f>
        <v>1.6365670000000001</v>
      </c>
      <c r="G72" s="36">
        <f>'Input data'!G16</f>
        <v>2.2002419999999998</v>
      </c>
      <c r="H72" s="36">
        <f>'Input data'!H16</f>
        <v>0</v>
      </c>
      <c r="I72" s="36">
        <f>'Input data'!I16</f>
        <v>0</v>
      </c>
      <c r="J72" s="36">
        <f>'Input data'!J16</f>
        <v>0</v>
      </c>
      <c r="K72" s="36">
        <f>'Input data'!K16</f>
        <v>0</v>
      </c>
      <c r="L72" s="36">
        <f>'Input data'!L16</f>
        <v>0</v>
      </c>
      <c r="M72" s="36">
        <f>'Input data'!M16</f>
        <v>0</v>
      </c>
      <c r="N72" s="36">
        <f>'Input data'!N16</f>
        <v>0</v>
      </c>
      <c r="O72" s="36">
        <f>'Input data'!O16</f>
        <v>0</v>
      </c>
      <c r="P72" s="36">
        <f>'Input data'!P16</f>
        <v>0</v>
      </c>
      <c r="Q72" s="36">
        <f>'Input data'!Q16</f>
        <v>0</v>
      </c>
      <c r="R72" s="36">
        <f>'Input data'!R16</f>
        <v>0</v>
      </c>
      <c r="S72" s="36">
        <f>'Input data'!S16</f>
        <v>0</v>
      </c>
      <c r="T72" s="36">
        <f>'Input data'!T16</f>
        <v>0</v>
      </c>
      <c r="U72" s="36">
        <f>'Input data'!U16</f>
        <v>0</v>
      </c>
      <c r="V72" s="36">
        <f>'Input data'!V16</f>
        <v>0</v>
      </c>
      <c r="W72" s="36">
        <f>'Input data'!W16</f>
        <v>0</v>
      </c>
    </row>
    <row r="73" spans="2:23" outlineLevel="1" x14ac:dyDescent="0.2">
      <c r="B73" s="64" t="s">
        <v>92</v>
      </c>
      <c r="C73" s="23"/>
      <c r="D73" s="23">
        <f t="shared" ref="D73:W73" si="25">D15</f>
        <v>-0.54206140000000003</v>
      </c>
      <c r="E73" s="23">
        <f t="shared" si="25"/>
        <v>0.84280860000000002</v>
      </c>
      <c r="F73" s="23">
        <f t="shared" si="25"/>
        <v>1.636568</v>
      </c>
      <c r="G73" s="23">
        <f t="shared" si="25"/>
        <v>2.20024</v>
      </c>
      <c r="H73" s="23">
        <f t="shared" si="25"/>
        <v>0</v>
      </c>
      <c r="I73" s="23">
        <f t="shared" si="25"/>
        <v>0</v>
      </c>
      <c r="J73" s="23">
        <f t="shared" si="25"/>
        <v>0</v>
      </c>
      <c r="K73" s="23">
        <f t="shared" si="25"/>
        <v>0</v>
      </c>
      <c r="L73" s="23">
        <f t="shared" si="25"/>
        <v>0</v>
      </c>
      <c r="M73" s="23">
        <f t="shared" si="25"/>
        <v>0</v>
      </c>
      <c r="N73" s="23">
        <f t="shared" si="25"/>
        <v>0</v>
      </c>
      <c r="O73" s="23">
        <f t="shared" si="25"/>
        <v>0</v>
      </c>
      <c r="P73" s="23">
        <f t="shared" si="25"/>
        <v>0</v>
      </c>
      <c r="Q73" s="23">
        <f t="shared" si="25"/>
        <v>0</v>
      </c>
      <c r="R73" s="23">
        <f t="shared" si="25"/>
        <v>0</v>
      </c>
      <c r="S73" s="23">
        <f t="shared" si="25"/>
        <v>0</v>
      </c>
      <c r="T73" s="23">
        <f t="shared" si="25"/>
        <v>0</v>
      </c>
      <c r="U73" s="23">
        <f t="shared" si="25"/>
        <v>0</v>
      </c>
      <c r="V73" s="23">
        <f t="shared" si="25"/>
        <v>0</v>
      </c>
      <c r="W73" s="23">
        <f t="shared" si="25"/>
        <v>0</v>
      </c>
    </row>
    <row r="74" spans="2:23" outlineLevel="1" x14ac:dyDescent="0.2">
      <c r="B74" s="70" t="s">
        <v>93</v>
      </c>
      <c r="C74" s="35"/>
      <c r="D74" s="35">
        <f>+D72-D73</f>
        <v>2.0000000000575113E-6</v>
      </c>
      <c r="E74" s="35">
        <f t="shared" ref="E74:W74" si="26">+E72-E73</f>
        <v>-2.0000000000575113E-6</v>
      </c>
      <c r="F74" s="35">
        <f t="shared" si="26"/>
        <v>-9.9999999991773336E-7</v>
      </c>
      <c r="G74" s="35">
        <f t="shared" si="26"/>
        <v>1.9999999998354667E-6</v>
      </c>
      <c r="H74" s="35">
        <f t="shared" si="26"/>
        <v>0</v>
      </c>
      <c r="I74" s="35">
        <f t="shared" si="26"/>
        <v>0</v>
      </c>
      <c r="J74" s="35">
        <f t="shared" si="26"/>
        <v>0</v>
      </c>
      <c r="K74" s="35">
        <f t="shared" si="26"/>
        <v>0</v>
      </c>
      <c r="L74" s="35">
        <f t="shared" si="26"/>
        <v>0</v>
      </c>
      <c r="M74" s="35">
        <f t="shared" si="26"/>
        <v>0</v>
      </c>
      <c r="N74" s="35">
        <f t="shared" si="26"/>
        <v>0</v>
      </c>
      <c r="O74" s="35">
        <f t="shared" si="26"/>
        <v>0</v>
      </c>
      <c r="P74" s="35">
        <f t="shared" si="26"/>
        <v>0</v>
      </c>
      <c r="Q74" s="35">
        <f t="shared" si="26"/>
        <v>0</v>
      </c>
      <c r="R74" s="35">
        <f t="shared" si="26"/>
        <v>0</v>
      </c>
      <c r="S74" s="35">
        <f t="shared" si="26"/>
        <v>0</v>
      </c>
      <c r="T74" s="35">
        <f t="shared" si="26"/>
        <v>0</v>
      </c>
      <c r="U74" s="35">
        <f t="shared" si="26"/>
        <v>0</v>
      </c>
      <c r="V74" s="35">
        <f t="shared" si="26"/>
        <v>0</v>
      </c>
      <c r="W74" s="35">
        <f t="shared" si="26"/>
        <v>0</v>
      </c>
    </row>
    <row r="75" spans="2:23" ht="10.5" customHeight="1" outlineLevel="1" x14ac:dyDescent="0.2"/>
    <row r="76" spans="2:23" ht="10.5" customHeight="1" outlineLevel="1" x14ac:dyDescent="0.2">
      <c r="B76" s="71" t="s">
        <v>94</v>
      </c>
    </row>
    <row r="77" spans="2:23" x14ac:dyDescent="0.2">
      <c r="B77" s="62" t="s">
        <v>19</v>
      </c>
      <c r="C77" s="62"/>
      <c r="D77" s="63">
        <f>D59-D68</f>
        <v>1.7056088930893805</v>
      </c>
      <c r="E77" s="63">
        <f t="shared" ref="E77:W77" si="27">E59-E68</f>
        <v>1.6504173699869298</v>
      </c>
      <c r="F77" s="63">
        <f t="shared" si="27"/>
        <v>1.2569436847990874</v>
      </c>
      <c r="G77" s="63">
        <f>G59-G68</f>
        <v>1.322970728115429</v>
      </c>
      <c r="H77" s="63">
        <f t="shared" si="27"/>
        <v>1.478295841304897</v>
      </c>
      <c r="I77" s="63">
        <f t="shared" si="27"/>
        <v>1.7585652520517319</v>
      </c>
      <c r="J77" s="63">
        <f t="shared" si="27"/>
        <v>1.9330238671779629</v>
      </c>
      <c r="K77" s="63">
        <f t="shared" si="27"/>
        <v>1.906632384034312</v>
      </c>
      <c r="L77" s="63">
        <f t="shared" si="27"/>
        <v>1.8555829814853741</v>
      </c>
      <c r="M77" s="63">
        <f t="shared" si="27"/>
        <v>1.7898346350250576</v>
      </c>
      <c r="N77" s="63">
        <f t="shared" si="27"/>
        <v>1.6578050273369926</v>
      </c>
      <c r="O77" s="63">
        <f t="shared" si="27"/>
        <v>1.6257652012372579</v>
      </c>
      <c r="P77" s="63">
        <f t="shared" si="27"/>
        <v>1.5458069437011059</v>
      </c>
      <c r="Q77" s="63">
        <f t="shared" si="27"/>
        <v>1.4723930518264208</v>
      </c>
      <c r="R77" s="63">
        <f t="shared" si="27"/>
        <v>1.3803413898308419</v>
      </c>
      <c r="S77" s="63">
        <f t="shared" si="27"/>
        <v>1.2678503524586486</v>
      </c>
      <c r="T77" s="63">
        <f t="shared" si="27"/>
        <v>1.2367277705181321</v>
      </c>
      <c r="U77" s="63">
        <f t="shared" si="27"/>
        <v>1.150986313165119</v>
      </c>
      <c r="V77" s="63">
        <f t="shared" si="27"/>
        <v>1.0534556886676558</v>
      </c>
      <c r="W77" s="63">
        <f t="shared" si="27"/>
        <v>0.94280063923864343</v>
      </c>
    </row>
    <row r="78" spans="2:23" x14ac:dyDescent="0.2">
      <c r="B78" s="15" t="s">
        <v>20</v>
      </c>
      <c r="D78" s="23">
        <f>D60-D68-D64-D65-D66</f>
        <v>-3.0337961593859535</v>
      </c>
      <c r="E78" s="23">
        <f t="shared" ref="E78:W78" si="28">E60-E68-E64-E65-E66</f>
        <v>1.0217271434540336</v>
      </c>
      <c r="F78" s="23">
        <f t="shared" si="28"/>
        <v>1.8375675009059771</v>
      </c>
      <c r="G78" s="23">
        <f t="shared" si="28"/>
        <v>1.8496221466232776</v>
      </c>
      <c r="H78" s="23">
        <f t="shared" si="28"/>
        <v>1.8293940459965876</v>
      </c>
      <c r="I78" s="23">
        <f t="shared" si="28"/>
        <v>1.8755964970170731</v>
      </c>
      <c r="J78" s="23">
        <f t="shared" si="28"/>
        <v>1.9330204362852148</v>
      </c>
      <c r="K78" s="23">
        <f t="shared" si="28"/>
        <v>1.906629459131056</v>
      </c>
      <c r="L78" s="23">
        <f t="shared" si="28"/>
        <v>1.8555800565821068</v>
      </c>
      <c r="M78" s="23">
        <f t="shared" si="28"/>
        <v>1.7898306932657753</v>
      </c>
      <c r="N78" s="23">
        <f t="shared" si="28"/>
        <v>1.6578000656458294</v>
      </c>
      <c r="O78" s="23">
        <f t="shared" si="28"/>
        <v>1.6257607512435681</v>
      </c>
      <c r="P78" s="23">
        <f t="shared" si="28"/>
        <v>1.5458019816939563</v>
      </c>
      <c r="Q78" s="23">
        <f t="shared" si="28"/>
        <v>1.472386040500048</v>
      </c>
      <c r="R78" s="23">
        <f t="shared" si="28"/>
        <v>1.3803354037976299</v>
      </c>
      <c r="S78" s="23">
        <f t="shared" si="28"/>
        <v>1.2678453917319035</v>
      </c>
      <c r="T78" s="23">
        <f t="shared" si="28"/>
        <v>1.2367217840948925</v>
      </c>
      <c r="U78" s="23">
        <f t="shared" si="28"/>
        <v>1.1509782743378765</v>
      </c>
      <c r="V78" s="23">
        <f t="shared" si="28"/>
        <v>1.0534461095357226</v>
      </c>
      <c r="W78" s="23">
        <f t="shared" si="28"/>
        <v>0.94278900440363878</v>
      </c>
    </row>
    <row r="79" spans="2:23" x14ac:dyDescent="0.2">
      <c r="B79" s="24" t="s">
        <v>95</v>
      </c>
      <c r="C79" s="24"/>
      <c r="D79" s="229">
        <f>'Input data'!D45</f>
        <v>14.052580532637272</v>
      </c>
      <c r="E79" s="229">
        <f>'Input data'!E45</f>
        <v>13.567155408847679</v>
      </c>
      <c r="F79" s="229">
        <f>'Input data'!F45</f>
        <v>7.3776443059073022</v>
      </c>
      <c r="G79" s="35">
        <f>'Input data'!G33+G42-(G$12-F$12)/'Input data'!$C$64*100</f>
        <v>5.2007089999999998</v>
      </c>
      <c r="H79" s="35">
        <f>'Input data'!H33+H42-(H$12-G$12)/'Input data'!$C$64*100</f>
        <v>5.3891288749999999</v>
      </c>
      <c r="I79" s="35">
        <f>'Input data'!I33+I42-(I$12-H$12)/'Input data'!$C$64*100</f>
        <v>5.4095417500000007</v>
      </c>
      <c r="J79" s="35">
        <f>'Input data'!J33+J42-(J$12-I$12)/'Input data'!$C$64*100</f>
        <v>5.4982216250000002</v>
      </c>
      <c r="K79" s="35">
        <f>'Input data'!K33+K42-(K$12-J$12)/'Input data'!$C$64*100</f>
        <v>5.3966534999999993</v>
      </c>
      <c r="L79" s="35">
        <f>'Input data'!L33+L42-(L$12-K$12)/'Input data'!$C$64*100</f>
        <v>5.2498503749999994</v>
      </c>
      <c r="M79" s="35">
        <f>'Input data'!M33+M42-(M$12-L$12)/'Input data'!$C$64*100</f>
        <v>5.0606332500000004</v>
      </c>
      <c r="N79" s="35">
        <f>'Input data'!N33+N42-(N$12-M$12)/'Input data'!$C$64*100</f>
        <v>4.830396125</v>
      </c>
      <c r="O79" s="35">
        <f>'Input data'!O33+O42-(O$12-N$12)/'Input data'!$C$64*100</f>
        <v>4.5634099999999993</v>
      </c>
      <c r="P79" s="35">
        <f>'Input data'!P33+P42-(P$12-O$12)/'Input data'!$C$64*100</f>
        <v>4.4729559999999999</v>
      </c>
      <c r="Q79" s="35">
        <f>'Input data'!Q33+Q42-(Q$12-P$12)/'Input data'!$C$64*100</f>
        <v>4.3825029999999998</v>
      </c>
      <c r="R79" s="35">
        <f>'Input data'!R33+R42-(R$12-Q$12)/'Input data'!$C$64*100</f>
        <v>4.2920489999999996</v>
      </c>
      <c r="S79" s="35">
        <f>'Input data'!S33+S42-(S$12-R$12)/'Input data'!$C$64*100</f>
        <v>4.2632259999999995</v>
      </c>
      <c r="T79" s="35">
        <f>'Input data'!T33+T42-(T$12-S$12)/'Input data'!$C$64*100</f>
        <v>4.1970039999999997</v>
      </c>
      <c r="U79" s="35">
        <f>'Input data'!U33+U42-(U$12-T$12)/'Input data'!$C$64*100</f>
        <v>4.1193679999999997</v>
      </c>
      <c r="V79" s="35">
        <f>'Input data'!V33+V42-(V$12-U$12)/'Input data'!$C$64*100</f>
        <v>4.0257110000000003</v>
      </c>
      <c r="W79" s="35">
        <f>'Input data'!W33+W42-(W$12-V$12)/'Input data'!$C$64*100</f>
        <v>3.9011079999999998</v>
      </c>
    </row>
    <row r="80" spans="2:23" x14ac:dyDescent="0.2">
      <c r="D80" s="23"/>
      <c r="E80" s="23"/>
      <c r="F80" s="23"/>
      <c r="G80" s="23"/>
      <c r="H80" s="23"/>
      <c r="I80" s="23"/>
      <c r="J80" s="23"/>
      <c r="K80" s="23"/>
      <c r="L80" s="23"/>
      <c r="M80" s="23"/>
      <c r="N80" s="23"/>
      <c r="O80" s="23"/>
      <c r="P80" s="23"/>
      <c r="Q80" s="23"/>
      <c r="R80" s="23"/>
      <c r="S80" s="23"/>
      <c r="T80" s="23"/>
      <c r="U80" s="23"/>
      <c r="V80" s="23"/>
      <c r="W80" s="23"/>
    </row>
    <row r="81" spans="2:23" x14ac:dyDescent="0.2">
      <c r="B81" s="90" t="s">
        <v>115</v>
      </c>
      <c r="C81" s="37"/>
      <c r="D81" s="148">
        <f ca="1">AVERAGE(OFFSET($G$79,0,0,1,'Criteria results'!F5))</f>
        <v>5.3744003125000006</v>
      </c>
      <c r="E81" s="23"/>
      <c r="F81" s="23"/>
      <c r="G81" s="23"/>
      <c r="H81" s="23"/>
      <c r="I81" s="25"/>
      <c r="J81" s="25"/>
      <c r="K81" s="25"/>
      <c r="L81" s="25"/>
      <c r="M81" s="23"/>
      <c r="N81" s="23"/>
      <c r="O81" s="23"/>
      <c r="P81" s="23"/>
      <c r="Q81" s="23"/>
      <c r="R81" s="23"/>
      <c r="S81" s="23"/>
      <c r="T81" s="23"/>
      <c r="U81" s="23"/>
      <c r="V81" s="23"/>
      <c r="W81" s="23"/>
    </row>
    <row r="82" spans="2:23" x14ac:dyDescent="0.2">
      <c r="B82" s="68"/>
      <c r="C82" s="62"/>
      <c r="D82" s="264"/>
      <c r="E82" s="23"/>
      <c r="F82" s="23"/>
      <c r="G82" s="23"/>
      <c r="H82" s="23"/>
      <c r="I82" s="25"/>
      <c r="J82" s="25"/>
      <c r="K82" s="25"/>
      <c r="L82" s="25"/>
      <c r="M82" s="23"/>
      <c r="N82" s="23"/>
      <c r="O82" s="23"/>
      <c r="P82" s="23"/>
      <c r="Q82" s="23"/>
      <c r="R82" s="23"/>
      <c r="S82" s="23"/>
      <c r="T82" s="23"/>
      <c r="U82" s="23"/>
      <c r="V82" s="23"/>
      <c r="W82" s="23"/>
    </row>
    <row r="83" spans="2:23" x14ac:dyDescent="0.2">
      <c r="B83" s="37" t="s">
        <v>146</v>
      </c>
      <c r="C83" s="37"/>
      <c r="D83" s="37"/>
      <c r="E83" s="37"/>
      <c r="F83" s="37"/>
      <c r="G83" s="177"/>
      <c r="H83" s="177"/>
      <c r="I83" s="177"/>
      <c r="J83" s="177"/>
      <c r="K83" s="177">
        <f t="shared" ref="K83:W83" si="29">IF(K57&lt;J57,0,1)</f>
        <v>0</v>
      </c>
      <c r="L83" s="177">
        <f t="shared" si="29"/>
        <v>0</v>
      </c>
      <c r="M83" s="177">
        <f t="shared" si="29"/>
        <v>0</v>
      </c>
      <c r="N83" s="177">
        <f t="shared" si="29"/>
        <v>0</v>
      </c>
      <c r="O83" s="177">
        <f t="shared" si="29"/>
        <v>0</v>
      </c>
      <c r="P83" s="177">
        <f t="shared" si="29"/>
        <v>0</v>
      </c>
      <c r="Q83" s="177">
        <f t="shared" si="29"/>
        <v>0</v>
      </c>
      <c r="R83" s="177">
        <f t="shared" si="29"/>
        <v>0</v>
      </c>
      <c r="S83" s="177">
        <f t="shared" si="29"/>
        <v>0</v>
      </c>
      <c r="T83" s="177">
        <f t="shared" si="29"/>
        <v>0</v>
      </c>
      <c r="U83" s="63">
        <f t="shared" si="29"/>
        <v>0</v>
      </c>
      <c r="V83" s="63">
        <f t="shared" si="29"/>
        <v>0</v>
      </c>
      <c r="W83" s="63">
        <f t="shared" si="29"/>
        <v>0</v>
      </c>
    </row>
    <row r="84" spans="2:23" x14ac:dyDescent="0.2">
      <c r="B84" s="62"/>
      <c r="C84" s="62"/>
      <c r="D84" s="63"/>
      <c r="E84" s="23"/>
      <c r="F84" s="23"/>
      <c r="G84" s="23"/>
      <c r="H84" s="23"/>
      <c r="I84" s="23"/>
      <c r="J84" s="23"/>
      <c r="K84" s="23"/>
      <c r="L84" s="23"/>
      <c r="M84" s="23"/>
      <c r="N84" s="23"/>
      <c r="O84" s="23"/>
      <c r="P84" s="23"/>
      <c r="Q84" s="23"/>
      <c r="R84" s="23"/>
      <c r="S84" s="23"/>
      <c r="T84" s="23"/>
      <c r="U84" s="23"/>
      <c r="V84" s="23"/>
      <c r="W84" s="23"/>
    </row>
    <row r="85" spans="2:23" s="72" customFormat="1" ht="12.75" outlineLevel="1" x14ac:dyDescent="0.2">
      <c r="B85" s="73" t="s">
        <v>96</v>
      </c>
      <c r="C85" s="74"/>
      <c r="E85" s="75"/>
      <c r="F85" s="74"/>
    </row>
    <row r="86" spans="2:23" x14ac:dyDescent="0.2">
      <c r="C86" s="23"/>
      <c r="D86" s="23"/>
      <c r="E86" s="23"/>
      <c r="F86" s="23"/>
      <c r="G86" s="23"/>
      <c r="H86" s="23"/>
      <c r="I86" s="23"/>
      <c r="J86" s="23"/>
      <c r="K86" s="23"/>
      <c r="L86" s="23"/>
      <c r="M86" s="23"/>
      <c r="N86" s="23"/>
      <c r="O86" s="23"/>
      <c r="P86" s="23"/>
      <c r="Q86" s="23"/>
      <c r="R86" s="23"/>
      <c r="S86" s="23"/>
      <c r="T86" s="23"/>
      <c r="U86" s="23"/>
      <c r="V86" s="23"/>
      <c r="W86" s="23"/>
    </row>
    <row r="87" spans="2:23" x14ac:dyDescent="0.2">
      <c r="B87" s="15" t="s">
        <v>97</v>
      </c>
      <c r="D87" s="18">
        <f t="shared" ref="D87:W87" si="30">IF((D92-C92*D43/((1+D24/100)*(1+D42/100)))&gt;0,1,0)</f>
        <v>0</v>
      </c>
      <c r="E87" s="18">
        <f t="shared" si="30"/>
        <v>0</v>
      </c>
      <c r="F87" s="18">
        <f t="shared" si="30"/>
        <v>1</v>
      </c>
      <c r="G87" s="18">
        <f t="shared" si="30"/>
        <v>1</v>
      </c>
      <c r="H87" s="18">
        <f t="shared" si="30"/>
        <v>0</v>
      </c>
      <c r="I87" s="18">
        <f t="shared" si="30"/>
        <v>0</v>
      </c>
      <c r="J87" s="18">
        <f t="shared" si="30"/>
        <v>0</v>
      </c>
      <c r="K87" s="18">
        <f t="shared" si="30"/>
        <v>0</v>
      </c>
      <c r="L87" s="18">
        <f t="shared" si="30"/>
        <v>0</v>
      </c>
      <c r="M87" s="18">
        <f t="shared" si="30"/>
        <v>0</v>
      </c>
      <c r="N87" s="18">
        <f t="shared" si="30"/>
        <v>0</v>
      </c>
      <c r="O87" s="18">
        <f t="shared" si="30"/>
        <v>0</v>
      </c>
      <c r="P87" s="18">
        <f t="shared" si="30"/>
        <v>0</v>
      </c>
      <c r="Q87" s="18">
        <f t="shared" si="30"/>
        <v>0</v>
      </c>
      <c r="R87" s="18">
        <f t="shared" si="30"/>
        <v>0</v>
      </c>
      <c r="S87" s="18">
        <f t="shared" si="30"/>
        <v>0</v>
      </c>
      <c r="T87" s="18">
        <f t="shared" si="30"/>
        <v>0</v>
      </c>
      <c r="U87" s="18">
        <f t="shared" si="30"/>
        <v>0</v>
      </c>
      <c r="V87" s="18">
        <f t="shared" si="30"/>
        <v>0</v>
      </c>
      <c r="W87" s="18">
        <f t="shared" si="30"/>
        <v>0</v>
      </c>
    </row>
    <row r="88" spans="2:23" x14ac:dyDescent="0.2">
      <c r="B88" s="15" t="s">
        <v>98</v>
      </c>
      <c r="D88" s="18">
        <f t="shared" ref="D88:W88" si="31">IF(AND(D87=0,ABS(D92-C92*D43/((1+D24/100)*(1+D42/100)))&lt;((C98*C92*D43/((1+D24/100)*(1+D42/100))+(D39*C92*C99*D43/((1+D24/100)*(1+D42/100)))))),1,0)</f>
        <v>0</v>
      </c>
      <c r="E88" s="18">
        <f t="shared" si="31"/>
        <v>1</v>
      </c>
      <c r="F88" s="18">
        <f t="shared" si="31"/>
        <v>0</v>
      </c>
      <c r="G88" s="18">
        <f t="shared" si="31"/>
        <v>0</v>
      </c>
      <c r="H88" s="18">
        <f t="shared" si="31"/>
        <v>1</v>
      </c>
      <c r="I88" s="18">
        <f t="shared" si="31"/>
        <v>1</v>
      </c>
      <c r="J88" s="18">
        <f t="shared" si="31"/>
        <v>1</v>
      </c>
      <c r="K88" s="18">
        <f t="shared" si="31"/>
        <v>1</v>
      </c>
      <c r="L88" s="18">
        <f t="shared" si="31"/>
        <v>1</v>
      </c>
      <c r="M88" s="18">
        <f t="shared" si="31"/>
        <v>1</v>
      </c>
      <c r="N88" s="18">
        <f t="shared" si="31"/>
        <v>1</v>
      </c>
      <c r="O88" s="18">
        <f t="shared" si="31"/>
        <v>1</v>
      </c>
      <c r="P88" s="18">
        <f t="shared" si="31"/>
        <v>0</v>
      </c>
      <c r="Q88" s="18">
        <f t="shared" si="31"/>
        <v>0</v>
      </c>
      <c r="R88" s="18">
        <f t="shared" si="31"/>
        <v>0</v>
      </c>
      <c r="S88" s="18">
        <f t="shared" si="31"/>
        <v>0</v>
      </c>
      <c r="T88" s="18">
        <f t="shared" si="31"/>
        <v>0</v>
      </c>
      <c r="U88" s="18">
        <f t="shared" si="31"/>
        <v>0</v>
      </c>
      <c r="V88" s="18">
        <f t="shared" si="31"/>
        <v>0</v>
      </c>
      <c r="W88" s="18">
        <f t="shared" si="31"/>
        <v>0</v>
      </c>
    </row>
    <row r="90" spans="2:23" x14ac:dyDescent="0.2">
      <c r="H90" s="27"/>
      <c r="I90" s="27"/>
      <c r="J90" s="27"/>
      <c r="K90" s="27"/>
      <c r="L90" s="27"/>
      <c r="M90" s="27"/>
      <c r="N90" s="27"/>
      <c r="O90" s="27"/>
      <c r="P90" s="27"/>
      <c r="Q90" s="27"/>
      <c r="R90" s="27"/>
      <c r="S90" s="27"/>
      <c r="T90" s="27"/>
    </row>
    <row r="91" spans="2:23" x14ac:dyDescent="0.2">
      <c r="B91" s="37"/>
      <c r="C91" s="67">
        <v>2021</v>
      </c>
      <c r="D91" s="67">
        <v>2022</v>
      </c>
      <c r="E91" s="67">
        <v>2023</v>
      </c>
      <c r="F91" s="67">
        <v>2024</v>
      </c>
      <c r="G91" s="67">
        <v>2025</v>
      </c>
      <c r="H91" s="67">
        <v>2026</v>
      </c>
      <c r="I91" s="67">
        <v>2027</v>
      </c>
      <c r="J91" s="67">
        <v>2028</v>
      </c>
      <c r="K91" s="67">
        <v>2029</v>
      </c>
      <c r="L91" s="67">
        <v>2030</v>
      </c>
      <c r="M91" s="67">
        <v>2031</v>
      </c>
      <c r="N91" s="67">
        <v>2032</v>
      </c>
      <c r="O91" s="67">
        <v>2033</v>
      </c>
      <c r="P91" s="67">
        <v>2034</v>
      </c>
      <c r="Q91" s="67">
        <v>2035</v>
      </c>
      <c r="R91" s="67">
        <v>2036</v>
      </c>
      <c r="S91" s="67">
        <v>2037</v>
      </c>
      <c r="T91" s="67">
        <v>2038</v>
      </c>
      <c r="U91" s="67">
        <v>2039</v>
      </c>
      <c r="V91" s="67">
        <v>2040</v>
      </c>
      <c r="W91" s="67">
        <v>2041</v>
      </c>
    </row>
    <row r="92" spans="2:23" x14ac:dyDescent="0.2">
      <c r="B92" s="84" t="s">
        <v>76</v>
      </c>
      <c r="C92" s="88">
        <f>C57</f>
        <v>54.398470000000003</v>
      </c>
      <c r="D92" s="88">
        <f>D57</f>
        <v>44.391771547524669</v>
      </c>
      <c r="E92" s="88">
        <f>E57</f>
        <v>43.730433720991776</v>
      </c>
      <c r="F92" s="88">
        <f>F57</f>
        <v>42.488825337098667</v>
      </c>
      <c r="G92" s="88">
        <f>G57</f>
        <v>41.199313755606511</v>
      </c>
      <c r="H92" s="88">
        <f t="shared" ref="H92:W92" si="32">G92*(1+H106/100)*H43-H60-H61+H62+H63+H64+H65+H66+H72</f>
        <v>37.456894889337619</v>
      </c>
      <c r="I92" s="88">
        <f t="shared" si="32"/>
        <v>33.593172392013621</v>
      </c>
      <c r="J92" s="88">
        <f t="shared" si="32"/>
        <v>29.81631520992169</v>
      </c>
      <c r="K92" s="88">
        <f t="shared" si="32"/>
        <v>26.364042554448972</v>
      </c>
      <c r="L92" s="88">
        <f t="shared" si="32"/>
        <v>23.177269442948784</v>
      </c>
      <c r="M92" s="88">
        <f t="shared" si="32"/>
        <v>20.25762028840618</v>
      </c>
      <c r="N92" s="88">
        <f t="shared" si="32"/>
        <v>17.655639058329722</v>
      </c>
      <c r="O92" s="88">
        <f t="shared" si="32"/>
        <v>15.251050832314142</v>
      </c>
      <c r="P92" s="88">
        <f t="shared" si="32"/>
        <v>13.045406277985567</v>
      </c>
      <c r="Q92" s="88">
        <f t="shared" si="32"/>
        <v>11.019664985888092</v>
      </c>
      <c r="R92" s="88">
        <f t="shared" si="32"/>
        <v>9.1812598024376406</v>
      </c>
      <c r="S92" s="88">
        <f t="shared" si="32"/>
        <v>7.5342408293446166</v>
      </c>
      <c r="T92" s="88">
        <f t="shared" si="32"/>
        <v>5.991051099906934</v>
      </c>
      <c r="U92" s="88">
        <f t="shared" si="32"/>
        <v>4.6007501717729529</v>
      </c>
      <c r="V92" s="88">
        <f t="shared" si="32"/>
        <v>3.3675776160229285</v>
      </c>
      <c r="W92" s="88">
        <f t="shared" si="32"/>
        <v>2.2971950537127137</v>
      </c>
    </row>
    <row r="93" spans="2:23" x14ac:dyDescent="0.2">
      <c r="B93" s="15" t="s">
        <v>99</v>
      </c>
      <c r="C93" s="23"/>
      <c r="D93" s="174">
        <f>'Input data'!C66*$D$92</f>
        <v>37.416472875665853</v>
      </c>
      <c r="E93" s="23">
        <f t="shared" ref="E93:W93" si="33">IF(E92=0,0,IF(E87=1,D92*E43/((1+E24/100)*(1+E42/100))-E94-E95,IF(AND(E87=0,E88=1),(1-D98-E39*D99)*D92*E43/((1+E24/100)*(1+E42/100)),E92)))</f>
        <v>37.985688785691551</v>
      </c>
      <c r="F93" s="23">
        <f t="shared" si="33"/>
        <v>36.086220755244689</v>
      </c>
      <c r="G93" s="23">
        <f t="shared" si="33"/>
        <v>34.066502287729229</v>
      </c>
      <c r="H93" s="23">
        <f t="shared" si="33"/>
        <v>32.665878400883344</v>
      </c>
      <c r="I93" s="23">
        <f t="shared" si="33"/>
        <v>30.609328295160459</v>
      </c>
      <c r="J93" s="23">
        <f t="shared" si="33"/>
        <v>27.996255016696999</v>
      </c>
      <c r="K93" s="23">
        <f t="shared" si="33"/>
        <v>25.39750634070667</v>
      </c>
      <c r="L93" s="23">
        <f t="shared" si="33"/>
        <v>22.973687978931132</v>
      </c>
      <c r="M93" s="23">
        <f t="shared" si="33"/>
        <v>19.980907970830675</v>
      </c>
      <c r="N93" s="23">
        <f t="shared" si="33"/>
        <v>17.42788351194157</v>
      </c>
      <c r="O93" s="23">
        <f t="shared" si="33"/>
        <v>15.115940980806414</v>
      </c>
      <c r="P93" s="23">
        <f t="shared" si="33"/>
        <v>13.045406277985567</v>
      </c>
      <c r="Q93" s="23">
        <f t="shared" si="33"/>
        <v>11.019664985888092</v>
      </c>
      <c r="R93" s="23">
        <f t="shared" si="33"/>
        <v>9.1812598024376406</v>
      </c>
      <c r="S93" s="23">
        <f t="shared" si="33"/>
        <v>7.5342408293446166</v>
      </c>
      <c r="T93" s="23">
        <f t="shared" si="33"/>
        <v>5.991051099906934</v>
      </c>
      <c r="U93" s="23">
        <f t="shared" si="33"/>
        <v>4.6007501717729529</v>
      </c>
      <c r="V93" s="23">
        <f t="shared" si="33"/>
        <v>3.3675776160229285</v>
      </c>
      <c r="W93" s="23">
        <f t="shared" si="33"/>
        <v>2.2971950537127137</v>
      </c>
    </row>
    <row r="94" spans="2:23" x14ac:dyDescent="0.2">
      <c r="B94" s="83" t="s">
        <v>100</v>
      </c>
      <c r="C94" s="23"/>
      <c r="D94" s="174">
        <f>'Input data'!C67*$D$92</f>
        <v>2.306773560775659</v>
      </c>
      <c r="E94" s="23">
        <f t="shared" ref="E94:W94" si="34">IF(E92=0,0,IF(E87=1,E39*D92*D99*E43/((1+E24/100)*(1+E42/100)),IF(AND(E87=0,E88=1),(E39*D92*D99*E43/((1+E24/100)*(1+E42/100)))*(1-ABS(E92-D92*E43/((1+E24/100)*(1+E42/100)))/((E39*D92*D99*E43/((1+E24/100)*(1+E42/100)))+(D98*D92*E43/((1+E24/100)*(1+E42/100))))),0)))</f>
        <v>1.6381495421537531</v>
      </c>
      <c r="F94" s="23">
        <f t="shared" si="34"/>
        <v>2.0686309093403406</v>
      </c>
      <c r="G94" s="23">
        <f t="shared" si="34"/>
        <v>2.4597944168704964</v>
      </c>
      <c r="H94" s="23">
        <f t="shared" si="34"/>
        <v>1.9739953419365093</v>
      </c>
      <c r="I94" s="23">
        <f t="shared" si="34"/>
        <v>1.3110357371512908</v>
      </c>
      <c r="J94" s="23">
        <f t="shared" si="34"/>
        <v>1.0533569151384412</v>
      </c>
      <c r="K94" s="23">
        <f t="shared" si="34"/>
        <v>0.7219868453043965</v>
      </c>
      <c r="L94" s="23">
        <f t="shared" si="34"/>
        <v>0.18062462530714754</v>
      </c>
      <c r="M94" s="23">
        <f t="shared" si="34"/>
        <v>0.27378822248610074</v>
      </c>
      <c r="N94" s="23">
        <f t="shared" si="34"/>
        <v>0.22741880905753448</v>
      </c>
      <c r="O94" s="23">
        <f t="shared" si="34"/>
        <v>0.13508515379041167</v>
      </c>
      <c r="P94" s="23">
        <f t="shared" si="34"/>
        <v>0</v>
      </c>
      <c r="Q94" s="23">
        <f t="shared" si="34"/>
        <v>0</v>
      </c>
      <c r="R94" s="23">
        <f t="shared" si="34"/>
        <v>0</v>
      </c>
      <c r="S94" s="23">
        <f t="shared" si="34"/>
        <v>0</v>
      </c>
      <c r="T94" s="23">
        <f t="shared" si="34"/>
        <v>0</v>
      </c>
      <c r="U94" s="23">
        <f t="shared" si="34"/>
        <v>0</v>
      </c>
      <c r="V94" s="23">
        <f t="shared" si="34"/>
        <v>0</v>
      </c>
      <c r="W94" s="23">
        <f t="shared" si="34"/>
        <v>0</v>
      </c>
    </row>
    <row r="95" spans="2:23" x14ac:dyDescent="0.2">
      <c r="B95" s="83" t="s">
        <v>101</v>
      </c>
      <c r="C95" s="23"/>
      <c r="D95" s="174">
        <f>'Input data'!C68*$D$92</f>
        <v>4.6685201110841117</v>
      </c>
      <c r="E95" s="23">
        <f t="shared" ref="E95:W95" si="35">IF(E92=0,0,IF(E87=1,(1-D99)*D92*E43/((1+E24/100)*(1+E42/100)),IF(AND(E87=0,E88=1),(D98*D92*E43/((1+E24/100)*(1+E42/100)))*(1-ABS(E92-D92*E43/((1+E24/100)*(1+E42/100)))/((E39*D92*D99*E43/((1+E24/100)*(1+E42/100)))+(D98*D92*E43/((1+E24/100)*(1+E42/100))))),0)))</f>
        <v>4.106595393146474</v>
      </c>
      <c r="F95" s="23">
        <f t="shared" si="35"/>
        <v>3.9543503275870662</v>
      </c>
      <c r="G95" s="23">
        <f t="shared" si="35"/>
        <v>3.7957466617499467</v>
      </c>
      <c r="H95" s="23">
        <f t="shared" si="35"/>
        <v>2.8170211465177677</v>
      </c>
      <c r="I95" s="23">
        <f t="shared" si="35"/>
        <v>1.6728083597018708</v>
      </c>
      <c r="J95" s="23">
        <f t="shared" si="35"/>
        <v>0.76670327808624827</v>
      </c>
      <c r="K95" s="23">
        <f t="shared" si="35"/>
        <v>0.24454936843790703</v>
      </c>
      <c r="L95" s="23">
        <f t="shared" si="35"/>
        <v>2.2956838710505904E-2</v>
      </c>
      <c r="M95" s="23">
        <f t="shared" si="35"/>
        <v>2.9240950894072813E-3</v>
      </c>
      <c r="N95" s="23">
        <f t="shared" si="35"/>
        <v>3.367373306151031E-4</v>
      </c>
      <c r="O95" s="23">
        <f t="shared" si="35"/>
        <v>2.4697717315284358E-5</v>
      </c>
      <c r="P95" s="23">
        <f t="shared" si="35"/>
        <v>0</v>
      </c>
      <c r="Q95" s="23">
        <f t="shared" si="35"/>
        <v>0</v>
      </c>
      <c r="R95" s="23">
        <f t="shared" si="35"/>
        <v>0</v>
      </c>
      <c r="S95" s="23">
        <f t="shared" si="35"/>
        <v>0</v>
      </c>
      <c r="T95" s="23">
        <f t="shared" si="35"/>
        <v>0</v>
      </c>
      <c r="U95" s="23">
        <f t="shared" si="35"/>
        <v>0</v>
      </c>
      <c r="V95" s="23">
        <f t="shared" si="35"/>
        <v>0</v>
      </c>
      <c r="W95" s="23">
        <f t="shared" si="35"/>
        <v>0</v>
      </c>
    </row>
    <row r="96" spans="2:23" x14ac:dyDescent="0.2">
      <c r="B96" s="83" t="s">
        <v>102</v>
      </c>
      <c r="C96" s="23"/>
      <c r="D96" s="174">
        <f>'Input data'!C69*$D$92</f>
        <v>0</v>
      </c>
      <c r="E96" s="23">
        <f>IF(E92=0,0,IF(E87=1,'Input data'!$C$58*(E92-D92*E43/((1+E24/100)*(1+E42/100))),0))</f>
        <v>0</v>
      </c>
      <c r="F96" s="23">
        <f>IF(F92=0,0,IF(F87=1,'Input data'!$C$58*(F92-E92*F43/((1+F24/100)*(1+F42/100))),0))</f>
        <v>0.33425531822108667</v>
      </c>
      <c r="G96" s="23">
        <f>IF(G92=0,0,IF(G87=1,'Input data'!$C$58*(G92-F92*G43/((1+G24/100)*(1+G42/100))),0))</f>
        <v>0.77242955957753623</v>
      </c>
      <c r="H96" s="23">
        <f>IF(H92=0,0,IF(H87=1,'Input data'!$C$58*(H92-G92*H43/((1+H24/100)*(1+H42/100))),0))</f>
        <v>0</v>
      </c>
      <c r="I96" s="23">
        <f>IF(I92=0,0,IF(I87=1,'Input data'!$C$58*(I92-H92*I43/((1+I24/100)*(1+I42/100))),0))</f>
        <v>0</v>
      </c>
      <c r="J96" s="23">
        <f>IF(J92=0,0,IF(J87=1,'Input data'!$C$58*(J92-I92*J43/((1+J24/100)*(1+J42/100))),0))</f>
        <v>0</v>
      </c>
      <c r="K96" s="23">
        <f>IF(K92=0,0,IF(K87=1,'Input data'!$C$58*(K92-J92*K43/((1+K24/100)*(1+K42/100))),0))</f>
        <v>0</v>
      </c>
      <c r="L96" s="23">
        <f>IF(L92=0,0,IF(L87=1,'Input data'!$C$58*(L92-K92*L43/((1+L24/100)*(1+L42/100))),0))</f>
        <v>0</v>
      </c>
      <c r="M96" s="23">
        <f>IF(M92=0,0,IF(M87=1,'Input data'!$C$58*(M92-L92*M43/((1+M24/100)*(1+M42/100))),0))</f>
        <v>0</v>
      </c>
      <c r="N96" s="23">
        <f>IF(N92=0,0,IF(N87=1,'Input data'!$C$58*(N92-M92*N43/((1+N24/100)*(1+N42/100))),0))</f>
        <v>0</v>
      </c>
      <c r="O96" s="23">
        <f>IF(O92=0,0,IF(O87=1,'Input data'!$C$58*(O92-N92*O43/((1+O24/100)*(1+O42/100))),0))</f>
        <v>0</v>
      </c>
      <c r="P96" s="23">
        <f>IF(P92=0,0,IF(P87=1,'Input data'!$C$58*(P92-O92*P43/((1+P24/100)*(1+P42/100))),0))</f>
        <v>0</v>
      </c>
      <c r="Q96" s="23">
        <f>IF(Q92=0,0,IF(Q87=1,'Input data'!$C$58*(Q92-P92*Q43/((1+Q24/100)*(1+Q42/100))),0))</f>
        <v>0</v>
      </c>
      <c r="R96" s="23">
        <f>IF(R92=0,0,IF(R87=1,'Input data'!$C$58*(R92-Q92*R43/((1+R24/100)*(1+R42/100))),0))</f>
        <v>0</v>
      </c>
      <c r="S96" s="23">
        <f>IF(S92=0,0,IF(S87=1,'Input data'!$C$58*(S92-R92*S43/((1+S24/100)*(1+S42/100))),0))</f>
        <v>0</v>
      </c>
      <c r="T96" s="23">
        <f>IF(T92=0,0,IF(T87=1,'Input data'!$C$58*(T92-S92*T43/((1+T24/100)*(1+T42/100))),0))</f>
        <v>0</v>
      </c>
      <c r="U96" s="23">
        <f>IF(U92=0,0,IF(U87=1,'Input data'!$C$58*(U92-T92*U43/((1+U24/100)*(1+U42/100))),0))</f>
        <v>0</v>
      </c>
      <c r="V96" s="23">
        <f>IF(V92=0,0,IF(V87=1,'Input data'!$C$58*(V92-U92*V43/((1+V24/100)*(1+V42/100))),0))</f>
        <v>0</v>
      </c>
      <c r="W96" s="23">
        <f>IF(W92=0,0,IF(W87=1,'Input data'!$C$58*(W92-V92*W43/((1+W24/100)*(1+W42/100))),0))</f>
        <v>0</v>
      </c>
    </row>
    <row r="97" spans="2:25" x14ac:dyDescent="0.2">
      <c r="B97" s="85" t="s">
        <v>103</v>
      </c>
      <c r="C97" s="35"/>
      <c r="D97" s="175">
        <f>'Input data'!C70*$D$92</f>
        <v>0</v>
      </c>
      <c r="E97" s="35">
        <f>IF(E92=0,0,IF(E87=1,'Input data'!$C$57*(E92-D92*E43/((1+E24/100)*(1+E42/100))),0))</f>
        <v>0</v>
      </c>
      <c r="F97" s="35">
        <f>IF(F92=0,0,IF(F87=1,'Input data'!$C$57*(F92-E92*F43/((1+F24/100)*(1+F42/100))),0))</f>
        <v>4.536802670548469E-2</v>
      </c>
      <c r="G97" s="35">
        <f>IF(G92=0,0,IF(G87=1,'Input data'!$C$57*(G92-F92*G43/((1+G24/100)*(1+G42/100))),0))</f>
        <v>0.10484082967930679</v>
      </c>
      <c r="H97" s="35">
        <f>IF(H92=0,0,IF(H87=1,'Input data'!$C$57*(H92-G92*H43/((1+H24/100)*(1+H42/100))),0))</f>
        <v>0</v>
      </c>
      <c r="I97" s="35">
        <f>IF(I92=0,0,IF(I87=1,'Input data'!$C$57*(I92-H92*I43/((1+I24/100)*(1+I42/100))),0))</f>
        <v>0</v>
      </c>
      <c r="J97" s="35">
        <f>IF(J92=0,0,IF(J87=1,'Input data'!$C$57*(J92-I92*J43/((1+J24/100)*(1+J42/100))),0))</f>
        <v>0</v>
      </c>
      <c r="K97" s="35">
        <f>IF(K92=0,0,IF(K87=1,'Input data'!$C$57*(K92-J92*K43/((1+K24/100)*(1+K42/100))),0))</f>
        <v>0</v>
      </c>
      <c r="L97" s="35">
        <f>IF(L92=0,0,IF(L87=1,'Input data'!$C$57*(L92-K92*L43/((1+L24/100)*(1+L42/100))),0))</f>
        <v>0</v>
      </c>
      <c r="M97" s="35">
        <f>IF(M92=0,0,IF(M87=1,'Input data'!$C$57*(M92-L92*M43/((1+M24/100)*(1+M42/100))),0))</f>
        <v>0</v>
      </c>
      <c r="N97" s="35">
        <f>IF(N92=0,0,IF(N87=1,'Input data'!$C$57*(N92-M92*N43/((1+N24/100)*(1+N42/100))),0))</f>
        <v>0</v>
      </c>
      <c r="O97" s="35">
        <f>IF(O92=0,0,IF(O87=1,'Input data'!$C$57*(O92-N92*O43/((1+O24/100)*(1+O42/100))),0))</f>
        <v>0</v>
      </c>
      <c r="P97" s="35">
        <f>IF(P92=0,0,IF(P87=1,'Input data'!$C$57*(P92-O92*P43/((1+P24/100)*(1+P42/100))),0))</f>
        <v>0</v>
      </c>
      <c r="Q97" s="35">
        <f>IF(Q92=0,0,IF(Q87=1,'Input data'!$C$57*(Q92-P92*Q43/((1+Q24/100)*(1+Q42/100))),0))</f>
        <v>0</v>
      </c>
      <c r="R97" s="35">
        <f>IF(R92=0,0,IF(R87=1,'Input data'!$C$57*(R92-Q92*R43/((1+R24/100)*(1+R42/100))),0))</f>
        <v>0</v>
      </c>
      <c r="S97" s="35">
        <f>IF(S92=0,0,IF(S87=1,'Input data'!$C$57*(S92-R92*S43/((1+S24/100)*(1+S42/100))),0))</f>
        <v>0</v>
      </c>
      <c r="T97" s="35">
        <f>IF(T92=0,0,IF(T87=1,'Input data'!$C$57*(T92-S92*T43/((1+T24/100)*(1+T42/100))),0))</f>
        <v>0</v>
      </c>
      <c r="U97" s="35">
        <f>IF(U92=0,0,IF(U87=1,'Input data'!$C$57*(U92-T92*U43/((1+U24/100)*(1+U42/100))),0))</f>
        <v>0</v>
      </c>
      <c r="V97" s="35">
        <f>IF(V92=0,0,IF(V87=1,'Input data'!$C$57*(V92-U92*V43/((1+V24/100)*(1+V42/100))),0))</f>
        <v>0</v>
      </c>
      <c r="W97" s="35">
        <f>IF(W92=0,0,IF(W87=1,'Input data'!$C$57*(W92-V92*W43/((1+W24/100)*(1+W42/100))),0))</f>
        <v>0</v>
      </c>
    </row>
    <row r="98" spans="2:25" x14ac:dyDescent="0.2">
      <c r="B98" s="15" t="s">
        <v>51</v>
      </c>
      <c r="C98" s="25"/>
      <c r="D98" s="179">
        <f>'Baseline NFPC'!$D$93</f>
        <v>0.10516645198728225</v>
      </c>
      <c r="E98" s="25">
        <f t="shared" ref="E98:W98" si="36">IF(E92&lt;&gt;0,(E95+E97)/(E93+E94+E95+E96+E97),0)</f>
        <v>9.390703552924512E-2</v>
      </c>
      <c r="F98" s="25">
        <f t="shared" si="36"/>
        <v>9.413577152485407E-2</v>
      </c>
      <c r="G98" s="25">
        <f t="shared" si="36"/>
        <v>9.4676030638943628E-2</v>
      </c>
      <c r="H98" s="25">
        <f t="shared" si="36"/>
        <v>7.5207012082564625E-2</v>
      </c>
      <c r="I98" s="25">
        <f t="shared" si="36"/>
        <v>4.979608178058114E-2</v>
      </c>
      <c r="J98" s="25">
        <f t="shared" si="36"/>
        <v>2.5714219637412467E-2</v>
      </c>
      <c r="K98" s="25">
        <f t="shared" si="36"/>
        <v>9.2758676114577474E-3</v>
      </c>
      <c r="L98" s="25">
        <f t="shared" si="36"/>
        <v>9.9048935712701307E-4</v>
      </c>
      <c r="M98" s="25">
        <f t="shared" si="36"/>
        <v>1.4434543879178127E-4</v>
      </c>
      <c r="N98" s="25">
        <f t="shared" si="36"/>
        <v>1.9072508760663321E-5</v>
      </c>
      <c r="O98" s="25">
        <f t="shared" si="36"/>
        <v>1.6194108580999866E-6</v>
      </c>
      <c r="P98" s="25">
        <f t="shared" si="36"/>
        <v>0</v>
      </c>
      <c r="Q98" s="25">
        <f t="shared" si="36"/>
        <v>0</v>
      </c>
      <c r="R98" s="25">
        <f t="shared" si="36"/>
        <v>0</v>
      </c>
      <c r="S98" s="25">
        <f t="shared" si="36"/>
        <v>0</v>
      </c>
      <c r="T98" s="25">
        <f t="shared" si="36"/>
        <v>0</v>
      </c>
      <c r="U98" s="25">
        <f>IF(U92&lt;&gt;0,(U95+U97)/(U93+U94+U95+U96+U97),0)</f>
        <v>0</v>
      </c>
      <c r="V98" s="25">
        <f t="shared" si="36"/>
        <v>0</v>
      </c>
      <c r="W98" s="23">
        <f t="shared" si="36"/>
        <v>0</v>
      </c>
    </row>
    <row r="99" spans="2:25" x14ac:dyDescent="0.2">
      <c r="B99" s="24" t="s">
        <v>52</v>
      </c>
      <c r="C99" s="86"/>
      <c r="D99" s="180">
        <f>'Baseline NFPC'!$D$94</f>
        <v>0.89483354801271775</v>
      </c>
      <c r="E99" s="86">
        <f t="shared" ref="E99:W99" si="37">IF(E92&lt;&gt;0,(E93+E94+E96)/(E93+E94+E95+E96+E97),1)</f>
        <v>0.90609296447075482</v>
      </c>
      <c r="F99" s="86">
        <f t="shared" si="37"/>
        <v>0.90586422847514603</v>
      </c>
      <c r="G99" s="86">
        <f t="shared" si="37"/>
        <v>0.90532396936105652</v>
      </c>
      <c r="H99" s="86">
        <f t="shared" si="37"/>
        <v>0.92479298791743536</v>
      </c>
      <c r="I99" s="86">
        <f t="shared" si="37"/>
        <v>0.95020391821941885</v>
      </c>
      <c r="J99" s="86">
        <f t="shared" si="37"/>
        <v>0.97428578036258762</v>
      </c>
      <c r="K99" s="86">
        <f t="shared" si="37"/>
        <v>0.99072413238854218</v>
      </c>
      <c r="L99" s="86">
        <f t="shared" si="37"/>
        <v>0.99900951064287302</v>
      </c>
      <c r="M99" s="86">
        <f t="shared" si="37"/>
        <v>0.99985565456120817</v>
      </c>
      <c r="N99" s="86">
        <f t="shared" si="37"/>
        <v>0.99998092749123946</v>
      </c>
      <c r="O99" s="86">
        <f t="shared" si="37"/>
        <v>0.99999838058914192</v>
      </c>
      <c r="P99" s="86">
        <f t="shared" si="37"/>
        <v>1</v>
      </c>
      <c r="Q99" s="86">
        <f t="shared" si="37"/>
        <v>1</v>
      </c>
      <c r="R99" s="86">
        <f t="shared" si="37"/>
        <v>1</v>
      </c>
      <c r="S99" s="86">
        <f t="shared" si="37"/>
        <v>1</v>
      </c>
      <c r="T99" s="86">
        <f t="shared" si="37"/>
        <v>1</v>
      </c>
      <c r="U99" s="86">
        <f t="shared" si="37"/>
        <v>1</v>
      </c>
      <c r="V99" s="86">
        <f t="shared" si="37"/>
        <v>1</v>
      </c>
      <c r="W99" s="35">
        <f t="shared" si="37"/>
        <v>1</v>
      </c>
    </row>
    <row r="100" spans="2:25" x14ac:dyDescent="0.2">
      <c r="C100" s="27"/>
      <c r="D100" s="27"/>
      <c r="E100" s="27"/>
      <c r="F100" s="27"/>
      <c r="G100" s="27"/>
      <c r="H100" s="27"/>
      <c r="I100" s="27"/>
      <c r="J100" s="27"/>
      <c r="K100" s="27"/>
      <c r="L100" s="27"/>
      <c r="M100" s="27"/>
      <c r="N100" s="27"/>
      <c r="O100" s="27"/>
      <c r="P100" s="27"/>
      <c r="Q100" s="27"/>
      <c r="R100" s="27"/>
      <c r="S100" s="27"/>
      <c r="T100" s="27"/>
      <c r="U100" s="27"/>
      <c r="V100" s="27"/>
      <c r="W100" s="27"/>
    </row>
    <row r="101" spans="2:25" x14ac:dyDescent="0.2">
      <c r="B101" s="90" t="s">
        <v>104</v>
      </c>
      <c r="C101" s="92">
        <f>'Baseline NFPC'!C96</f>
        <v>1.510173</v>
      </c>
      <c r="D101" s="92">
        <f>'Baseline NFPC'!D96</f>
        <v>1.408838</v>
      </c>
      <c r="E101" s="92">
        <f>'Baseline NFPC'!E96</f>
        <v>1.550894</v>
      </c>
      <c r="F101" s="92">
        <f>'Baseline NFPC'!F96</f>
        <v>1.641526</v>
      </c>
      <c r="G101" s="92">
        <f>'Baseline NFPC'!G96</f>
        <v>1.6843859999999999</v>
      </c>
      <c r="H101" s="92">
        <f t="shared" ref="H101:W101" si="38">H103+H104</f>
        <v>1.7963362728642545</v>
      </c>
      <c r="I101" s="92">
        <f t="shared" si="38"/>
        <v>1.8477295502688917</v>
      </c>
      <c r="J101" s="92">
        <f>J103+J104</f>
        <v>1.8765132788055841</v>
      </c>
      <c r="K101" s="92">
        <f t="shared" si="38"/>
        <v>1.9046582440660691</v>
      </c>
      <c r="L101" s="92">
        <f t="shared" si="38"/>
        <v>1.9309319418432969</v>
      </c>
      <c r="M101" s="92">
        <f t="shared" si="38"/>
        <v>1.9360733845092364</v>
      </c>
      <c r="N101" s="92">
        <f t="shared" si="38"/>
        <v>1.9574640995012271</v>
      </c>
      <c r="O101" s="92">
        <f t="shared" si="38"/>
        <v>1.9793499442805511</v>
      </c>
      <c r="P101" s="92">
        <f t="shared" si="38"/>
        <v>1.9944079624134392</v>
      </c>
      <c r="Q101" s="92">
        <f t="shared" si="38"/>
        <v>1.994406836309681</v>
      </c>
      <c r="R101" s="92">
        <f t="shared" si="38"/>
        <v>1.994406836309681</v>
      </c>
      <c r="S101" s="92">
        <f t="shared" si="38"/>
        <v>1.994406836309681</v>
      </c>
      <c r="T101" s="92">
        <f t="shared" si="38"/>
        <v>1.9944068363096807</v>
      </c>
      <c r="U101" s="92">
        <f t="shared" si="38"/>
        <v>1.9944068363096807</v>
      </c>
      <c r="V101" s="92">
        <f t="shared" si="38"/>
        <v>1.9944068363096805</v>
      </c>
      <c r="W101" s="92">
        <f t="shared" si="38"/>
        <v>1.9944068363096805</v>
      </c>
    </row>
    <row r="102" spans="2:25" x14ac:dyDescent="0.2">
      <c r="B102" s="22" t="s">
        <v>105</v>
      </c>
      <c r="C102" s="23"/>
      <c r="D102" s="23"/>
      <c r="E102" s="184">
        <f>((E36*D92)-(E38*(D95+D97)))/(D93+D94+D96)</f>
        <v>1.3300501067037456</v>
      </c>
      <c r="F102" s="184">
        <f>((F36*E92)-(F38*(E95+E97)))/(E93+E94+E96)</f>
        <v>1.4422601697097268</v>
      </c>
      <c r="G102" s="184">
        <f>((G36*F92)-(G38*(F95+F97)))/(F93+F94+F96)</f>
        <v>1.5667517513753211</v>
      </c>
      <c r="H102" s="23">
        <f t="shared" ref="H102:W102" si="39">IF(G92&gt;0,(G102*G93+H37*(G96+G94))/(G93+G94+G96),H37)</f>
        <v>1.6908439377034645</v>
      </c>
      <c r="I102" s="23">
        <f t="shared" si="39"/>
        <v>1.7707918845428485</v>
      </c>
      <c r="J102" s="23">
        <f t="shared" si="39"/>
        <v>1.8290334794176364</v>
      </c>
      <c r="K102" s="23">
        <f t="shared" si="39"/>
        <v>1.8817868430887097</v>
      </c>
      <c r="L102" s="23">
        <f t="shared" si="39"/>
        <v>1.9231701113634601</v>
      </c>
      <c r="M102" s="23">
        <f t="shared" si="39"/>
        <v>1.9352677268814316</v>
      </c>
      <c r="N102" s="23">
        <f t="shared" si="39"/>
        <v>1.9573515065775851</v>
      </c>
      <c r="O102" s="23">
        <f t="shared" si="39"/>
        <v>1.9793357018026567</v>
      </c>
      <c r="P102" s="23">
        <f t="shared" si="39"/>
        <v>1.994406836309681</v>
      </c>
      <c r="Q102" s="23">
        <f t="shared" si="39"/>
        <v>1.994406836309681</v>
      </c>
      <c r="R102" s="23">
        <f t="shared" si="39"/>
        <v>1.994406836309681</v>
      </c>
      <c r="S102" s="23">
        <f t="shared" si="39"/>
        <v>1.994406836309681</v>
      </c>
      <c r="T102" s="23">
        <f t="shared" si="39"/>
        <v>1.9944068363096807</v>
      </c>
      <c r="U102" s="23">
        <f t="shared" si="39"/>
        <v>1.9944068363096807</v>
      </c>
      <c r="V102" s="23">
        <f t="shared" si="39"/>
        <v>1.9944068363096805</v>
      </c>
      <c r="W102" s="23">
        <f t="shared" si="39"/>
        <v>1.9944068363096805</v>
      </c>
    </row>
    <row r="103" spans="2:25" x14ac:dyDescent="0.2">
      <c r="B103" s="15" t="s">
        <v>106</v>
      </c>
      <c r="C103" s="23"/>
      <c r="D103" s="23"/>
      <c r="E103" s="23">
        <f t="shared" ref="E103:W103" si="40">(E102*(D93+D94+D96)+E38*(D95+D97))/D92</f>
        <v>1.550894</v>
      </c>
      <c r="F103" s="23">
        <f t="shared" si="40"/>
        <v>1.641526</v>
      </c>
      <c r="G103" s="23">
        <f t="shared" si="40"/>
        <v>1.6843859999999999</v>
      </c>
      <c r="H103" s="23">
        <f t="shared" si="40"/>
        <v>1.7963362728642545</v>
      </c>
      <c r="I103" s="23">
        <f t="shared" si="40"/>
        <v>1.8477295502688917</v>
      </c>
      <c r="J103" s="23">
        <f t="shared" si="40"/>
        <v>1.8765132788055841</v>
      </c>
      <c r="K103" s="23">
        <f t="shared" si="40"/>
        <v>1.9046582440660691</v>
      </c>
      <c r="L103" s="23">
        <f t="shared" si="40"/>
        <v>1.9309319418432969</v>
      </c>
      <c r="M103" s="23">
        <f t="shared" si="40"/>
        <v>1.9360733845092364</v>
      </c>
      <c r="N103" s="23">
        <f t="shared" si="40"/>
        <v>1.9574640995012271</v>
      </c>
      <c r="O103" s="23">
        <f t="shared" si="40"/>
        <v>1.9793499442805511</v>
      </c>
      <c r="P103" s="23">
        <f t="shared" si="40"/>
        <v>1.9944079624134392</v>
      </c>
      <c r="Q103" s="23">
        <f t="shared" si="40"/>
        <v>1.994406836309681</v>
      </c>
      <c r="R103" s="23">
        <f t="shared" si="40"/>
        <v>1.994406836309681</v>
      </c>
      <c r="S103" s="23">
        <f t="shared" si="40"/>
        <v>1.994406836309681</v>
      </c>
      <c r="T103" s="23">
        <f t="shared" si="40"/>
        <v>1.9944068363096807</v>
      </c>
      <c r="U103" s="23">
        <f t="shared" si="40"/>
        <v>1.9944068363096807</v>
      </c>
      <c r="V103" s="23">
        <f t="shared" si="40"/>
        <v>1.9944068363096805</v>
      </c>
      <c r="W103" s="23">
        <f t="shared" si="40"/>
        <v>1.9944068363096805</v>
      </c>
    </row>
    <row r="104" spans="2:25" x14ac:dyDescent="0.2">
      <c r="B104" s="24" t="s">
        <v>107</v>
      </c>
      <c r="C104" s="91"/>
      <c r="D104" s="91"/>
      <c r="E104" s="35">
        <f>IF('Criteria results'!$F$5=4,E115,E120)</f>
        <v>0</v>
      </c>
      <c r="F104" s="35">
        <f>IF('Criteria results'!$F$5=4,F115,F120)</f>
        <v>0</v>
      </c>
      <c r="G104" s="35">
        <f>IF('Criteria results'!$F$5=4,G115,G120)</f>
        <v>0</v>
      </c>
      <c r="H104" s="35">
        <f>IF('Criteria results'!$F$5=4,H115,H120)</f>
        <v>0</v>
      </c>
      <c r="I104" s="35">
        <f>IF('Criteria results'!$F$5=4,I115,I120)</f>
        <v>0</v>
      </c>
      <c r="J104" s="35">
        <f>IF('Criteria results'!$F$5=4,J115,J120)</f>
        <v>0</v>
      </c>
      <c r="K104" s="35">
        <f>IF('Criteria results'!$F$5=4,K115,K120)</f>
        <v>0</v>
      </c>
      <c r="L104" s="35">
        <f>IF('Criteria results'!$F$5=4,L115,L120)</f>
        <v>0</v>
      </c>
      <c r="M104" s="35">
        <f>IF('Criteria results'!$F$5=4,M115,M120)</f>
        <v>0</v>
      </c>
      <c r="N104" s="35">
        <f>IF('Criteria results'!$F$5=4,N115,N120)</f>
        <v>0</v>
      </c>
      <c r="O104" s="35">
        <f>IF('Criteria results'!$F$5=4,O115,O120)</f>
        <v>0</v>
      </c>
      <c r="P104" s="35">
        <f>IF('Criteria results'!$F$5=4,P115,P120)</f>
        <v>0</v>
      </c>
      <c r="Q104" s="35">
        <f>IF('Criteria results'!$F$5=4,Q115,Q120)</f>
        <v>0</v>
      </c>
      <c r="R104" s="35">
        <f>IF('Criteria results'!$F$5=4,R115,R120)</f>
        <v>0</v>
      </c>
      <c r="S104" s="35">
        <f>IF('Criteria results'!$F$5=4,S115,S120)</f>
        <v>0</v>
      </c>
      <c r="T104" s="35">
        <f>IF('Criteria results'!$F$5=4,T115,T120)</f>
        <v>0</v>
      </c>
      <c r="U104" s="35">
        <f>IF('Criteria results'!$F$5=4,U115,U120)</f>
        <v>0</v>
      </c>
      <c r="V104" s="35">
        <f>IF('Criteria results'!$F$5=4,V115,V120)</f>
        <v>0</v>
      </c>
      <c r="W104" s="35">
        <f>IF('Criteria results'!$F$5=4,W115,W120)</f>
        <v>0</v>
      </c>
    </row>
    <row r="105" spans="2:25" x14ac:dyDescent="0.2">
      <c r="C105" s="27"/>
      <c r="D105" s="27"/>
      <c r="E105" s="27"/>
      <c r="F105" s="27"/>
      <c r="G105" s="23"/>
      <c r="H105" s="23"/>
      <c r="I105" s="23"/>
      <c r="J105" s="23"/>
      <c r="K105" s="23"/>
      <c r="L105" s="23"/>
      <c r="M105" s="23"/>
      <c r="N105" s="23"/>
      <c r="O105" s="23"/>
      <c r="P105" s="23"/>
      <c r="Q105" s="23"/>
      <c r="R105" s="23"/>
      <c r="S105" s="23"/>
      <c r="T105" s="23"/>
      <c r="U105" s="23"/>
      <c r="V105" s="23"/>
      <c r="W105" s="23"/>
    </row>
    <row r="106" spans="2:25" x14ac:dyDescent="0.2">
      <c r="B106" s="90" t="s">
        <v>134</v>
      </c>
      <c r="C106" s="92">
        <f t="shared" ref="C106:W106" si="41">((1+C101/100)/((1+C24/100)*(1+C42/100))-1)*100</f>
        <v>-12.245307400573802</v>
      </c>
      <c r="D106" s="92">
        <f t="shared" si="41"/>
        <v>-13.05543232655879</v>
      </c>
      <c r="E106" s="92">
        <f t="shared" si="41"/>
        <v>1.8855084301715008</v>
      </c>
      <c r="F106" s="92">
        <f t="shared" si="41"/>
        <v>-2.1266613444980154</v>
      </c>
      <c r="G106" s="92">
        <f t="shared" si="41"/>
        <v>-3.5011632013121075</v>
      </c>
      <c r="H106" s="92">
        <f t="shared" si="41"/>
        <v>-3.7979178008702874</v>
      </c>
      <c r="I106" s="92">
        <f t="shared" si="41"/>
        <v>-3.8763297026594867</v>
      </c>
      <c r="J106" s="92">
        <f t="shared" si="41"/>
        <v>-3.7151976497935335</v>
      </c>
      <c r="K106" s="92">
        <f t="shared" si="41"/>
        <v>-3.3779510428381676</v>
      </c>
      <c r="L106" s="92">
        <f t="shared" si="41"/>
        <v>-3.2158299883105257</v>
      </c>
      <c r="M106" s="92">
        <f t="shared" si="41"/>
        <v>-3.0329699299292745</v>
      </c>
      <c r="N106" s="92">
        <f t="shared" si="41"/>
        <v>-2.7946148675187521</v>
      </c>
      <c r="O106" s="92">
        <f t="shared" si="41"/>
        <v>-2.5191485539123093</v>
      </c>
      <c r="P106" s="92">
        <f t="shared" si="41"/>
        <v>-2.4183860927139977</v>
      </c>
      <c r="Q106" s="92">
        <f t="shared" si="41"/>
        <v>-2.3318996303277939</v>
      </c>
      <c r="R106" s="92">
        <f t="shared" si="41"/>
        <v>-2.2452814830041912</v>
      </c>
      <c r="S106" s="92">
        <f t="shared" si="41"/>
        <v>-2.2177687675521307</v>
      </c>
      <c r="T106" s="92">
        <f t="shared" si="41"/>
        <v>-2.1543065411749662</v>
      </c>
      <c r="U106" s="92">
        <f t="shared" si="41"/>
        <v>-2.0797951349250665</v>
      </c>
      <c r="V106" s="92">
        <f t="shared" si="41"/>
        <v>-1.9897510884146707</v>
      </c>
      <c r="W106" s="92">
        <f t="shared" si="41"/>
        <v>-1.8696889768963665</v>
      </c>
    </row>
    <row r="107" spans="2:25" x14ac:dyDescent="0.2">
      <c r="F107" s="23"/>
      <c r="G107" s="23"/>
      <c r="H107" s="23"/>
      <c r="I107" s="23"/>
      <c r="J107" s="23"/>
      <c r="K107" s="23"/>
      <c r="L107" s="23"/>
      <c r="M107" s="23"/>
      <c r="N107" s="23"/>
      <c r="O107" s="23"/>
      <c r="P107" s="23"/>
      <c r="Q107" s="23"/>
      <c r="R107" s="23"/>
      <c r="S107" s="23"/>
      <c r="T107" s="23"/>
      <c r="U107" s="23"/>
      <c r="V107" s="23"/>
      <c r="W107" s="23"/>
    </row>
    <row r="108" spans="2:25" x14ac:dyDescent="0.2">
      <c r="F108" s="23"/>
      <c r="G108" s="23"/>
      <c r="H108" s="173"/>
      <c r="I108" s="173"/>
      <c r="J108" s="173"/>
      <c r="K108" s="173"/>
      <c r="L108" s="173"/>
      <c r="M108" s="173"/>
      <c r="N108" s="173"/>
      <c r="O108" s="173"/>
      <c r="P108" s="173"/>
      <c r="Q108" s="173"/>
      <c r="R108" s="173"/>
      <c r="S108" s="173"/>
      <c r="T108" s="173"/>
      <c r="U108" s="23"/>
      <c r="V108" s="23"/>
      <c r="W108" s="23"/>
    </row>
    <row r="109" spans="2:25" x14ac:dyDescent="0.2">
      <c r="T109" s="47"/>
      <c r="U109" s="47"/>
      <c r="V109" s="47"/>
      <c r="W109" s="47"/>
      <c r="X109" s="47"/>
      <c r="Y109" s="47"/>
    </row>
    <row r="110" spans="2:25" s="14" customFormat="1" ht="12.75" outlineLevel="1" x14ac:dyDescent="0.2">
      <c r="B110" s="14" t="s">
        <v>108</v>
      </c>
      <c r="C110" s="89"/>
      <c r="D110" s="89"/>
      <c r="E110" s="89"/>
      <c r="F110" s="89"/>
      <c r="G110" s="89"/>
      <c r="H110" s="89"/>
      <c r="I110" s="89"/>
      <c r="J110" s="89"/>
      <c r="K110" s="89"/>
      <c r="L110" s="89"/>
      <c r="M110" s="89"/>
      <c r="N110" s="89"/>
      <c r="O110" s="89"/>
      <c r="P110" s="89"/>
      <c r="Q110" s="89"/>
      <c r="R110" s="89"/>
      <c r="S110" s="89"/>
      <c r="T110" s="89"/>
      <c r="U110" s="89"/>
      <c r="V110" s="89"/>
      <c r="W110" s="89"/>
    </row>
    <row r="111" spans="2:25" s="80" customFormat="1" ht="12.75" outlineLevel="1" x14ac:dyDescent="0.2">
      <c r="C111" s="99"/>
      <c r="D111" s="99"/>
      <c r="E111" s="99"/>
      <c r="F111" s="99"/>
      <c r="G111" s="99"/>
      <c r="H111" s="99"/>
      <c r="I111" s="99"/>
      <c r="J111" s="99"/>
      <c r="K111" s="99"/>
      <c r="L111" s="99"/>
      <c r="M111" s="99"/>
      <c r="N111" s="99"/>
      <c r="O111" s="99"/>
      <c r="P111" s="99"/>
      <c r="Q111" s="99"/>
      <c r="R111" s="99"/>
      <c r="S111" s="99"/>
      <c r="T111" s="99"/>
      <c r="U111" s="99"/>
      <c r="V111" s="99"/>
      <c r="W111" s="99"/>
    </row>
    <row r="112" spans="2:25" s="80" customFormat="1" ht="12.75" outlineLevel="1" x14ac:dyDescent="0.2">
      <c r="B112" s="84" t="s">
        <v>207</v>
      </c>
      <c r="C112" s="100"/>
      <c r="D112" s="100"/>
      <c r="E112" s="100"/>
      <c r="F112" s="100"/>
      <c r="G112" s="100"/>
      <c r="H112" s="26"/>
      <c r="I112" s="26"/>
      <c r="J112" s="26"/>
      <c r="K112" s="26"/>
      <c r="L112" s="26"/>
      <c r="M112" s="26"/>
      <c r="N112" s="26"/>
      <c r="O112" s="26"/>
      <c r="P112" s="26"/>
      <c r="Q112" s="26"/>
      <c r="R112" s="26"/>
      <c r="S112" s="26"/>
      <c r="T112" s="26"/>
      <c r="U112" s="100"/>
      <c r="V112" s="100"/>
      <c r="W112" s="100"/>
    </row>
    <row r="113" spans="1:51" outlineLevel="1" x14ac:dyDescent="0.2">
      <c r="B113" s="97" t="s">
        <v>21</v>
      </c>
      <c r="C113" s="23">
        <v>54.398468017578125</v>
      </c>
      <c r="D113" s="23">
        <v>44.391777038574219</v>
      </c>
      <c r="E113" s="23">
        <v>43.730442047119141</v>
      </c>
      <c r="F113" s="23">
        <v>42.488838195800781</v>
      </c>
      <c r="G113" s="23">
        <v>41.462902069091797</v>
      </c>
      <c r="H113" s="23">
        <v>38.661674499511719</v>
      </c>
      <c r="I113" s="23">
        <v>36.633693695068359</v>
      </c>
      <c r="J113" s="23">
        <v>35.368381500244141</v>
      </c>
      <c r="K113" s="23">
        <v>34.73272705078125</v>
      </c>
      <c r="L113" s="23">
        <v>34.50421142578125</v>
      </c>
      <c r="M113" s="23">
        <v>34.700706481933594</v>
      </c>
      <c r="N113" s="23">
        <v>35.077140808105469</v>
      </c>
      <c r="O113" s="23">
        <v>35.663364410400391</v>
      </c>
      <c r="P113" s="23">
        <v>36.440841674804688</v>
      </c>
      <c r="Q113" s="23">
        <v>37.388652801513672</v>
      </c>
      <c r="R113" s="23">
        <v>38.520004272460938</v>
      </c>
      <c r="S113" s="23">
        <v>39.824409484863281</v>
      </c>
      <c r="T113" s="23">
        <v>41.228771209716797</v>
      </c>
      <c r="U113" s="23">
        <v>42.789691925048828</v>
      </c>
      <c r="V113" s="23">
        <v>44.52264404296875</v>
      </c>
      <c r="W113" s="23">
        <v>46.452255249023438</v>
      </c>
      <c r="X113" s="93"/>
      <c r="Y113" s="47"/>
    </row>
    <row r="114" spans="1:51" x14ac:dyDescent="0.2">
      <c r="B114" s="15" t="s">
        <v>104</v>
      </c>
      <c r="C114" s="1">
        <v>1.5101732015609741</v>
      </c>
      <c r="D114" s="1">
        <v>1.4088376760482788</v>
      </c>
      <c r="E114" s="1">
        <v>1.5508942604064941</v>
      </c>
      <c r="F114" s="1">
        <v>1.6415262222290039</v>
      </c>
      <c r="G114" s="1">
        <v>1.6843856573104858</v>
      </c>
      <c r="H114" s="1">
        <v>1.8105930089950562</v>
      </c>
      <c r="I114" s="1">
        <v>1.8917614221572876</v>
      </c>
      <c r="J114" s="1">
        <v>1.9761520624160767</v>
      </c>
      <c r="K114" s="1">
        <v>2.091526985168457</v>
      </c>
      <c r="L114" s="1">
        <v>2.2211408615112305</v>
      </c>
      <c r="M114" s="1">
        <v>2.3515160083770752</v>
      </c>
      <c r="N114" s="1">
        <v>2.5077390670776367</v>
      </c>
      <c r="O114" s="1">
        <v>2.6643815040588379</v>
      </c>
      <c r="P114" s="1">
        <v>2.8055639266967773</v>
      </c>
      <c r="Q114" s="1">
        <v>2.9088902473449707</v>
      </c>
      <c r="R114" s="1">
        <v>3.0041041374206543</v>
      </c>
      <c r="S114" s="1">
        <v>3.0832278728485107</v>
      </c>
      <c r="T114" s="1">
        <v>3.1544198989868164</v>
      </c>
      <c r="U114" s="1">
        <v>3.217409610748291</v>
      </c>
      <c r="V114" s="1">
        <v>3.2736189365386963</v>
      </c>
      <c r="W114" s="1">
        <v>3.3237969875335693</v>
      </c>
      <c r="X114" s="9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5"/>
    </row>
    <row r="115" spans="1:51" x14ac:dyDescent="0.2">
      <c r="B115" s="15" t="s">
        <v>133</v>
      </c>
      <c r="C115" s="1"/>
      <c r="D115" s="1"/>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9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5"/>
    </row>
    <row r="116" spans="1:51" x14ac:dyDescent="0.2">
      <c r="C116" s="1"/>
      <c r="D116" s="1"/>
      <c r="E116" s="77"/>
      <c r="F116" s="77"/>
      <c r="G116" s="77"/>
      <c r="H116" s="77"/>
      <c r="I116" s="77"/>
      <c r="J116" s="77"/>
      <c r="K116" s="77"/>
      <c r="L116" s="77"/>
      <c r="M116" s="77"/>
      <c r="N116" s="77"/>
      <c r="O116" s="77"/>
      <c r="P116" s="77"/>
      <c r="Q116" s="77"/>
      <c r="R116" s="77"/>
      <c r="S116" s="77"/>
      <c r="T116" s="77"/>
      <c r="U116" s="81"/>
      <c r="V116" s="81"/>
      <c r="W116" s="81"/>
      <c r="X116" s="9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5"/>
    </row>
    <row r="117" spans="1:51" x14ac:dyDescent="0.2">
      <c r="B117" s="84" t="s">
        <v>208</v>
      </c>
      <c r="C117" s="26"/>
      <c r="D117" s="26"/>
      <c r="E117" s="26"/>
      <c r="F117" s="26"/>
      <c r="G117" s="26"/>
      <c r="H117" s="26"/>
      <c r="I117" s="26"/>
      <c r="J117" s="26"/>
      <c r="K117" s="26"/>
      <c r="L117" s="26"/>
      <c r="M117" s="26"/>
      <c r="N117" s="26"/>
      <c r="O117" s="26"/>
      <c r="P117" s="26"/>
      <c r="Q117" s="26"/>
      <c r="R117" s="26"/>
      <c r="S117" s="26"/>
      <c r="T117" s="26"/>
      <c r="U117" s="26"/>
      <c r="V117" s="101"/>
      <c r="W117" s="101"/>
      <c r="X117" s="9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5"/>
    </row>
    <row r="118" spans="1:51" outlineLevel="1" x14ac:dyDescent="0.2">
      <c r="B118" s="97" t="s">
        <v>21</v>
      </c>
      <c r="C118" s="23">
        <v>54.398468017578125</v>
      </c>
      <c r="D118" s="23">
        <v>44.391777038574219</v>
      </c>
      <c r="E118" s="23">
        <v>43.730442047119141</v>
      </c>
      <c r="F118" s="23">
        <v>42.488838195800781</v>
      </c>
      <c r="G118" s="23">
        <v>41.343952178955078</v>
      </c>
      <c r="H118" s="23">
        <v>38.119838714599609</v>
      </c>
      <c r="I118" s="23">
        <v>35.356796264648438</v>
      </c>
      <c r="J118" s="23">
        <v>33.042495727539063</v>
      </c>
      <c r="K118" s="23">
        <v>31.249710083007813</v>
      </c>
      <c r="L118" s="23">
        <v>29.989299774169922</v>
      </c>
      <c r="M118" s="23">
        <v>29.264045715332031</v>
      </c>
      <c r="N118" s="23">
        <v>29.087009429931641</v>
      </c>
      <c r="O118" s="23">
        <v>29.25160026550293</v>
      </c>
      <c r="P118" s="23">
        <v>29.747686386108398</v>
      </c>
      <c r="Q118" s="23">
        <v>30.330738067626953</v>
      </c>
      <c r="R118" s="23">
        <v>31.093307495117188</v>
      </c>
      <c r="S118" s="23">
        <v>32.028804779052734</v>
      </c>
      <c r="T118" s="23">
        <v>33.061050415039063</v>
      </c>
      <c r="U118" s="23">
        <v>34.245243072509766</v>
      </c>
      <c r="V118" s="23">
        <v>35.594924926757813</v>
      </c>
      <c r="W118" s="23">
        <v>37.131298065185547</v>
      </c>
      <c r="X118" s="93"/>
      <c r="Y118" s="47"/>
    </row>
    <row r="119" spans="1:51" x14ac:dyDescent="0.2">
      <c r="B119" s="15" t="s">
        <v>104</v>
      </c>
      <c r="C119" s="1">
        <v>1.5101732015609741</v>
      </c>
      <c r="D119" s="1">
        <v>1.4088376760482788</v>
      </c>
      <c r="E119" s="1">
        <v>1.5508942604064941</v>
      </c>
      <c r="F119" s="1">
        <v>1.6415262222290039</v>
      </c>
      <c r="G119" s="1">
        <v>1.6843856573104858</v>
      </c>
      <c r="H119" s="1">
        <v>1.8041999340057373</v>
      </c>
      <c r="I119" s="1">
        <v>1.8723177909851074</v>
      </c>
      <c r="J119" s="1">
        <v>1.9348418712615967</v>
      </c>
      <c r="K119" s="1">
        <v>2.0175151824951172</v>
      </c>
      <c r="L119" s="1">
        <v>2.118664026260376</v>
      </c>
      <c r="M119" s="1">
        <v>2.2278070449829102</v>
      </c>
      <c r="N119" s="1">
        <v>2.3753383159637451</v>
      </c>
      <c r="O119" s="1">
        <v>2.5342137813568115</v>
      </c>
      <c r="P119" s="1">
        <v>2.6870343685150146</v>
      </c>
      <c r="Q119" s="1">
        <v>2.803194522857666</v>
      </c>
      <c r="R119" s="1">
        <v>2.9117846488952637</v>
      </c>
      <c r="S119" s="1">
        <v>3.0027976036071777</v>
      </c>
      <c r="T119" s="1">
        <v>3.0854625701904297</v>
      </c>
      <c r="U119" s="1">
        <v>3.1588611602783203</v>
      </c>
      <c r="V119" s="1">
        <v>3.2245833873748779</v>
      </c>
      <c r="W119" s="1">
        <v>3.2833311557769775</v>
      </c>
      <c r="X119" s="9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5"/>
    </row>
    <row r="120" spans="1:51" x14ac:dyDescent="0.2">
      <c r="B120" s="15" t="s">
        <v>133</v>
      </c>
      <c r="C120" s="1"/>
      <c r="D120" s="1"/>
      <c r="E120" s="1"/>
      <c r="F120" s="1"/>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9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5"/>
    </row>
    <row r="121" spans="1:51" x14ac:dyDescent="0.2">
      <c r="T121" s="47"/>
      <c r="U121" s="93"/>
      <c r="V121" s="93"/>
      <c r="W121" s="93"/>
      <c r="X121" s="93"/>
      <c r="Y121" s="47"/>
    </row>
    <row r="122" spans="1:51" x14ac:dyDescent="0.2">
      <c r="H122" s="98"/>
      <c r="I122" s="98"/>
      <c r="J122" s="98"/>
      <c r="K122" s="98"/>
      <c r="L122" s="98"/>
      <c r="M122" s="98"/>
      <c r="N122" s="98"/>
      <c r="O122" s="98"/>
      <c r="P122" s="98"/>
      <c r="Q122" s="98"/>
      <c r="R122" s="98"/>
      <c r="S122" s="98"/>
      <c r="T122" s="98"/>
      <c r="U122" s="98"/>
      <c r="V122" s="98"/>
      <c r="W122" s="98"/>
    </row>
    <row r="123" spans="1:51" x14ac:dyDescent="0.2">
      <c r="E123" s="23"/>
      <c r="F123" s="23"/>
      <c r="G123" s="98"/>
      <c r="H123" s="98"/>
      <c r="I123" s="98"/>
      <c r="J123" s="98"/>
      <c r="K123" s="98"/>
      <c r="L123" s="98"/>
      <c r="M123" s="98"/>
      <c r="N123" s="98"/>
      <c r="O123" s="98"/>
      <c r="P123" s="98"/>
      <c r="Q123" s="98"/>
      <c r="R123" s="98"/>
      <c r="S123" s="98"/>
      <c r="T123" s="98"/>
      <c r="U123" s="98"/>
      <c r="V123" s="98"/>
      <c r="W123" s="98"/>
    </row>
    <row r="124" spans="1:51" x14ac:dyDescent="0.2">
      <c r="A124" s="45"/>
      <c r="C124" s="23"/>
      <c r="D124" s="23"/>
      <c r="E124" s="23"/>
      <c r="F124" s="23"/>
      <c r="G124" s="23"/>
      <c r="H124" s="23"/>
      <c r="I124" s="23"/>
      <c r="J124" s="23"/>
      <c r="K124" s="23"/>
      <c r="L124" s="23"/>
      <c r="M124" s="23"/>
      <c r="N124" s="23"/>
      <c r="O124" s="23"/>
      <c r="P124" s="23"/>
      <c r="Q124" s="23"/>
      <c r="R124" s="23"/>
      <c r="S124" s="23"/>
      <c r="T124" s="23"/>
      <c r="U124" s="23"/>
      <c r="V124" s="23"/>
      <c r="W124" s="23"/>
    </row>
    <row r="125" spans="1:51" x14ac:dyDescent="0.2">
      <c r="C125" s="46"/>
      <c r="D125" s="46"/>
      <c r="E125" s="46"/>
      <c r="F125" s="46"/>
      <c r="G125" s="46"/>
      <c r="H125" s="46"/>
      <c r="I125" s="46"/>
      <c r="J125" s="46"/>
      <c r="K125" s="46"/>
      <c r="L125" s="46"/>
      <c r="M125" s="46"/>
      <c r="N125" s="46"/>
      <c r="O125" s="46"/>
      <c r="P125" s="46"/>
      <c r="Q125" s="46"/>
      <c r="R125" s="46"/>
      <c r="S125" s="46"/>
      <c r="T125" s="46"/>
      <c r="U125" s="46"/>
      <c r="V125" s="46"/>
      <c r="W125" s="46"/>
      <c r="X125" s="46"/>
    </row>
    <row r="127" spans="1:51" x14ac:dyDescent="0.2">
      <c r="E127" s="23"/>
      <c r="F127" s="23"/>
      <c r="G127" s="98"/>
      <c r="H127" s="98"/>
      <c r="I127" s="98"/>
      <c r="J127" s="98"/>
      <c r="K127" s="98"/>
      <c r="L127" s="98"/>
      <c r="M127" s="98"/>
      <c r="N127" s="98"/>
      <c r="O127" s="98"/>
      <c r="P127" s="98"/>
      <c r="Q127" s="98"/>
      <c r="R127" s="98"/>
      <c r="S127" s="98"/>
      <c r="T127" s="98"/>
      <c r="U127" s="98"/>
      <c r="V127" s="98"/>
      <c r="W127" s="98"/>
    </row>
    <row r="128" spans="1:51" x14ac:dyDescent="0.2">
      <c r="E128" s="23"/>
      <c r="F128" s="23"/>
      <c r="G128" s="98"/>
      <c r="H128" s="98"/>
      <c r="I128" s="98"/>
      <c r="J128" s="98"/>
      <c r="K128" s="98"/>
      <c r="L128" s="98"/>
      <c r="M128" s="98"/>
      <c r="N128" s="98"/>
      <c r="O128" s="98"/>
      <c r="P128" s="98"/>
      <c r="Q128" s="98"/>
      <c r="R128" s="98"/>
      <c r="S128" s="98"/>
      <c r="T128" s="98"/>
      <c r="U128" s="98"/>
      <c r="V128" s="98"/>
      <c r="W128" s="98"/>
      <c r="X128" s="38"/>
    </row>
    <row r="129" spans="5:24" x14ac:dyDescent="0.2">
      <c r="G129" s="38"/>
      <c r="H129" s="38"/>
      <c r="I129" s="38"/>
      <c r="J129" s="38"/>
      <c r="K129" s="38"/>
      <c r="L129" s="38"/>
      <c r="M129" s="38"/>
      <c r="N129" s="38"/>
      <c r="O129" s="38"/>
      <c r="P129" s="38"/>
      <c r="Q129" s="38"/>
      <c r="R129" s="38"/>
      <c r="S129" s="38"/>
      <c r="T129" s="38"/>
      <c r="U129" s="38"/>
      <c r="V129" s="38"/>
      <c r="W129" s="38"/>
      <c r="X129" s="38"/>
    </row>
    <row r="130" spans="5:24" x14ac:dyDescent="0.2">
      <c r="E130" s="23"/>
      <c r="F130" s="23"/>
      <c r="G130" s="98"/>
      <c r="H130" s="98"/>
      <c r="I130" s="98"/>
      <c r="J130" s="98"/>
      <c r="K130" s="98"/>
      <c r="L130" s="98"/>
      <c r="M130" s="98"/>
      <c r="N130" s="98"/>
      <c r="O130" s="98"/>
      <c r="P130" s="98"/>
      <c r="Q130" s="98"/>
      <c r="R130" s="98"/>
      <c r="S130" s="98"/>
      <c r="T130" s="98"/>
      <c r="U130" s="98"/>
      <c r="V130" s="98"/>
      <c r="W130" s="98"/>
      <c r="X130" s="38"/>
    </row>
    <row r="131" spans="5:24" x14ac:dyDescent="0.2">
      <c r="E131" s="23"/>
      <c r="F131" s="23"/>
      <c r="G131" s="98"/>
      <c r="H131" s="98"/>
      <c r="I131" s="98"/>
      <c r="J131" s="98"/>
      <c r="K131" s="98"/>
      <c r="L131" s="98"/>
      <c r="M131" s="98"/>
      <c r="N131" s="98"/>
      <c r="O131" s="98"/>
      <c r="P131" s="98"/>
      <c r="Q131" s="98"/>
      <c r="R131" s="98"/>
      <c r="S131" s="98"/>
      <c r="T131" s="98"/>
      <c r="U131" s="98"/>
      <c r="V131" s="98"/>
      <c r="W131" s="98"/>
      <c r="X131" s="38"/>
    </row>
    <row r="132" spans="5:24" x14ac:dyDescent="0.2">
      <c r="G132" s="38"/>
      <c r="H132" s="38"/>
      <c r="I132" s="38"/>
      <c r="J132" s="38"/>
      <c r="K132" s="38"/>
      <c r="L132" s="38"/>
      <c r="M132" s="38"/>
      <c r="N132" s="38"/>
      <c r="O132" s="38"/>
      <c r="P132" s="38"/>
      <c r="Q132" s="38"/>
      <c r="R132" s="38"/>
      <c r="S132" s="38"/>
      <c r="T132" s="38"/>
      <c r="U132" s="38"/>
      <c r="V132" s="38"/>
      <c r="W132" s="38"/>
      <c r="X132" s="38"/>
    </row>
    <row r="133" spans="5:24" x14ac:dyDescent="0.2">
      <c r="E133" s="23"/>
      <c r="F133" s="23"/>
      <c r="G133" s="98"/>
      <c r="H133" s="98"/>
      <c r="I133" s="98"/>
      <c r="J133" s="98"/>
      <c r="K133" s="98"/>
      <c r="L133" s="98"/>
      <c r="M133" s="98"/>
      <c r="N133" s="98"/>
      <c r="O133" s="98"/>
      <c r="P133" s="98"/>
      <c r="Q133" s="98"/>
      <c r="R133" s="98"/>
      <c r="S133" s="98"/>
      <c r="T133" s="98"/>
      <c r="U133" s="98"/>
      <c r="V133" s="98"/>
      <c r="W133" s="98"/>
      <c r="X133" s="98"/>
    </row>
    <row r="134" spans="5:24" x14ac:dyDescent="0.2">
      <c r="E134" s="23"/>
      <c r="F134" s="23"/>
      <c r="G134" s="98"/>
      <c r="H134" s="98"/>
      <c r="I134" s="98"/>
      <c r="J134" s="98"/>
      <c r="K134" s="98"/>
      <c r="L134" s="98"/>
      <c r="M134" s="98"/>
      <c r="N134" s="98"/>
      <c r="O134" s="98"/>
      <c r="P134" s="98"/>
      <c r="Q134" s="98"/>
      <c r="R134" s="98"/>
      <c r="S134" s="98"/>
      <c r="T134" s="98"/>
      <c r="U134" s="98"/>
      <c r="V134" s="98"/>
      <c r="W134" s="98"/>
      <c r="X134" s="98"/>
    </row>
    <row r="135" spans="5:24" x14ac:dyDescent="0.2">
      <c r="G135" s="98"/>
      <c r="H135" s="98"/>
      <c r="I135" s="98"/>
      <c r="J135" s="98"/>
      <c r="K135" s="98"/>
      <c r="L135" s="98"/>
      <c r="M135" s="98"/>
      <c r="N135" s="98"/>
      <c r="O135" s="98"/>
      <c r="P135" s="98"/>
      <c r="Q135" s="98"/>
      <c r="R135" s="98"/>
      <c r="S135" s="98"/>
      <c r="T135" s="98"/>
      <c r="U135" s="98"/>
      <c r="V135" s="98"/>
      <c r="W135" s="98"/>
      <c r="X135" s="98"/>
    </row>
    <row r="136" spans="5:24" x14ac:dyDescent="0.2">
      <c r="E136" s="23"/>
      <c r="F136" s="23"/>
      <c r="G136" s="98"/>
      <c r="H136" s="98"/>
      <c r="I136" s="98"/>
      <c r="J136" s="98"/>
      <c r="K136" s="98"/>
      <c r="L136" s="98"/>
      <c r="M136" s="98"/>
      <c r="N136" s="98"/>
      <c r="O136" s="98"/>
      <c r="P136" s="98"/>
      <c r="Q136" s="98"/>
      <c r="R136" s="98"/>
      <c r="S136" s="98"/>
      <c r="T136" s="98"/>
      <c r="U136" s="98"/>
      <c r="V136" s="98"/>
      <c r="W136" s="98"/>
      <c r="X136" s="98"/>
    </row>
    <row r="137" spans="5:24" x14ac:dyDescent="0.2">
      <c r="E137" s="23"/>
      <c r="F137" s="23"/>
      <c r="G137" s="98"/>
      <c r="H137" s="98"/>
      <c r="I137" s="98"/>
      <c r="J137" s="98"/>
      <c r="K137" s="98"/>
      <c r="L137" s="98"/>
      <c r="M137" s="98"/>
      <c r="N137" s="98"/>
      <c r="O137" s="98"/>
      <c r="P137" s="98"/>
      <c r="Q137" s="98"/>
      <c r="R137" s="98"/>
      <c r="S137" s="98"/>
      <c r="T137" s="98"/>
      <c r="U137" s="98"/>
      <c r="V137" s="98"/>
      <c r="W137" s="98"/>
      <c r="X137" s="98"/>
    </row>
    <row r="138" spans="5:24" x14ac:dyDescent="0.2">
      <c r="G138" s="98"/>
      <c r="H138" s="98"/>
      <c r="I138" s="98"/>
      <c r="J138" s="98"/>
      <c r="K138" s="98"/>
      <c r="L138" s="98"/>
      <c r="M138" s="98"/>
      <c r="N138" s="98"/>
      <c r="O138" s="98"/>
      <c r="P138" s="98"/>
      <c r="Q138" s="98"/>
      <c r="R138" s="98"/>
      <c r="S138" s="98"/>
      <c r="T138" s="98"/>
      <c r="U138" s="98"/>
      <c r="V138" s="98"/>
      <c r="W138" s="98"/>
      <c r="X138" s="98"/>
    </row>
    <row r="139" spans="5:24" x14ac:dyDescent="0.2">
      <c r="G139" s="98"/>
      <c r="H139" s="98"/>
      <c r="I139" s="98"/>
      <c r="J139" s="98"/>
      <c r="K139" s="98"/>
      <c r="L139" s="98"/>
      <c r="M139" s="98"/>
      <c r="N139" s="98"/>
      <c r="O139" s="98"/>
      <c r="P139" s="98"/>
      <c r="Q139" s="98"/>
      <c r="R139" s="98"/>
      <c r="S139" s="98"/>
      <c r="T139" s="98"/>
      <c r="U139" s="98"/>
      <c r="V139" s="98"/>
      <c r="W139" s="98"/>
      <c r="X139" s="98"/>
    </row>
  </sheetData>
  <conditionalFormatting sqref="G12:M12">
    <cfRule type="expression" dxfId="4" priority="6">
      <formula>AND(G10&gt;$C$5,G10&lt;=$C$6)</formula>
    </cfRule>
  </conditionalFormatting>
  <conditionalFormatting sqref="U10:W44 U46:W53 U86:W109 U111:W123 U126:W150 U55:W78 U80:W84">
    <cfRule type="expression" dxfId="3" priority="2">
      <formula>U$10&gt;$C$7</formula>
    </cfRule>
  </conditionalFormatting>
  <conditionalFormatting sqref="U79:W79">
    <cfRule type="expression" dxfId="2" priority="1">
      <formula>U$10&gt;$C$7</formula>
    </cfRule>
  </conditionalFormatting>
  <pageMargins left="0.7" right="0.7" top="0.75" bottom="0.75" header="0.3" footer="0.3"/>
  <pageSetup paperSize="9" orientation="portrait" r:id="rId1"/>
  <ignoredErrors>
    <ignoredError sqref="C47:C48 C5"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D891-C40B-4DD5-A43C-645C26D0DC6D}">
  <sheetPr codeName="Sheet22">
    <tabColor rgb="FF7030A0"/>
  </sheetPr>
  <dimension ref="A1:Y63"/>
  <sheetViews>
    <sheetView zoomScale="90" zoomScaleNormal="90" workbookViewId="0"/>
  </sheetViews>
  <sheetFormatPr defaultRowHeight="12.75" x14ac:dyDescent="0.2"/>
  <cols>
    <col min="1" max="1" width="9.140625" style="265"/>
    <col min="2" max="2" width="4.5703125" style="265" customWidth="1"/>
    <col min="3" max="3" width="67" style="265" customWidth="1"/>
    <col min="4" max="4" width="16.5703125" style="265" customWidth="1"/>
    <col min="5" max="5" width="13.7109375" style="265" customWidth="1"/>
    <col min="6" max="24" width="10.7109375" style="265" customWidth="1"/>
    <col min="25" max="16384" width="9.140625" style="265"/>
  </cols>
  <sheetData>
    <row r="1" spans="1:25" x14ac:dyDescent="0.2">
      <c r="A1" s="185"/>
      <c r="B1" s="185"/>
      <c r="C1" s="185"/>
      <c r="D1" s="185"/>
      <c r="E1" s="185"/>
      <c r="F1" s="185"/>
      <c r="G1" s="185"/>
      <c r="H1" s="185"/>
      <c r="I1" s="185"/>
      <c r="J1" s="185"/>
      <c r="K1" s="185"/>
      <c r="L1" s="185"/>
      <c r="M1" s="185"/>
      <c r="N1" s="185"/>
      <c r="O1" s="185"/>
      <c r="P1" s="185"/>
      <c r="Q1" s="185"/>
      <c r="R1" s="185"/>
      <c r="S1" s="185"/>
      <c r="T1" s="185"/>
      <c r="U1" s="185"/>
      <c r="V1" s="185"/>
      <c r="W1" s="185"/>
      <c r="X1" s="185"/>
      <c r="Y1" s="185"/>
    </row>
    <row r="2" spans="1:25" x14ac:dyDescent="0.2">
      <c r="A2" s="185"/>
      <c r="B2" s="270"/>
      <c r="C2" s="271" t="s">
        <v>147</v>
      </c>
      <c r="D2" s="272"/>
      <c r="E2" s="272"/>
      <c r="F2" s="272"/>
      <c r="G2" s="288"/>
      <c r="H2" s="288"/>
      <c r="I2" s="288"/>
      <c r="J2" s="288"/>
      <c r="K2" s="185"/>
      <c r="L2" s="185"/>
      <c r="M2" s="185"/>
      <c r="N2" s="185"/>
      <c r="O2" s="185"/>
      <c r="P2" s="185"/>
      <c r="Q2" s="185"/>
      <c r="R2" s="185"/>
      <c r="S2" s="185"/>
      <c r="T2" s="185"/>
      <c r="U2" s="185"/>
      <c r="V2" s="185"/>
      <c r="W2" s="185"/>
      <c r="X2" s="185"/>
      <c r="Y2" s="185"/>
    </row>
    <row r="3" spans="1:25" x14ac:dyDescent="0.2">
      <c r="A3" s="185"/>
      <c r="B3" s="267"/>
      <c r="C3" s="288"/>
      <c r="D3" s="288"/>
      <c r="E3" s="288"/>
      <c r="F3" s="288"/>
      <c r="G3" s="288"/>
      <c r="H3" s="288"/>
      <c r="I3" s="288"/>
      <c r="J3" s="288"/>
      <c r="K3" s="185"/>
      <c r="L3" s="185"/>
      <c r="M3" s="185"/>
      <c r="N3" s="185"/>
      <c r="O3" s="185"/>
      <c r="P3" s="185"/>
      <c r="Q3" s="185"/>
      <c r="R3" s="185"/>
      <c r="S3" s="185"/>
      <c r="T3" s="185"/>
      <c r="U3" s="185"/>
      <c r="V3" s="185"/>
      <c r="W3" s="185"/>
      <c r="X3" s="185"/>
      <c r="Y3" s="185"/>
    </row>
    <row r="4" spans="1:25" x14ac:dyDescent="0.2">
      <c r="A4" s="185"/>
      <c r="B4" s="273"/>
      <c r="C4" s="271"/>
      <c r="D4" s="274" t="s">
        <v>168</v>
      </c>
      <c r="E4" s="275">
        <f>F4-1</f>
        <v>2022</v>
      </c>
      <c r="F4" s="276">
        <f>'Input data'!$C$5-1</f>
        <v>2023</v>
      </c>
      <c r="G4" s="276">
        <f>F4+1</f>
        <v>2024</v>
      </c>
      <c r="H4" s="276">
        <f t="shared" ref="H4:X4" si="0">G4+1</f>
        <v>2025</v>
      </c>
      <c r="I4" s="276">
        <f t="shared" si="0"/>
        <v>2026</v>
      </c>
      <c r="J4" s="276">
        <f t="shared" si="0"/>
        <v>2027</v>
      </c>
      <c r="K4" s="276">
        <f t="shared" si="0"/>
        <v>2028</v>
      </c>
      <c r="L4" s="276">
        <f t="shared" si="0"/>
        <v>2029</v>
      </c>
      <c r="M4" s="276">
        <f t="shared" si="0"/>
        <v>2030</v>
      </c>
      <c r="N4" s="276">
        <f t="shared" si="0"/>
        <v>2031</v>
      </c>
      <c r="O4" s="276">
        <f t="shared" si="0"/>
        <v>2032</v>
      </c>
      <c r="P4" s="276">
        <f t="shared" si="0"/>
        <v>2033</v>
      </c>
      <c r="Q4" s="276">
        <f t="shared" si="0"/>
        <v>2034</v>
      </c>
      <c r="R4" s="276">
        <f t="shared" si="0"/>
        <v>2035</v>
      </c>
      <c r="S4" s="276">
        <f t="shared" si="0"/>
        <v>2036</v>
      </c>
      <c r="T4" s="276">
        <f t="shared" si="0"/>
        <v>2037</v>
      </c>
      <c r="U4" s="276">
        <f t="shared" si="0"/>
        <v>2038</v>
      </c>
      <c r="V4" s="276">
        <f t="shared" si="0"/>
        <v>2039</v>
      </c>
      <c r="W4" s="276">
        <f t="shared" si="0"/>
        <v>2040</v>
      </c>
      <c r="X4" s="276">
        <f t="shared" si="0"/>
        <v>2041</v>
      </c>
      <c r="Y4" s="185"/>
    </row>
    <row r="5" spans="1:25" x14ac:dyDescent="0.2">
      <c r="A5" s="185"/>
      <c r="B5" s="273">
        <v>1</v>
      </c>
      <c r="C5" s="277" t="s">
        <v>148</v>
      </c>
      <c r="D5" s="278">
        <v>57</v>
      </c>
      <c r="E5" s="279" t="s">
        <v>149</v>
      </c>
      <c r="F5" s="266">
        <f ca="1">INDEX(OFFSET('Adjustment scenario'!$D$1:$W$1,$D5-1,0),MATCH(F$4,'Adjustment scenario'!$D$10:$W$10,0))</f>
        <v>43.730433720991776</v>
      </c>
      <c r="G5" s="266">
        <f ca="1">INDEX(OFFSET('Adjustment scenario'!$D$1:$W$1,$D5-1,0),MATCH(G$4,'Adjustment scenario'!$D$10:$W$10,0))</f>
        <v>42.488825337098667</v>
      </c>
      <c r="H5" s="266">
        <f ca="1">INDEX(OFFSET('Adjustment scenario'!$D$1:$W$1,$D5-1,0),MATCH(H$4,'Adjustment scenario'!$D$10:$W$10,0))</f>
        <v>41.199313755606511</v>
      </c>
      <c r="I5" s="266">
        <f ca="1">INDEX(OFFSET('Adjustment scenario'!$D$1:$W$1,$D5-1,0),MATCH(I$4,'Adjustment scenario'!$D$10:$W$10,0))</f>
        <v>37.456894889337612</v>
      </c>
      <c r="J5" s="266">
        <f ca="1">INDEX(OFFSET('Adjustment scenario'!$D$1:$W$1,$D5-1,0),MATCH(J$4,'Adjustment scenario'!$D$10:$W$10,0))</f>
        <v>33.593172392013621</v>
      </c>
      <c r="K5" s="266">
        <f ca="1">INDEX(OFFSET('Adjustment scenario'!$D$1:$W$1,$D5-1,0),MATCH(K$4,'Adjustment scenario'!$D$10:$W$10,0))</f>
        <v>29.816315209921697</v>
      </c>
      <c r="L5" s="266">
        <f ca="1">INDEX(OFFSET('Adjustment scenario'!$D$1:$W$1,$D5-1,0),MATCH(L$4,'Adjustment scenario'!$D$10:$W$10,0))</f>
        <v>26.364042554448975</v>
      </c>
      <c r="M5" s="266">
        <f ca="1">INDEX(OFFSET('Adjustment scenario'!$D$1:$W$1,$D5-1,0),MATCH(M$4,'Adjustment scenario'!$D$10:$W$10,0))</f>
        <v>23.177269442948791</v>
      </c>
      <c r="N5" s="266">
        <f ca="1">INDEX(OFFSET('Adjustment scenario'!$D$1:$W$1,$D5-1,0),MATCH(N$4,'Adjustment scenario'!$D$10:$W$10,0))</f>
        <v>20.257620288406187</v>
      </c>
      <c r="O5" s="266">
        <f ca="1">INDEX(OFFSET('Adjustment scenario'!$D$1:$W$1,$D5-1,0),MATCH(O$4,'Adjustment scenario'!$D$10:$W$10,0))</f>
        <v>17.655639058329729</v>
      </c>
      <c r="P5" s="266">
        <f ca="1">INDEX(OFFSET('Adjustment scenario'!$D$1:$W$1,$D5-1,0),MATCH(P$4,'Adjustment scenario'!$D$10:$W$10,0))</f>
        <v>15.251050832314153</v>
      </c>
      <c r="Q5" s="266">
        <f ca="1">INDEX(OFFSET('Adjustment scenario'!$D$1:$W$1,$D5-1,0),MATCH(Q$4,'Adjustment scenario'!$D$10:$W$10,0))</f>
        <v>13.045406277985578</v>
      </c>
      <c r="R5" s="266">
        <f ca="1">INDEX(OFFSET('Adjustment scenario'!$D$1:$W$1,$D5-1,0),MATCH(R$4,'Adjustment scenario'!$D$10:$W$10,0))</f>
        <v>11.019664985888102</v>
      </c>
      <c r="S5" s="266">
        <f ca="1">INDEX(OFFSET('Adjustment scenario'!$D$1:$W$1,$D5-1,0),MATCH(S$4,'Adjustment scenario'!$D$10:$W$10,0))</f>
        <v>9.1812598024376513</v>
      </c>
      <c r="T5" s="266">
        <f ca="1">INDEX(OFFSET('Adjustment scenario'!$D$1:$W$1,$D5-1,0),MATCH(T$4,'Adjustment scenario'!$D$10:$W$10,0))</f>
        <v>7.5342408293446272</v>
      </c>
      <c r="U5" s="266">
        <f ca="1">INDEX(OFFSET('Adjustment scenario'!$D$1:$W$1,$D5-1,0),MATCH(U$4,'Adjustment scenario'!$D$10:$W$10,0))</f>
        <v>5.9910510999069437</v>
      </c>
      <c r="V5" s="266">
        <f ca="1">INDEX(OFFSET('Adjustment scenario'!$D$1:$W$1,$D5-1,0),MATCH(V$4,'Adjustment scenario'!$D$10:$W$10,0))</f>
        <v>4.6007501717729626</v>
      </c>
      <c r="W5" s="266">
        <f ca="1">INDEX(OFFSET('Adjustment scenario'!$D$1:$W$1,$D5-1,0),MATCH(W$4,'Adjustment scenario'!$D$10:$W$10,0))</f>
        <v>3.3675776160229378</v>
      </c>
      <c r="X5" s="266">
        <f ca="1">INDEX(OFFSET('Adjustment scenario'!$D$1:$W$1,$D5-1,0),MATCH(X$4,'Adjustment scenario'!$D$10:$W$10,0))</f>
        <v>2.297195053712723</v>
      </c>
      <c r="Y5" s="185"/>
    </row>
    <row r="6" spans="1:25" x14ac:dyDescent="0.2">
      <c r="A6" s="185"/>
      <c r="B6" s="273">
        <v>2</v>
      </c>
      <c r="C6" s="277" t="s">
        <v>150</v>
      </c>
      <c r="D6" s="278">
        <v>77</v>
      </c>
      <c r="E6" s="279" t="s">
        <v>149</v>
      </c>
      <c r="F6" s="266">
        <f ca="1">INDEX(OFFSET('Adjustment scenario'!$D$1:$W$1,$D6-1,0),MATCH(F$4,'Adjustment scenario'!$D$10:$W$10,0))</f>
        <v>1.6504173699869298</v>
      </c>
      <c r="G6" s="266">
        <f ca="1">INDEX(OFFSET('Adjustment scenario'!$D$1:$W$1,$D6-1,0),MATCH(G$4,'Adjustment scenario'!$D$10:$W$10,0))</f>
        <v>1.2569436847990874</v>
      </c>
      <c r="H6" s="266">
        <f ca="1">INDEX(OFFSET('Adjustment scenario'!$D$1:$W$1,$D6-1,0),MATCH(H$4,'Adjustment scenario'!$D$10:$W$10,0))</f>
        <v>1.322970728115429</v>
      </c>
      <c r="I6" s="266">
        <f ca="1">INDEX(OFFSET('Adjustment scenario'!$D$1:$W$1,$D6-1,0),MATCH(I$4,'Adjustment scenario'!$D$10:$W$10,0))</f>
        <v>1.478295841304897</v>
      </c>
      <c r="J6" s="266">
        <f ca="1">INDEX(OFFSET('Adjustment scenario'!$D$1:$W$1,$D6-1,0),MATCH(J$4,'Adjustment scenario'!$D$10:$W$10,0))</f>
        <v>1.7585652520517319</v>
      </c>
      <c r="K6" s="266">
        <f ca="1">INDEX(OFFSET('Adjustment scenario'!$D$1:$W$1,$D6-1,0),MATCH(K$4,'Adjustment scenario'!$D$10:$W$10,0))</f>
        <v>1.9330238671779629</v>
      </c>
      <c r="L6" s="266">
        <f ca="1">INDEX(OFFSET('Adjustment scenario'!$D$1:$W$1,$D6-1,0),MATCH(L$4,'Adjustment scenario'!$D$10:$W$10,0))</f>
        <v>1.906632384034312</v>
      </c>
      <c r="M6" s="266">
        <f ca="1">INDEX(OFFSET('Adjustment scenario'!$D$1:$W$1,$D6-1,0),MATCH(M$4,'Adjustment scenario'!$D$10:$W$10,0))</f>
        <v>1.8555829814853741</v>
      </c>
      <c r="N6" s="266">
        <f ca="1">INDEX(OFFSET('Adjustment scenario'!$D$1:$W$1,$D6-1,0),MATCH(N$4,'Adjustment scenario'!$D$10:$W$10,0))</f>
        <v>1.7898346350250576</v>
      </c>
      <c r="O6" s="266">
        <f ca="1">INDEX(OFFSET('Adjustment scenario'!$D$1:$W$1,$D6-1,0),MATCH(O$4,'Adjustment scenario'!$D$10:$W$10,0))</f>
        <v>1.6578050273369926</v>
      </c>
      <c r="P6" s="266">
        <f ca="1">INDEX(OFFSET('Adjustment scenario'!$D$1:$W$1,$D6-1,0),MATCH(P$4,'Adjustment scenario'!$D$10:$W$10,0))</f>
        <v>1.6257652012372579</v>
      </c>
      <c r="Q6" s="266">
        <f ca="1">INDEX(OFFSET('Adjustment scenario'!$D$1:$W$1,$D6-1,0),MATCH(Q$4,'Adjustment scenario'!$D$10:$W$10,0))</f>
        <v>1.5458069437011059</v>
      </c>
      <c r="R6" s="266">
        <f ca="1">INDEX(OFFSET('Adjustment scenario'!$D$1:$W$1,$D6-1,0),MATCH(R$4,'Adjustment scenario'!$D$10:$W$10,0))</f>
        <v>1.4723930518264208</v>
      </c>
      <c r="S6" s="266">
        <f ca="1">INDEX(OFFSET('Adjustment scenario'!$D$1:$W$1,$D6-1,0),MATCH(S$4,'Adjustment scenario'!$D$10:$W$10,0))</f>
        <v>1.3803413898308419</v>
      </c>
      <c r="T6" s="266">
        <f ca="1">INDEX(OFFSET('Adjustment scenario'!$D$1:$W$1,$D6-1,0),MATCH(T$4,'Adjustment scenario'!$D$10:$W$10,0))</f>
        <v>1.2678503524586486</v>
      </c>
      <c r="U6" s="266">
        <f ca="1">INDEX(OFFSET('Adjustment scenario'!$D$1:$W$1,$D6-1,0),MATCH(U$4,'Adjustment scenario'!$D$10:$W$10,0))</f>
        <v>1.2367277705181321</v>
      </c>
      <c r="V6" s="266">
        <f ca="1">INDEX(OFFSET('Adjustment scenario'!$D$1:$W$1,$D6-1,0),MATCH(V$4,'Adjustment scenario'!$D$10:$W$10,0))</f>
        <v>1.150986313165119</v>
      </c>
      <c r="W6" s="266">
        <f ca="1">INDEX(OFFSET('Adjustment scenario'!$D$1:$W$1,$D6-1,0),MATCH(W$4,'Adjustment scenario'!$D$10:$W$10,0))</f>
        <v>1.0534556886676558</v>
      </c>
      <c r="X6" s="266">
        <f ca="1">INDEX(OFFSET('Adjustment scenario'!$D$1:$W$1,$D6-1,0),MATCH(X$4,'Adjustment scenario'!$D$10:$W$10,0))</f>
        <v>0.94280063923864343</v>
      </c>
      <c r="Y6" s="185"/>
    </row>
    <row r="7" spans="1:25" x14ac:dyDescent="0.2">
      <c r="A7" s="185"/>
      <c r="B7" s="273">
        <v>3</v>
      </c>
      <c r="C7" s="277" t="s">
        <v>18</v>
      </c>
      <c r="D7" s="278">
        <v>12</v>
      </c>
      <c r="E7" s="279" t="s">
        <v>151</v>
      </c>
      <c r="F7" s="266">
        <f ca="1">INDEX(OFFSET('Adjustment scenario'!$D$1:$W$1,$D7-1,0),MATCH(F$4,'Adjustment scenario'!$D$10:$W$10,0))</f>
        <v>1.7124649999999999</v>
      </c>
      <c r="G7" s="266">
        <f ca="1">INDEX(OFFSET('Adjustment scenario'!$D$1:$W$1,$D7-1,0),MATCH(G$4,'Adjustment scenario'!$D$10:$W$10,0))</f>
        <v>2.5288010000000001</v>
      </c>
      <c r="H7" s="266">
        <f ca="1">INDEX(OFFSET('Adjustment scenario'!$D$1:$W$1,$D7-1,0),MATCH(H$4,'Adjustment scenario'!$D$10:$W$10,0))</f>
        <v>2.5288010000000001</v>
      </c>
      <c r="I7" s="266">
        <f ca="1">INDEX(OFFSET('Adjustment scenario'!$D$1:$W$1,$D7-1,0),MATCH(I$4,'Adjustment scenario'!$D$10:$W$10,0))</f>
        <v>2.5288010000000001</v>
      </c>
      <c r="J7" s="266">
        <f ca="1">INDEX(OFFSET('Adjustment scenario'!$D$1:$W$1,$D7-1,0),MATCH(J$4,'Adjustment scenario'!$D$10:$W$10,0))</f>
        <v>2.5288010000000001</v>
      </c>
      <c r="K7" s="266">
        <f ca="1">INDEX(OFFSET('Adjustment scenario'!$D$1:$W$1,$D7-1,0),MATCH(K$4,'Adjustment scenario'!$D$10:$W$10,0))</f>
        <v>2.5288010000000001</v>
      </c>
      <c r="L7" s="266">
        <f ca="1">INDEX(OFFSET('Adjustment scenario'!$D$1:$W$1,$D7-1,0),MATCH(L$4,'Adjustment scenario'!$D$10:$W$10,0))</f>
        <v>2.5288010000000001</v>
      </c>
      <c r="M7" s="266">
        <f ca="1">INDEX(OFFSET('Adjustment scenario'!$D$1:$W$1,$D7-1,0),MATCH(M$4,'Adjustment scenario'!$D$10:$W$10,0))</f>
        <v>2.5288010000000001</v>
      </c>
      <c r="N7" s="266">
        <f ca="1">INDEX(OFFSET('Adjustment scenario'!$D$1:$W$1,$D7-1,0),MATCH(N$4,'Adjustment scenario'!$D$10:$W$10,0))</f>
        <v>2.5288010000000001</v>
      </c>
      <c r="O7" s="266">
        <f ca="1">INDEX(OFFSET('Adjustment scenario'!$D$1:$W$1,$D7-1,0),MATCH(O$4,'Adjustment scenario'!$D$10:$W$10,0))</f>
        <v>2.5288010000000001</v>
      </c>
      <c r="P7" s="266">
        <f ca="1">INDEX(OFFSET('Adjustment scenario'!$D$1:$W$1,$D7-1,0),MATCH(P$4,'Adjustment scenario'!$D$10:$W$10,0))</f>
        <v>2.5288010000000001</v>
      </c>
      <c r="Q7" s="266">
        <f ca="1">INDEX(OFFSET('Adjustment scenario'!$D$1:$W$1,$D7-1,0),MATCH(Q$4,'Adjustment scenario'!$D$10:$W$10,0))</f>
        <v>2.5288010000000001</v>
      </c>
      <c r="R7" s="266">
        <f ca="1">INDEX(OFFSET('Adjustment scenario'!$D$1:$W$1,$D7-1,0),MATCH(R$4,'Adjustment scenario'!$D$10:$W$10,0))</f>
        <v>2.5288010000000001</v>
      </c>
      <c r="S7" s="266">
        <f ca="1">INDEX(OFFSET('Adjustment scenario'!$D$1:$W$1,$D7-1,0),MATCH(S$4,'Adjustment scenario'!$D$10:$W$10,0))</f>
        <v>2.5288010000000001</v>
      </c>
      <c r="T7" s="266">
        <f ca="1">INDEX(OFFSET('Adjustment scenario'!$D$1:$W$1,$D7-1,0),MATCH(T$4,'Adjustment scenario'!$D$10:$W$10,0))</f>
        <v>2.5288010000000001</v>
      </c>
      <c r="U7" s="266">
        <f ca="1">INDEX(OFFSET('Adjustment scenario'!$D$1:$W$1,$D7-1,0),MATCH(U$4,'Adjustment scenario'!$D$10:$W$10,0))</f>
        <v>2.5288010000000001</v>
      </c>
      <c r="V7" s="266">
        <f ca="1">INDEX(OFFSET('Adjustment scenario'!$D$1:$W$1,$D7-1,0),MATCH(V$4,'Adjustment scenario'!$D$10:$W$10,0))</f>
        <v>2.5288010000000001</v>
      </c>
      <c r="W7" s="266">
        <f ca="1">INDEX(OFFSET('Adjustment scenario'!$D$1:$W$1,$D7-1,0),MATCH(W$4,'Adjustment scenario'!$D$10:$W$10,0))</f>
        <v>2.5288010000000001</v>
      </c>
      <c r="X7" s="266">
        <f ca="1">INDEX(OFFSET('Adjustment scenario'!$D$1:$W$1,$D7-1,0),MATCH(X$4,'Adjustment scenario'!$D$10:$W$10,0))</f>
        <v>2.5288010000000001</v>
      </c>
      <c r="Y7" s="185"/>
    </row>
    <row r="8" spans="1:25" x14ac:dyDescent="0.2">
      <c r="A8" s="185"/>
      <c r="B8" s="273">
        <v>4</v>
      </c>
      <c r="C8" s="277" t="s">
        <v>152</v>
      </c>
      <c r="D8" s="278">
        <v>62</v>
      </c>
      <c r="E8" s="279" t="s">
        <v>151</v>
      </c>
      <c r="F8" s="266">
        <f ca="1">INDEX(OFFSET('Adjustment scenario'!$D$1:$W$1,$D8-1,0),MATCH(F$4,'Adjustment scenario'!$D$10:$W$10,0))</f>
        <v>-0.62869022653289608</v>
      </c>
      <c r="G8" s="266">
        <f ca="1">INDEX(OFFSET('Adjustment scenario'!$D$1:$W$1,$D8-1,0),MATCH(G$4,'Adjustment scenario'!$D$10:$W$10,0))</f>
        <v>0.58062381610688996</v>
      </c>
      <c r="H8" s="266">
        <f ca="1">INDEX(OFFSET('Adjustment scenario'!$D$1:$W$1,$D8-1,0),MATCH(H$4,'Adjustment scenario'!$D$10:$W$10,0))</f>
        <v>0.52665141850784858</v>
      </c>
      <c r="I8" s="266">
        <f ca="1">INDEX(OFFSET('Adjustment scenario'!$D$1:$W$1,$D8-1,0),MATCH(I$4,'Adjustment scenario'!$D$10:$W$10,0))</f>
        <v>0.35109820469169056</v>
      </c>
      <c r="J8" s="266">
        <f ca="1">INDEX(OFFSET('Adjustment scenario'!$D$1:$W$1,$D8-1,0),MATCH(J$4,'Adjustment scenario'!$D$10:$W$10,0))</f>
        <v>0.11703124496534133</v>
      </c>
      <c r="K8" s="266">
        <f ca="1">INDEX(OFFSET('Adjustment scenario'!$D$1:$W$1,$D8-1,0),MATCH(K$4,'Adjustment scenario'!$D$10:$W$10,0))</f>
        <v>-3.4308927479020923E-6</v>
      </c>
      <c r="L8" s="266">
        <f ca="1">INDEX(OFFSET('Adjustment scenario'!$D$1:$W$1,$D8-1,0),MATCH(L$4,'Adjustment scenario'!$D$10:$W$10,0))</f>
        <v>-2.9249032559963697E-6</v>
      </c>
      <c r="M8" s="266">
        <f ca="1">INDEX(OFFSET('Adjustment scenario'!$D$1:$W$1,$D8-1,0),MATCH(M$4,'Adjustment scenario'!$D$10:$W$10,0))</f>
        <v>-2.9249032675870978E-6</v>
      </c>
      <c r="N8" s="266">
        <f ca="1">INDEX(OFFSET('Adjustment scenario'!$D$1:$W$1,$D8-1,0),MATCH(N$4,'Adjustment scenario'!$D$10:$W$10,0))</f>
        <v>-3.9417592821777706E-6</v>
      </c>
      <c r="O8" s="266">
        <f ca="1">INDEX(OFFSET('Adjustment scenario'!$D$1:$W$1,$D8-1,0),MATCH(O$4,'Adjustment scenario'!$D$10:$W$10,0))</f>
        <v>-4.9616911631300557E-6</v>
      </c>
      <c r="P8" s="266">
        <f ca="1">INDEX(OFFSET('Adjustment scenario'!$D$1:$W$1,$D8-1,0),MATCH(P$4,'Adjustment scenario'!$D$10:$W$10,0))</f>
        <v>-4.449993689537024E-6</v>
      </c>
      <c r="Q8" s="266">
        <f ca="1">INDEX(OFFSET('Adjustment scenario'!$D$1:$W$1,$D8-1,0),MATCH(Q$4,'Adjustment scenario'!$D$10:$W$10,0))</f>
        <v>-4.9620071495670713E-6</v>
      </c>
      <c r="R8" s="266">
        <f ca="1">INDEX(OFFSET('Adjustment scenario'!$D$1:$W$1,$D8-1,0),MATCH(R$4,'Adjustment scenario'!$D$10:$W$10,0))</f>
        <v>-7.0113263726856449E-6</v>
      </c>
      <c r="S8" s="266">
        <f ca="1">INDEX(OFFSET('Adjustment scenario'!$D$1:$W$1,$D8-1,0),MATCH(S$4,'Adjustment scenario'!$D$10:$W$10,0))</f>
        <v>-5.9860332119132669E-6</v>
      </c>
      <c r="T8" s="266">
        <f ca="1">INDEX(OFFSET('Adjustment scenario'!$D$1:$W$1,$D8-1,0),MATCH(T$4,'Adjustment scenario'!$D$10:$W$10,0))</f>
        <v>-4.9607267449847116E-6</v>
      </c>
      <c r="U8" s="266">
        <f ca="1">INDEX(OFFSET('Adjustment scenario'!$D$1:$W$1,$D8-1,0),MATCH(U$4,'Adjustment scenario'!$D$10:$W$10,0))</f>
        <v>-5.9864232399231559E-6</v>
      </c>
      <c r="V8" s="266">
        <f ca="1">INDEX(OFFSET('Adjustment scenario'!$D$1:$W$1,$D8-1,0),MATCH(V$4,'Adjustment scenario'!$D$10:$W$10,0))</f>
        <v>-8.0388272426734627E-6</v>
      </c>
      <c r="W8" s="266">
        <f ca="1">INDEX(OFFSET('Adjustment scenario'!$D$1:$W$1,$D8-1,0),MATCH(W$4,'Adjustment scenario'!$D$10:$W$10,0))</f>
        <v>-9.5791319328686345E-6</v>
      </c>
      <c r="X8" s="266">
        <f ca="1">INDEX(OFFSET('Adjustment scenario'!$D$1:$W$1,$D8-1,0),MATCH(X$4,'Adjustment scenario'!$D$10:$W$10,0))</f>
        <v>-1.1634835004636912E-5</v>
      </c>
      <c r="Y8" s="185"/>
    </row>
    <row r="9" spans="1:25" x14ac:dyDescent="0.2">
      <c r="A9" s="185"/>
      <c r="B9" s="273">
        <v>5</v>
      </c>
      <c r="C9" s="277" t="s">
        <v>153</v>
      </c>
      <c r="D9" s="278">
        <v>14</v>
      </c>
      <c r="E9" s="279" t="s">
        <v>149</v>
      </c>
      <c r="F9" s="266">
        <f ca="1">INDEX(OFFSET('Adjustment scenario'!$D$1:$W$1,$D9-1,0),MATCH(F$4,'Adjustment scenario'!$D$10:$W$10,0))</f>
        <v>0</v>
      </c>
      <c r="G9" s="266">
        <f ca="1">INDEX(OFFSET('Adjustment scenario'!$D$1:$W$1,$D9-1,0),MATCH(G$4,'Adjustment scenario'!$D$10:$W$10,0))</f>
        <v>0</v>
      </c>
      <c r="H9" s="266">
        <f ca="1">INDEX(OFFSET('Adjustment scenario'!$D$1:$W$1,$D9-1,0),MATCH(H$4,'Adjustment scenario'!$D$10:$W$10,0))</f>
        <v>0</v>
      </c>
      <c r="I9" s="266">
        <f ca="1">INDEX(OFFSET('Adjustment scenario'!$D$1:$W$1,$D9-1,0),MATCH(I$4,'Adjustment scenario'!$D$10:$W$10,0))</f>
        <v>0</v>
      </c>
      <c r="J9" s="266">
        <f ca="1">INDEX(OFFSET('Adjustment scenario'!$D$1:$W$1,$D9-1,0),MATCH(J$4,'Adjustment scenario'!$D$10:$W$10,0))</f>
        <v>0</v>
      </c>
      <c r="K9" s="266">
        <f ca="1">INDEX(OFFSET('Adjustment scenario'!$D$1:$W$1,$D9-1,0),MATCH(K$4,'Adjustment scenario'!$D$10:$W$10,0))</f>
        <v>0</v>
      </c>
      <c r="L9" s="266">
        <f ca="1">INDEX(OFFSET('Adjustment scenario'!$D$1:$W$1,$D9-1,0),MATCH(L$4,'Adjustment scenario'!$D$10:$W$10,0))</f>
        <v>0</v>
      </c>
      <c r="M9" s="266">
        <f ca="1">INDEX(OFFSET('Adjustment scenario'!$D$1:$W$1,$D9-1,0),MATCH(M$4,'Adjustment scenario'!$D$10:$W$10,0))</f>
        <v>0</v>
      </c>
      <c r="N9" s="266">
        <f ca="1">INDEX(OFFSET('Adjustment scenario'!$D$1:$W$1,$D9-1,0),MATCH(N$4,'Adjustment scenario'!$D$10:$W$10,0))</f>
        <v>0</v>
      </c>
      <c r="O9" s="266">
        <f ca="1">INDEX(OFFSET('Adjustment scenario'!$D$1:$W$1,$D9-1,0),MATCH(O$4,'Adjustment scenario'!$D$10:$W$10,0))</f>
        <v>0</v>
      </c>
      <c r="P9" s="266">
        <f ca="1">INDEX(OFFSET('Adjustment scenario'!$D$1:$W$1,$D9-1,0),MATCH(P$4,'Adjustment scenario'!$D$10:$W$10,0))</f>
        <v>0</v>
      </c>
      <c r="Q9" s="266">
        <f ca="1">INDEX(OFFSET('Adjustment scenario'!$D$1:$W$1,$D9-1,0),MATCH(Q$4,'Adjustment scenario'!$D$10:$W$10,0))</f>
        <v>0</v>
      </c>
      <c r="R9" s="266">
        <f ca="1">INDEX(OFFSET('Adjustment scenario'!$D$1:$W$1,$D9-1,0),MATCH(R$4,'Adjustment scenario'!$D$10:$W$10,0))</f>
        <v>0</v>
      </c>
      <c r="S9" s="266">
        <f ca="1">INDEX(OFFSET('Adjustment scenario'!$D$1:$W$1,$D9-1,0),MATCH(S$4,'Adjustment scenario'!$D$10:$W$10,0))</f>
        <v>0</v>
      </c>
      <c r="T9" s="266">
        <f ca="1">INDEX(OFFSET('Adjustment scenario'!$D$1:$W$1,$D9-1,0),MATCH(T$4,'Adjustment scenario'!$D$10:$W$10,0))</f>
        <v>0</v>
      </c>
      <c r="U9" s="266">
        <f ca="1">INDEX(OFFSET('Adjustment scenario'!$D$1:$W$1,$D9-1,0),MATCH(U$4,'Adjustment scenario'!$D$10:$W$10,0))</f>
        <v>0</v>
      </c>
      <c r="V9" s="266">
        <f ca="1">INDEX(OFFSET('Adjustment scenario'!$D$1:$W$1,$D9-1,0),MATCH(V$4,'Adjustment scenario'!$D$10:$W$10,0))</f>
        <v>0</v>
      </c>
      <c r="W9" s="266">
        <f ca="1">INDEX(OFFSET('Adjustment scenario'!$D$1:$W$1,$D9-1,0),MATCH(W$4,'Adjustment scenario'!$D$10:$W$10,0))</f>
        <v>0</v>
      </c>
      <c r="X9" s="266">
        <f ca="1">INDEX(OFFSET('Adjustment scenario'!$D$1:$W$1,$D9-1,0),MATCH(X$4,'Adjustment scenario'!$D$10:$W$10,0))</f>
        <v>0</v>
      </c>
      <c r="Y9" s="185"/>
    </row>
    <row r="10" spans="1:25" x14ac:dyDescent="0.2">
      <c r="A10" s="185"/>
      <c r="B10" s="273">
        <v>6</v>
      </c>
      <c r="C10" s="277" t="s">
        <v>154</v>
      </c>
      <c r="D10" s="278">
        <v>68</v>
      </c>
      <c r="E10" s="279" t="s">
        <v>149</v>
      </c>
      <c r="F10" s="266">
        <f ca="1">INDEX(OFFSET('Adjustment scenario'!$D$1:$W$1,$D10-1,0),MATCH(F$4,'Adjustment scenario'!$D$10:$W$10,0))</f>
        <v>0.69073785654596631</v>
      </c>
      <c r="G10" s="266">
        <f ca="1">INDEX(OFFSET('Adjustment scenario'!$D$1:$W$1,$D10-1,0),MATCH(G$4,'Adjustment scenario'!$D$10:$W$10,0))</f>
        <v>0.69123349909402287</v>
      </c>
      <c r="H10" s="266">
        <f ca="1">INDEX(OFFSET('Adjustment scenario'!$D$1:$W$1,$D10-1,0),MATCH(H$4,'Adjustment scenario'!$D$10:$W$10,0))</f>
        <v>0.67917885337672257</v>
      </c>
      <c r="I10" s="266">
        <f ca="1">INDEX(OFFSET('Adjustment scenario'!$D$1:$W$1,$D10-1,0),MATCH(I$4,'Adjustment scenario'!$D$10:$W$10,0))</f>
        <v>0.69940695400341246</v>
      </c>
      <c r="J10" s="266">
        <f ca="1">INDEX(OFFSET('Adjustment scenario'!$D$1:$W$1,$D10-1,0),MATCH(J$4,'Adjustment scenario'!$D$10:$W$10,0))</f>
        <v>0.65320450298292709</v>
      </c>
      <c r="K10" s="266">
        <f ca="1">INDEX(OFFSET('Adjustment scenario'!$D$1:$W$1,$D10-1,0),MATCH(K$4,'Adjustment scenario'!$D$10:$W$10,0))</f>
        <v>0.59578056371478527</v>
      </c>
      <c r="L10" s="266">
        <f ca="1">INDEX(OFFSET('Adjustment scenario'!$D$1:$W$1,$D10-1,0),MATCH(L$4,'Adjustment scenario'!$D$10:$W$10,0))</f>
        <v>0.5384597408689421</v>
      </c>
      <c r="M10" s="266">
        <f ca="1">INDEX(OFFSET('Adjustment scenario'!$D$1:$W$1,$D10-1,0),MATCH(M$4,'Adjustment scenario'!$D$10:$W$10,0))</f>
        <v>0.48336734341789334</v>
      </c>
      <c r="N10" s="266">
        <f ca="1">INDEX(OFFSET('Adjustment scenario'!$D$1:$W$1,$D10-1,0),MATCH(N$4,'Adjustment scenario'!$D$10:$W$10,0))</f>
        <v>0.4268549067342236</v>
      </c>
      <c r="O10" s="266">
        <f ca="1">INDEX(OFFSET('Adjustment scenario'!$D$1:$W$1,$D10-1,0),MATCH(O$4,'Adjustment scenario'!$D$10:$W$10,0))</f>
        <v>0.37805373435416917</v>
      </c>
      <c r="P10" s="266">
        <f ca="1">INDEX(OFFSET('Adjustment scenario'!$D$1:$W$1,$D10-1,0),MATCH(P$4,'Adjustment scenario'!$D$10:$W$10,0))</f>
        <v>0.33405124875643094</v>
      </c>
      <c r="Q10" s="266">
        <f ca="1">INDEX(OFFSET('Adjustment scenario'!$D$1:$W$1,$D10-1,0),MATCH(Q$4,'Adjustment scenario'!$D$10:$W$10,0))</f>
        <v>0.29100831830604174</v>
      </c>
      <c r="R10" s="266">
        <f ca="1">INDEX(OFFSET('Adjustment scenario'!$D$1:$W$1,$D10-1,0),MATCH(R$4,'Adjustment scenario'!$D$10:$W$10,0))</f>
        <v>0.2491424594999514</v>
      </c>
      <c r="S10" s="266">
        <f ca="1">INDEX(OFFSET('Adjustment scenario'!$D$1:$W$1,$D10-1,0),MATCH(S$4,'Adjustment scenario'!$D$10:$W$10,0))</f>
        <v>0.2106412962023676</v>
      </c>
      <c r="T10" s="266">
        <f ca="1">INDEX(OFFSET('Adjustment scenario'!$D$1:$W$1,$D10-1,0),MATCH(T$4,'Adjustment scenario'!$D$10:$W$10,0))</f>
        <v>0.17554950826809612</v>
      </c>
      <c r="U10" s="266">
        <f ca="1">INDEX(OFFSET('Adjustment scenario'!$D$1:$W$1,$D10-1,0),MATCH(U$4,'Adjustment scenario'!$D$10:$W$10,0))</f>
        <v>0.14415131590510435</v>
      </c>
      <c r="V10" s="266">
        <f ca="1">INDEX(OFFSET('Adjustment scenario'!$D$1:$W$1,$D10-1,0),MATCH(V$4,'Adjustment scenario'!$D$10:$W$10,0))</f>
        <v>0.11471302566212324</v>
      </c>
      <c r="W10" s="266">
        <f ca="1">INDEX(OFFSET('Adjustment scenario'!$D$1:$W$1,$D10-1,0),MATCH(W$4,'Adjustment scenario'!$D$10:$W$10,0))</f>
        <v>8.8173390464276982E-2</v>
      </c>
      <c r="X10" s="266">
        <f ca="1">INDEX(OFFSET('Adjustment scenario'!$D$1:$W$1,$D10-1,0),MATCH(X$4,'Adjustment scenario'!$D$10:$W$10,0))</f>
        <v>6.4618695596361256E-2</v>
      </c>
      <c r="Y10" s="185"/>
    </row>
    <row r="11" spans="1:25" x14ac:dyDescent="0.2">
      <c r="A11" s="185"/>
      <c r="B11" s="273">
        <v>7</v>
      </c>
      <c r="C11" s="280" t="s">
        <v>66</v>
      </c>
      <c r="D11" s="278">
        <v>37</v>
      </c>
      <c r="E11" s="279" t="s">
        <v>155</v>
      </c>
      <c r="F11" s="266">
        <f ca="1">INDEX(OFFSET('Adjustment scenario'!$D$1:$W$1,$D11-1,0),MATCH(F$4,'Adjustment scenario'!$D$10:$W$10,0))</f>
        <v>2.87</v>
      </c>
      <c r="G11" s="266">
        <f ca="1">INDEX(OFFSET('Adjustment scenario'!$D$1:$W$1,$D11-1,0),MATCH(G$4,'Adjustment scenario'!$D$10:$W$10,0))</f>
        <v>2.837221</v>
      </c>
      <c r="H11" s="266">
        <f ca="1">INDEX(OFFSET('Adjustment scenario'!$D$1:$W$1,$D11-1,0),MATCH(H$4,'Adjustment scenario'!$D$10:$W$10,0))</f>
        <v>2.9036849999999998</v>
      </c>
      <c r="I11" s="266">
        <f ca="1">INDEX(OFFSET('Adjustment scenario'!$D$1:$W$1,$D11-1,0),MATCH(I$4,'Adjustment scenario'!$D$10:$W$10,0))</f>
        <v>2.9987318749999998</v>
      </c>
      <c r="J11" s="266">
        <f ca="1">INDEX(OFFSET('Adjustment scenario'!$D$1:$W$1,$D11-1,0),MATCH(J$4,'Adjustment scenario'!$D$10:$W$10,0))</f>
        <v>3.0937787499999998</v>
      </c>
      <c r="K11" s="266">
        <f ca="1">INDEX(OFFSET('Adjustment scenario'!$D$1:$W$1,$D11-1,0),MATCH(K$4,'Adjustment scenario'!$D$10:$W$10,0))</f>
        <v>3.1888256249999998</v>
      </c>
      <c r="L11" s="266">
        <f ca="1">INDEX(OFFSET('Adjustment scenario'!$D$1:$W$1,$D11-1,0),MATCH(L$4,'Adjustment scenario'!$D$10:$W$10,0))</f>
        <v>3.2838724999999998</v>
      </c>
      <c r="M11" s="266">
        <f ca="1">INDEX(OFFSET('Adjustment scenario'!$D$1:$W$1,$D11-1,0),MATCH(M$4,'Adjustment scenario'!$D$10:$W$10,0))</f>
        <v>3.3789193749999997</v>
      </c>
      <c r="N11" s="266">
        <f ca="1">INDEX(OFFSET('Adjustment scenario'!$D$1:$W$1,$D11-1,0),MATCH(N$4,'Adjustment scenario'!$D$10:$W$10,0))</f>
        <v>3.4739662499999997</v>
      </c>
      <c r="O11" s="266">
        <f ca="1">INDEX(OFFSET('Adjustment scenario'!$D$1:$W$1,$D11-1,0),MATCH(O$4,'Adjustment scenario'!$D$10:$W$10,0))</f>
        <v>3.5690131249999997</v>
      </c>
      <c r="P11" s="266">
        <f ca="1">INDEX(OFFSET('Adjustment scenario'!$D$1:$W$1,$D11-1,0),MATCH(P$4,'Adjustment scenario'!$D$10:$W$10,0))</f>
        <v>3.6640600000000001</v>
      </c>
      <c r="Q11" s="266">
        <f ca="1">INDEX(OFFSET('Adjustment scenario'!$D$1:$W$1,$D11-1,0),MATCH(Q$4,'Adjustment scenario'!$D$10:$W$10,0))</f>
        <v>3.680857</v>
      </c>
      <c r="R11" s="266">
        <f ca="1">INDEX(OFFSET('Adjustment scenario'!$D$1:$W$1,$D11-1,0),MATCH(R$4,'Adjustment scenario'!$D$10:$W$10,0))</f>
        <v>3.697654</v>
      </c>
      <c r="S11" s="266">
        <f ca="1">INDEX(OFFSET('Adjustment scenario'!$D$1:$W$1,$D11-1,0),MATCH(S$4,'Adjustment scenario'!$D$10:$W$10,0))</f>
        <v>3.7144509999999999</v>
      </c>
      <c r="T11" s="266">
        <f ca="1">INDEX(OFFSET('Adjustment scenario'!$D$1:$W$1,$D11-1,0),MATCH(T$4,'Adjustment scenario'!$D$10:$W$10,0))</f>
        <v>3.7312479999999999</v>
      </c>
      <c r="U11" s="266">
        <f ca="1">INDEX(OFFSET('Adjustment scenario'!$D$1:$W$1,$D11-1,0),MATCH(U$4,'Adjustment scenario'!$D$10:$W$10,0))</f>
        <v>3.7480450000000003</v>
      </c>
      <c r="V11" s="266">
        <f ca="1">INDEX(OFFSET('Adjustment scenario'!$D$1:$W$1,$D11-1,0),MATCH(V$4,'Adjustment scenario'!$D$10:$W$10,0))</f>
        <v>3.7648420000000002</v>
      </c>
      <c r="W11" s="266">
        <f ca="1">INDEX(OFFSET('Adjustment scenario'!$D$1:$W$1,$D11-1,0),MATCH(W$4,'Adjustment scenario'!$D$10:$W$10,0))</f>
        <v>3.7816390000000002</v>
      </c>
      <c r="X11" s="266">
        <f ca="1">INDEX(OFFSET('Adjustment scenario'!$D$1:$W$1,$D11-1,0),MATCH(X$4,'Adjustment scenario'!$D$10:$W$10,0))</f>
        <v>3.7984360000000001</v>
      </c>
      <c r="Y11" s="185"/>
    </row>
    <row r="12" spans="1:25" x14ac:dyDescent="0.2">
      <c r="A12" s="185"/>
      <c r="B12" s="273">
        <v>8</v>
      </c>
      <c r="C12" s="280" t="s">
        <v>67</v>
      </c>
      <c r="D12" s="278">
        <v>38</v>
      </c>
      <c r="E12" s="279" t="s">
        <v>155</v>
      </c>
      <c r="F12" s="266">
        <f ca="1">INDEX(OFFSET('Adjustment scenario'!$D$1:$W$1,$D12-1,0),MATCH(F$4,'Adjustment scenario'!$D$10:$W$10,0))</f>
        <v>3.43</v>
      </c>
      <c r="G12" s="266">
        <f ca="1">INDEX(OFFSET('Adjustment scenario'!$D$1:$W$1,$D12-1,0),MATCH(G$4,'Adjustment scenario'!$D$10:$W$10,0))</f>
        <v>3.5642079999999998</v>
      </c>
      <c r="H12" s="266">
        <f ca="1">INDEX(OFFSET('Adjustment scenario'!$D$1:$W$1,$D12-1,0),MATCH(H$4,'Adjustment scenario'!$D$10:$W$10,0))</f>
        <v>2.8163749999999999</v>
      </c>
      <c r="I12" s="266">
        <f ca="1">INDEX(OFFSET('Adjustment scenario'!$D$1:$W$1,$D12-1,0),MATCH(I$4,'Adjustment scenario'!$D$10:$W$10,0))</f>
        <v>2.8050893749999997</v>
      </c>
      <c r="J12" s="266">
        <f ca="1">INDEX(OFFSET('Adjustment scenario'!$D$1:$W$1,$D12-1,0),MATCH(J$4,'Adjustment scenario'!$D$10:$W$10,0))</f>
        <v>2.7938037499999995</v>
      </c>
      <c r="K12" s="266">
        <f ca="1">INDEX(OFFSET('Adjustment scenario'!$D$1:$W$1,$D12-1,0),MATCH(K$4,'Adjustment scenario'!$D$10:$W$10,0))</f>
        <v>2.7825181249999993</v>
      </c>
      <c r="L12" s="266">
        <f ca="1">INDEX(OFFSET('Adjustment scenario'!$D$1:$W$1,$D12-1,0),MATCH(L$4,'Adjustment scenario'!$D$10:$W$10,0))</f>
        <v>2.7712324999999991</v>
      </c>
      <c r="M12" s="266">
        <f ca="1">INDEX(OFFSET('Adjustment scenario'!$D$1:$W$1,$D12-1,0),MATCH(M$4,'Adjustment scenario'!$D$10:$W$10,0))</f>
        <v>2.7599468749999989</v>
      </c>
      <c r="N12" s="266">
        <f ca="1">INDEX(OFFSET('Adjustment scenario'!$D$1:$W$1,$D12-1,0),MATCH(N$4,'Adjustment scenario'!$D$10:$W$10,0))</f>
        <v>2.7486612499999987</v>
      </c>
      <c r="O12" s="266">
        <f ca="1">INDEX(OFFSET('Adjustment scenario'!$D$1:$W$1,$D12-1,0),MATCH(O$4,'Adjustment scenario'!$D$10:$W$10,0))</f>
        <v>2.7373756249999985</v>
      </c>
      <c r="P12" s="266">
        <f ca="1">INDEX(OFFSET('Adjustment scenario'!$D$1:$W$1,$D12-1,0),MATCH(P$4,'Adjustment scenario'!$D$10:$W$10,0))</f>
        <v>2.7260900000000001</v>
      </c>
      <c r="Q12" s="266">
        <f ca="1">INDEX(OFFSET('Adjustment scenario'!$D$1:$W$1,$D12-1,0),MATCH(Q$4,'Adjustment scenario'!$D$10:$W$10,0))</f>
        <v>2.6897855000000002</v>
      </c>
      <c r="R12" s="266">
        <f ca="1">INDEX(OFFSET('Adjustment scenario'!$D$1:$W$1,$D12-1,0),MATCH(R$4,'Adjustment scenario'!$D$10:$W$10,0))</f>
        <v>2.6534810000000002</v>
      </c>
      <c r="S12" s="266">
        <f ca="1">INDEX(OFFSET('Adjustment scenario'!$D$1:$W$1,$D12-1,0),MATCH(S$4,'Adjustment scenario'!$D$10:$W$10,0))</f>
        <v>2.6171765000000002</v>
      </c>
      <c r="T12" s="266">
        <f ca="1">INDEX(OFFSET('Adjustment scenario'!$D$1:$W$1,$D12-1,0),MATCH(T$4,'Adjustment scenario'!$D$10:$W$10,0))</f>
        <v>2.5808720000000003</v>
      </c>
      <c r="U12" s="266">
        <f ca="1">INDEX(OFFSET('Adjustment scenario'!$D$1:$W$1,$D12-1,0),MATCH(U$4,'Adjustment scenario'!$D$10:$W$10,0))</f>
        <v>2.5445675000000003</v>
      </c>
      <c r="V12" s="266">
        <f ca="1">INDEX(OFFSET('Adjustment scenario'!$D$1:$W$1,$D12-1,0),MATCH(V$4,'Adjustment scenario'!$D$10:$W$10,0))</f>
        <v>2.5082629999999999</v>
      </c>
      <c r="W12" s="266">
        <f ca="1">INDEX(OFFSET('Adjustment scenario'!$D$1:$W$1,$D12-1,0),MATCH(W$4,'Adjustment scenario'!$D$10:$W$10,0))</f>
        <v>2.4719584999999999</v>
      </c>
      <c r="X12" s="266">
        <f ca="1">INDEX(OFFSET('Adjustment scenario'!$D$1:$W$1,$D12-1,0),MATCH(X$4,'Adjustment scenario'!$D$10:$W$10,0))</f>
        <v>2.435654</v>
      </c>
      <c r="Y12" s="185"/>
    </row>
    <row r="13" spans="1:25" x14ac:dyDescent="0.2">
      <c r="A13" s="185"/>
      <c r="B13" s="273">
        <v>9</v>
      </c>
      <c r="C13" s="277" t="s">
        <v>156</v>
      </c>
      <c r="D13" s="278">
        <v>36</v>
      </c>
      <c r="E13" s="279" t="s">
        <v>155</v>
      </c>
      <c r="F13" s="266">
        <f ca="1">INDEX(OFFSET('Adjustment scenario'!$D$1:$W$1,$D13-1,0),MATCH(F$4,'Adjustment scenario'!$D$10:$W$10,0))</f>
        <v>1.550894</v>
      </c>
      <c r="G13" s="266">
        <f ca="1">INDEX(OFFSET('Adjustment scenario'!$D$1:$W$1,$D13-1,0),MATCH(G$4,'Adjustment scenario'!$D$10:$W$10,0))</f>
        <v>1.641526</v>
      </c>
      <c r="H13" s="266">
        <f ca="1">INDEX(OFFSET('Adjustment scenario'!$D$1:$W$1,$D13-1,0),MATCH(H$4,'Adjustment scenario'!$D$10:$W$10,0))</f>
        <v>1.6843859999999999</v>
      </c>
      <c r="I13" s="266">
        <f ca="1">INDEX(OFFSET('Adjustment scenario'!$D$1:$W$1,$D13-1,0),MATCH(I$4,'Adjustment scenario'!$D$10:$W$10,0))</f>
        <v>1.7963362728642545</v>
      </c>
      <c r="J13" s="266">
        <f ca="1">INDEX(OFFSET('Adjustment scenario'!$D$1:$W$1,$D13-1,0),MATCH(J$4,'Adjustment scenario'!$D$10:$W$10,0))</f>
        <v>1.8477295502688917</v>
      </c>
      <c r="K13" s="266">
        <f ca="1">INDEX(OFFSET('Adjustment scenario'!$D$1:$W$1,$D13-1,0),MATCH(K$4,'Adjustment scenario'!$D$10:$W$10,0))</f>
        <v>1.8765132788055841</v>
      </c>
      <c r="L13" s="266">
        <f ca="1">INDEX(OFFSET('Adjustment scenario'!$D$1:$W$1,$D13-1,0),MATCH(L$4,'Adjustment scenario'!$D$10:$W$10,0))</f>
        <v>1.9046582440660691</v>
      </c>
      <c r="M13" s="266">
        <f ca="1">INDEX(OFFSET('Adjustment scenario'!$D$1:$W$1,$D13-1,0),MATCH(M$4,'Adjustment scenario'!$D$10:$W$10,0))</f>
        <v>1.9309319418432969</v>
      </c>
      <c r="N13" s="266">
        <f ca="1">INDEX(OFFSET('Adjustment scenario'!$D$1:$W$1,$D13-1,0),MATCH(N$4,'Adjustment scenario'!$D$10:$W$10,0))</f>
        <v>1.9360733845092364</v>
      </c>
      <c r="O13" s="266">
        <f ca="1">INDEX(OFFSET('Adjustment scenario'!$D$1:$W$1,$D13-1,0),MATCH(O$4,'Adjustment scenario'!$D$10:$W$10,0))</f>
        <v>1.9574640995012271</v>
      </c>
      <c r="P13" s="266">
        <f ca="1">INDEX(OFFSET('Adjustment scenario'!$D$1:$W$1,$D13-1,0),MATCH(P$4,'Adjustment scenario'!$D$10:$W$10,0))</f>
        <v>1.9793499442805511</v>
      </c>
      <c r="Q13" s="266">
        <f ca="1">INDEX(OFFSET('Adjustment scenario'!$D$1:$W$1,$D13-1,0),MATCH(Q$4,'Adjustment scenario'!$D$10:$W$10,0))</f>
        <v>1.9944079624134392</v>
      </c>
      <c r="R13" s="266">
        <f ca="1">INDEX(OFFSET('Adjustment scenario'!$D$1:$W$1,$D13-1,0),MATCH(R$4,'Adjustment scenario'!$D$10:$W$10,0))</f>
        <v>1.994406836309681</v>
      </c>
      <c r="S13" s="266">
        <f ca="1">INDEX(OFFSET('Adjustment scenario'!$D$1:$W$1,$D13-1,0),MATCH(S$4,'Adjustment scenario'!$D$10:$W$10,0))</f>
        <v>1.994406836309681</v>
      </c>
      <c r="T13" s="266">
        <f ca="1">INDEX(OFFSET('Adjustment scenario'!$D$1:$W$1,$D13-1,0),MATCH(T$4,'Adjustment scenario'!$D$10:$W$10,0))</f>
        <v>1.994406836309681</v>
      </c>
      <c r="U13" s="266">
        <f ca="1">INDEX(OFFSET('Adjustment scenario'!$D$1:$W$1,$D13-1,0),MATCH(U$4,'Adjustment scenario'!$D$10:$W$10,0))</f>
        <v>1.9944068363096807</v>
      </c>
      <c r="V13" s="266">
        <f ca="1">INDEX(OFFSET('Adjustment scenario'!$D$1:$W$1,$D13-1,0),MATCH(V$4,'Adjustment scenario'!$D$10:$W$10,0))</f>
        <v>1.9944068363096807</v>
      </c>
      <c r="W13" s="266">
        <f ca="1">INDEX(OFFSET('Adjustment scenario'!$D$1:$W$1,$D13-1,0),MATCH(W$4,'Adjustment scenario'!$D$10:$W$10,0))</f>
        <v>1.9944068363096805</v>
      </c>
      <c r="X13" s="266">
        <f ca="1">INDEX(OFFSET('Adjustment scenario'!$D$1:$W$1,$D13-1,0),MATCH(X$4,'Adjustment scenario'!$D$10:$W$10,0))</f>
        <v>1.9944068363096805</v>
      </c>
      <c r="Y13" s="185"/>
    </row>
    <row r="14" spans="1:25" x14ac:dyDescent="0.2">
      <c r="A14" s="185"/>
      <c r="B14" s="273">
        <v>10</v>
      </c>
      <c r="C14" s="277" t="s">
        <v>157</v>
      </c>
      <c r="D14" s="278">
        <v>72</v>
      </c>
      <c r="E14" s="279" t="s">
        <v>149</v>
      </c>
      <c r="F14" s="266">
        <f ca="1">INDEX(OFFSET('Adjustment scenario'!$D$1:$W$1,$D14-1,0),MATCH(F$4,'Adjustment scenario'!$D$10:$W$10,0))</f>
        <v>0.84280659999999996</v>
      </c>
      <c r="G14" s="266">
        <f ca="1">INDEX(OFFSET('Adjustment scenario'!$D$1:$W$1,$D14-1,0),MATCH(G$4,'Adjustment scenario'!$D$10:$W$10,0))</f>
        <v>1.6365670000000001</v>
      </c>
      <c r="H14" s="266">
        <f ca="1">INDEX(OFFSET('Adjustment scenario'!$D$1:$W$1,$D14-1,0),MATCH(H$4,'Adjustment scenario'!$D$10:$W$10,0))</f>
        <v>2.2002419999999998</v>
      </c>
      <c r="I14" s="266">
        <f ca="1">INDEX(OFFSET('Adjustment scenario'!$D$1:$W$1,$D14-1,0),MATCH(I$4,'Adjustment scenario'!$D$10:$W$10,0))</f>
        <v>0</v>
      </c>
      <c r="J14" s="266">
        <f ca="1">INDEX(OFFSET('Adjustment scenario'!$D$1:$W$1,$D14-1,0),MATCH(J$4,'Adjustment scenario'!$D$10:$W$10,0))</f>
        <v>0</v>
      </c>
      <c r="K14" s="266">
        <f ca="1">INDEX(OFFSET('Adjustment scenario'!$D$1:$W$1,$D14-1,0),MATCH(K$4,'Adjustment scenario'!$D$10:$W$10,0))</f>
        <v>0</v>
      </c>
      <c r="L14" s="266">
        <f ca="1">INDEX(OFFSET('Adjustment scenario'!$D$1:$W$1,$D14-1,0),MATCH(L$4,'Adjustment scenario'!$D$10:$W$10,0))</f>
        <v>0</v>
      </c>
      <c r="M14" s="266">
        <f ca="1">INDEX(OFFSET('Adjustment scenario'!$D$1:$W$1,$D14-1,0),MATCH(M$4,'Adjustment scenario'!$D$10:$W$10,0))</f>
        <v>0</v>
      </c>
      <c r="N14" s="266">
        <f ca="1">INDEX(OFFSET('Adjustment scenario'!$D$1:$W$1,$D14-1,0),MATCH(N$4,'Adjustment scenario'!$D$10:$W$10,0))</f>
        <v>0</v>
      </c>
      <c r="O14" s="266">
        <f ca="1">INDEX(OFFSET('Adjustment scenario'!$D$1:$W$1,$D14-1,0),MATCH(O$4,'Adjustment scenario'!$D$10:$W$10,0))</f>
        <v>0</v>
      </c>
      <c r="P14" s="266">
        <f ca="1">INDEX(OFFSET('Adjustment scenario'!$D$1:$W$1,$D14-1,0),MATCH(P$4,'Adjustment scenario'!$D$10:$W$10,0))</f>
        <v>0</v>
      </c>
      <c r="Q14" s="266">
        <f ca="1">INDEX(OFFSET('Adjustment scenario'!$D$1:$W$1,$D14-1,0),MATCH(Q$4,'Adjustment scenario'!$D$10:$W$10,0))</f>
        <v>0</v>
      </c>
      <c r="R14" s="266">
        <f ca="1">INDEX(OFFSET('Adjustment scenario'!$D$1:$W$1,$D14-1,0),MATCH(R$4,'Adjustment scenario'!$D$10:$W$10,0))</f>
        <v>0</v>
      </c>
      <c r="S14" s="266">
        <f ca="1">INDEX(OFFSET('Adjustment scenario'!$D$1:$W$1,$D14-1,0),MATCH(S$4,'Adjustment scenario'!$D$10:$W$10,0))</f>
        <v>0</v>
      </c>
      <c r="T14" s="266">
        <f ca="1">INDEX(OFFSET('Adjustment scenario'!$D$1:$W$1,$D14-1,0),MATCH(T$4,'Adjustment scenario'!$D$10:$W$10,0))</f>
        <v>0</v>
      </c>
      <c r="U14" s="266">
        <f ca="1">INDEX(OFFSET('Adjustment scenario'!$D$1:$W$1,$D14-1,0),MATCH(U$4,'Adjustment scenario'!$D$10:$W$10,0))</f>
        <v>0</v>
      </c>
      <c r="V14" s="266">
        <f ca="1">INDEX(OFFSET('Adjustment scenario'!$D$1:$W$1,$D14-1,0),MATCH(V$4,'Adjustment scenario'!$D$10:$W$10,0))</f>
        <v>0</v>
      </c>
      <c r="W14" s="266">
        <f ca="1">INDEX(OFFSET('Adjustment scenario'!$D$1:$W$1,$D14-1,0),MATCH(W$4,'Adjustment scenario'!$D$10:$W$10,0))</f>
        <v>0</v>
      </c>
      <c r="X14" s="266">
        <f ca="1">INDEX(OFFSET('Adjustment scenario'!$D$1:$W$1,$D14-1,0),MATCH(X$4,'Adjustment scenario'!$D$10:$W$10,0))</f>
        <v>0</v>
      </c>
      <c r="Y14" s="185"/>
    </row>
    <row r="15" spans="1:25" x14ac:dyDescent="0.2">
      <c r="A15" s="185"/>
      <c r="B15" s="273">
        <v>11</v>
      </c>
      <c r="C15" s="281" t="s">
        <v>40</v>
      </c>
      <c r="D15" s="278">
        <v>27</v>
      </c>
      <c r="E15" s="279" t="s">
        <v>158</v>
      </c>
      <c r="F15" s="266">
        <f ca="1">(INDEX(OFFSET('Adjustment scenario'!$D$1:$W$1,$D15-1,0),MATCH(F$4,'Adjustment scenario'!$D$10:$W$10,0))/INDEX(OFFSET('Adjustment scenario'!$D$1:$W$1,$D15-1,0),MATCH(E$4,'Adjustment scenario'!$D$10:$W$10,0))-1)*100</f>
        <v>4.3335239999999997</v>
      </c>
      <c r="G15" s="266">
        <f ca="1">(INDEX(OFFSET('Adjustment scenario'!$D$1:$W$1,$D15-1,0),MATCH(G$4,'Adjustment scenario'!$D$10:$W$10,0))/INDEX(OFFSET('Adjustment scenario'!$D$1:$W$1,$D15-1,0),MATCH(F$4,'Adjustment scenario'!$D$10:$W$10,0))-1)*100</f>
        <v>3.6155909999999958</v>
      </c>
      <c r="H15" s="266">
        <f ca="1">(INDEX(OFFSET('Adjustment scenario'!$D$1:$W$1,$D15-1,0),MATCH(H$4,'Adjustment scenario'!$D$10:$W$10,0))/INDEX(OFFSET('Adjustment scenario'!$D$1:$W$1,$D15-1,0),MATCH(G$4,'Adjustment scenario'!$D$10:$W$10,0))-1)*100</f>
        <v>3.2858119999999991</v>
      </c>
      <c r="I15" s="266">
        <f ca="1">(INDEX(OFFSET('Adjustment scenario'!$D$1:$W$1,$D15-1,0),MATCH(I$4,'Adjustment scenario'!$D$10:$W$10,0))/INDEX(OFFSET('Adjustment scenario'!$D$1:$W$1,$D15-1,0),MATCH(H$4,'Adjustment scenario'!$D$10:$W$10,0))-1)*100</f>
        <v>3.394844000000008</v>
      </c>
      <c r="J15" s="266">
        <f ca="1">(INDEX(OFFSET('Adjustment scenario'!$D$1:$W$1,$D15-1,0),MATCH(J$4,'Adjustment scenario'!$D$10:$W$10,0))/INDEX(OFFSET('Adjustment scenario'!$D$1:$W$1,$D15-1,0),MATCH(I$4,'Adjustment scenario'!$D$10:$W$10,0))-1)*100</f>
        <v>3.3358690000000024</v>
      </c>
      <c r="K15" s="266">
        <f ca="1">(INDEX(OFFSET('Adjustment scenario'!$D$1:$W$1,$D15-1,0),MATCH(K$4,'Adjustment scenario'!$D$10:$W$10,0))/INDEX(OFFSET('Adjustment scenario'!$D$1:$W$1,$D15-1,0),MATCH(J$4,'Adjustment scenario'!$D$10:$W$10,0))-1)*100</f>
        <v>3.3451609999999965</v>
      </c>
      <c r="L15" s="266">
        <f ca="1">(INDEX(OFFSET('Adjustment scenario'!$D$1:$W$1,$D15-1,0),MATCH(L$4,'Adjustment scenario'!$D$10:$W$10,0))/INDEX(OFFSET('Adjustment scenario'!$D$1:$W$1,$D15-1,0),MATCH(K$4,'Adjustment scenario'!$D$10:$W$10,0))-1)*100</f>
        <v>3.1642050000000088</v>
      </c>
      <c r="M15" s="266">
        <f ca="1">(INDEX(OFFSET('Adjustment scenario'!$D$1:$W$1,$D15-1,0),MATCH(M$4,'Adjustment scenario'!$D$10:$W$10,0))/INDEX(OFFSET('Adjustment scenario'!$D$1:$W$1,$D15-1,0),MATCH(L$4,'Adjustment scenario'!$D$10:$W$10,0))-1)*100</f>
        <v>2.9380139999999999</v>
      </c>
      <c r="N15" s="266">
        <f ca="1">(INDEX(OFFSET('Adjustment scenario'!$D$1:$W$1,$D15-1,0),MATCH(N$4,'Adjustment scenario'!$D$10:$W$10,0))/INDEX(OFFSET('Adjustment scenario'!$D$1:$W$1,$D15-1,0),MATCH(M$4,'Adjustment scenario'!$D$10:$W$10,0))-1)*100</f>
        <v>2.6694089999999893</v>
      </c>
      <c r="O15" s="266">
        <f ca="1">(INDEX(OFFSET('Adjustment scenario'!$D$1:$W$1,$D15-1,0),MATCH(O$4,'Adjustment scenario'!$D$10:$W$10,0))/INDEX(OFFSET('Adjustment scenario'!$D$1:$W$1,$D15-1,0),MATCH(N$4,'Adjustment scenario'!$D$10:$W$10,0))-1)*100</f>
        <v>2.3597840000000092</v>
      </c>
      <c r="P15" s="266">
        <f ca="1">(INDEX(OFFSET('Adjustment scenario'!$D$1:$W$1,$D15-1,0),MATCH(P$4,'Adjustment scenario'!$D$10:$W$10,0))/INDEX(OFFSET('Adjustment scenario'!$D$1:$W$1,$D15-1,0),MATCH(O$4,'Adjustment scenario'!$D$10:$W$10,0))-1)*100</f>
        <v>2.0134099999999933</v>
      </c>
      <c r="Q15" s="266">
        <f ca="1">(INDEX(OFFSET('Adjustment scenario'!$D$1:$W$1,$D15-1,0),MATCH(Q$4,'Adjustment scenario'!$D$10:$W$10,0))/INDEX(OFFSET('Adjustment scenario'!$D$1:$W$1,$D15-1,0),MATCH(P$4,'Adjustment scenario'!$D$10:$W$10,0))-1)*100</f>
        <v>1.9504559999999893</v>
      </c>
      <c r="R15" s="266">
        <f ca="1">(INDEX(OFFSET('Adjustment scenario'!$D$1:$W$1,$D15-1,0),MATCH(R$4,'Adjustment scenario'!$D$10:$W$10,0))/INDEX(OFFSET('Adjustment scenario'!$D$1:$W$1,$D15-1,0),MATCH(Q$4,'Adjustment scenario'!$D$10:$W$10,0))-1)*100</f>
        <v>1.8875030000000015</v>
      </c>
      <c r="S15" s="266">
        <f ca="1">(INDEX(OFFSET('Adjustment scenario'!$D$1:$W$1,$D15-1,0),MATCH(S$4,'Adjustment scenario'!$D$10:$W$10,0))/INDEX(OFFSET('Adjustment scenario'!$D$1:$W$1,$D15-1,0),MATCH(R$4,'Adjustment scenario'!$D$10:$W$10,0))-1)*100</f>
        <v>1.8245489999999975</v>
      </c>
      <c r="T15" s="266">
        <f ca="1">(INDEX(OFFSET('Adjustment scenario'!$D$1:$W$1,$D15-1,0),MATCH(T$4,'Adjustment scenario'!$D$10:$W$10,0))/INDEX(OFFSET('Adjustment scenario'!$D$1:$W$1,$D15-1,0),MATCH(S$4,'Adjustment scenario'!$D$10:$W$10,0))-1)*100</f>
        <v>1.823226</v>
      </c>
      <c r="U15" s="266">
        <f ca="1">(INDEX(OFFSET('Adjustment scenario'!$D$1:$W$1,$D15-1,0),MATCH(U$4,'Adjustment scenario'!$D$10:$W$10,0))/INDEX(OFFSET('Adjustment scenario'!$D$1:$W$1,$D15-1,0),MATCH(T$4,'Adjustment scenario'!$D$10:$W$10,0))-1)*100</f>
        <v>1.784504000000009</v>
      </c>
      <c r="V15" s="266">
        <f ca="1">(INDEX(OFFSET('Adjustment scenario'!$D$1:$W$1,$D15-1,0),MATCH(V$4,'Adjustment scenario'!$D$10:$W$10,0))/INDEX(OFFSET('Adjustment scenario'!$D$1:$W$1,$D15-1,0),MATCH(U$4,'Adjustment scenario'!$D$10:$W$10,0))-1)*100</f>
        <v>1.7343679999999972</v>
      </c>
      <c r="W15" s="266">
        <f ca="1">(INDEX(OFFSET('Adjustment scenario'!$D$1:$W$1,$D15-1,0),MATCH(W$4,'Adjustment scenario'!$D$10:$W$10,0))/INDEX(OFFSET('Adjustment scenario'!$D$1:$W$1,$D15-1,0),MATCH(V$4,'Adjustment scenario'!$D$10:$W$10,0))-1)*100</f>
        <v>1.6682110000000083</v>
      </c>
      <c r="X15" s="266">
        <f ca="1">(INDEX(OFFSET('Adjustment scenario'!$D$1:$W$1,$D15-1,0),MATCH(X$4,'Adjustment scenario'!$D$10:$W$10,0))/INDEX(OFFSET('Adjustment scenario'!$D$1:$W$1,$D15-1,0),MATCH(W$4,'Adjustment scenario'!$D$10:$W$10,0))-1)*100</f>
        <v>1.5711079999999988</v>
      </c>
      <c r="Y15" s="185"/>
    </row>
    <row r="16" spans="1:25" x14ac:dyDescent="0.2">
      <c r="A16" s="185"/>
      <c r="B16" s="273">
        <v>12</v>
      </c>
      <c r="C16" s="269" t="s">
        <v>159</v>
      </c>
      <c r="D16" s="278">
        <v>24</v>
      </c>
      <c r="E16" s="279" t="s">
        <v>158</v>
      </c>
      <c r="F16" s="266">
        <f ca="1">INDEX(OFFSET('Adjustment scenario'!$D$1:$W$1,$D16-1,0),MATCH(F$4,'Adjustment scenario'!$D$10:$W$10,0))</f>
        <v>-3.198788</v>
      </c>
      <c r="G16" s="266">
        <f ca="1">INDEX(OFFSET('Adjustment scenario'!$D$1:$W$1,$D16-1,0),MATCH(G$4,'Adjustment scenario'!$D$10:$W$10,0))</f>
        <v>1.2437020000000001</v>
      </c>
      <c r="H16" s="266">
        <f ca="1">INDEX(OFFSET('Adjustment scenario'!$D$1:$W$1,$D16-1,0),MATCH(H$4,'Adjustment scenario'!$D$10:$W$10,0))</f>
        <v>3.3938060000000103</v>
      </c>
      <c r="I16" s="266">
        <f ca="1">INDEX(OFFSET('Adjustment scenario'!$D$1:$W$1,$D16-1,0),MATCH(I$4,'Adjustment scenario'!$D$10:$W$10,0))</f>
        <v>3.7461140000000004</v>
      </c>
      <c r="J16" s="266">
        <f ca="1">INDEX(OFFSET('Adjustment scenario'!$D$1:$W$1,$D16-1,0),MATCH(J$4,'Adjustment scenario'!$D$10:$W$10,0))</f>
        <v>3.8023689999999943</v>
      </c>
      <c r="K16" s="266">
        <f ca="1">INDEX(OFFSET('Adjustment scenario'!$D$1:$W$1,$D16-1,0),MATCH(K$4,'Adjustment scenario'!$D$10:$W$10,0))</f>
        <v>3.5773859999999935</v>
      </c>
      <c r="L16" s="266">
        <f ca="1">INDEX(OFFSET('Adjustment scenario'!$D$1:$W$1,$D16-1,0),MATCH(L$4,'Adjustment scenario'!$D$10:$W$10,0))</f>
        <v>3.1642039999999927</v>
      </c>
      <c r="M16" s="266">
        <f ca="1">INDEX(OFFSET('Adjustment scenario'!$D$1:$W$1,$D16-1,0),MATCH(M$4,'Adjustment scenario'!$D$10:$W$10,0))</f>
        <v>2.9380139999999999</v>
      </c>
      <c r="N16" s="266">
        <f ca="1">INDEX(OFFSET('Adjustment scenario'!$D$1:$W$1,$D16-1,0),MATCH(N$4,'Adjustment scenario'!$D$10:$W$10,0))</f>
        <v>2.6694109999999993</v>
      </c>
      <c r="O16" s="266">
        <f ca="1">INDEX(OFFSET('Adjustment scenario'!$D$1:$W$1,$D16-1,0),MATCH(O$4,'Adjustment scenario'!$D$10:$W$10,0))</f>
        <v>2.3597859999999971</v>
      </c>
      <c r="P16" s="266">
        <f ca="1">INDEX(OFFSET('Adjustment scenario'!$D$1:$W$1,$D16-1,0),MATCH(P$4,'Adjustment scenario'!$D$10:$W$10,0))</f>
        <v>2.0134089999999993</v>
      </c>
      <c r="Q16" s="266">
        <f ca="1">INDEX(OFFSET('Adjustment scenario'!$D$1:$W$1,$D16-1,0),MATCH(Q$4,'Adjustment scenario'!$D$10:$W$10,0))</f>
        <v>1.9504570000000054</v>
      </c>
      <c r="R16" s="266">
        <f ca="1">INDEX(OFFSET('Adjustment scenario'!$D$1:$W$1,$D16-1,0),MATCH(R$4,'Adjustment scenario'!$D$10:$W$10,0))</f>
        <v>1.8875069999999994</v>
      </c>
      <c r="S16" s="266">
        <f ca="1">INDEX(OFFSET('Adjustment scenario'!$D$1:$W$1,$D16-1,0),MATCH(S$4,'Adjustment scenario'!$D$10:$W$10,0))</f>
        <v>1.8245470000000097</v>
      </c>
      <c r="T16" s="266">
        <f ca="1">INDEX(OFFSET('Adjustment scenario'!$D$1:$W$1,$D16-1,0),MATCH(T$4,'Adjustment scenario'!$D$10:$W$10,0))</f>
        <v>1.82322399999999</v>
      </c>
      <c r="U16" s="266">
        <f ca="1">INDEX(OFFSET('Adjustment scenario'!$D$1:$W$1,$D16-1,0),MATCH(U$4,'Adjustment scenario'!$D$10:$W$10,0))</f>
        <v>1.7845059999999968</v>
      </c>
      <c r="V16" s="266">
        <f ca="1">INDEX(OFFSET('Adjustment scenario'!$D$1:$W$1,$D16-1,0),MATCH(V$4,'Adjustment scenario'!$D$10:$W$10,0))</f>
        <v>1.7343719999999951</v>
      </c>
      <c r="W16" s="266">
        <f ca="1">INDEX(OFFSET('Adjustment scenario'!$D$1:$W$1,$D16-1,0),MATCH(W$4,'Adjustment scenario'!$D$10:$W$10,0))</f>
        <v>1.6682139999999901</v>
      </c>
      <c r="X16" s="266">
        <f ca="1">INDEX(OFFSET('Adjustment scenario'!$D$1:$W$1,$D16-1,0),MATCH(X$4,'Adjustment scenario'!$D$10:$W$10,0))</f>
        <v>1.5711119999999967</v>
      </c>
      <c r="Y16" s="185"/>
    </row>
    <row r="17" spans="1:25" x14ac:dyDescent="0.2">
      <c r="A17" s="185"/>
      <c r="B17" s="273">
        <v>13</v>
      </c>
      <c r="C17" s="282" t="s">
        <v>160</v>
      </c>
      <c r="D17" s="278">
        <v>42</v>
      </c>
      <c r="E17" s="279" t="s">
        <v>158</v>
      </c>
      <c r="F17" s="266">
        <f ca="1">INDEX(OFFSET('Adjustment scenario'!$D$1:$W$1,$D17-1,0),MATCH(F$4,'Adjustment scenario'!$D$10:$W$10,0))</f>
        <v>2.965217</v>
      </c>
      <c r="G17" s="266">
        <f ca="1">INDEX(OFFSET('Adjustment scenario'!$D$1:$W$1,$D17-1,0),MATCH(G$4,'Adjustment scenario'!$D$10:$W$10,0))</f>
        <v>2.5743459999999998</v>
      </c>
      <c r="H17" s="266">
        <f ca="1">INDEX(OFFSET('Adjustment scenario'!$D$1:$W$1,$D17-1,0),MATCH(H$4,'Adjustment scenario'!$D$10:$W$10,0))</f>
        <v>1.9148970000000001</v>
      </c>
      <c r="I17" s="266">
        <f ca="1">INDEX(OFFSET('Adjustment scenario'!$D$1:$W$1,$D17-1,0),MATCH(I$4,'Adjustment scenario'!$D$10:$W$10,0))</f>
        <v>1.994284875</v>
      </c>
      <c r="J17" s="266">
        <f ca="1">INDEX(OFFSET('Adjustment scenario'!$D$1:$W$1,$D17-1,0),MATCH(J$4,'Adjustment scenario'!$D$10:$W$10,0))</f>
        <v>2.0736727500000001</v>
      </c>
      <c r="K17" s="266">
        <f ca="1">INDEX(OFFSET('Adjustment scenario'!$D$1:$W$1,$D17-1,0),MATCH(K$4,'Adjustment scenario'!$D$10:$W$10,0))</f>
        <v>2.1530606250000002</v>
      </c>
      <c r="L17" s="266">
        <f ca="1">INDEX(OFFSET('Adjustment scenario'!$D$1:$W$1,$D17-1,0),MATCH(L$4,'Adjustment scenario'!$D$10:$W$10,0))</f>
        <v>2.2324484999999998</v>
      </c>
      <c r="M17" s="266">
        <f ca="1">INDEX(OFFSET('Adjustment scenario'!$D$1:$W$1,$D17-1,0),MATCH(M$4,'Adjustment scenario'!$D$10:$W$10,0))</f>
        <v>2.3118363749999999</v>
      </c>
      <c r="N17" s="266">
        <f ca="1">INDEX(OFFSET('Adjustment scenario'!$D$1:$W$1,$D17-1,0),MATCH(N$4,'Adjustment scenario'!$D$10:$W$10,0))</f>
        <v>2.3912242500000001</v>
      </c>
      <c r="O17" s="266">
        <f ca="1">INDEX(OFFSET('Adjustment scenario'!$D$1:$W$1,$D17-1,0),MATCH(O$4,'Adjustment scenario'!$D$10:$W$10,0))</f>
        <v>2.4706121249999997</v>
      </c>
      <c r="P17" s="266">
        <f ca="1">INDEX(OFFSET('Adjustment scenario'!$D$1:$W$1,$D17-1,0),MATCH(P$4,'Adjustment scenario'!$D$10:$W$10,0))</f>
        <v>2.5499999999999998</v>
      </c>
      <c r="Q17" s="266">
        <f ca="1">INDEX(OFFSET('Adjustment scenario'!$D$1:$W$1,$D17-1,0),MATCH(Q$4,'Adjustment scenario'!$D$10:$W$10,0))</f>
        <v>2.5225</v>
      </c>
      <c r="R17" s="266">
        <f ca="1">INDEX(OFFSET('Adjustment scenario'!$D$1:$W$1,$D17-1,0),MATCH(R$4,'Adjustment scenario'!$D$10:$W$10,0))</f>
        <v>2.4949999999999997</v>
      </c>
      <c r="S17" s="266">
        <f ca="1">INDEX(OFFSET('Adjustment scenario'!$D$1:$W$1,$D17-1,0),MATCH(S$4,'Adjustment scenario'!$D$10:$W$10,0))</f>
        <v>2.4674999999999998</v>
      </c>
      <c r="T17" s="266">
        <f ca="1">INDEX(OFFSET('Adjustment scenario'!$D$1:$W$1,$D17-1,0),MATCH(T$4,'Adjustment scenario'!$D$10:$W$10,0))</f>
        <v>2.44</v>
      </c>
      <c r="U17" s="266">
        <f ca="1">INDEX(OFFSET('Adjustment scenario'!$D$1:$W$1,$D17-1,0),MATCH(U$4,'Adjustment scenario'!$D$10:$W$10,0))</f>
        <v>2.4124999999999996</v>
      </c>
      <c r="V17" s="266">
        <f ca="1">INDEX(OFFSET('Adjustment scenario'!$D$1:$W$1,$D17-1,0),MATCH(V$4,'Adjustment scenario'!$D$10:$W$10,0))</f>
        <v>2.3849999999999998</v>
      </c>
      <c r="W17" s="266">
        <f ca="1">INDEX(OFFSET('Adjustment scenario'!$D$1:$W$1,$D17-1,0),MATCH(W$4,'Adjustment scenario'!$D$10:$W$10,0))</f>
        <v>2.3574999999999999</v>
      </c>
      <c r="X17" s="266">
        <f ca="1">INDEX(OFFSET('Adjustment scenario'!$D$1:$W$1,$D17-1,0),MATCH(X$4,'Adjustment scenario'!$D$10:$W$10,0))</f>
        <v>2.33</v>
      </c>
      <c r="Y17" s="185"/>
    </row>
    <row r="18" spans="1:25" x14ac:dyDescent="0.2">
      <c r="A18" s="185"/>
      <c r="B18" s="273">
        <v>14</v>
      </c>
      <c r="C18" s="269" t="s">
        <v>161</v>
      </c>
      <c r="D18" s="278">
        <v>33</v>
      </c>
      <c r="E18" s="279" t="s">
        <v>158</v>
      </c>
      <c r="F18" s="266">
        <f ca="1">INDEX(OFFSET('Adjustment scenario'!$D$1:$W$1,$D18-1,0),MATCH(F$4,'Adjustment scenario'!$D$10:$W$10,0))</f>
        <v>-0.32842200556995049</v>
      </c>
      <c r="G18" s="266">
        <f ca="1">INDEX(OFFSET('Adjustment scenario'!$D$1:$W$1,$D18-1,0),MATCH(G$4,'Adjustment scenario'!$D$10:$W$10,0))</f>
        <v>3.8500651926889118</v>
      </c>
      <c r="H18" s="266">
        <f ca="1">INDEX(OFFSET('Adjustment scenario'!$D$1:$W$1,$D18-1,0),MATCH(H$4,'Adjustment scenario'!$D$10:$W$10,0))</f>
        <v>5.3736908892798363</v>
      </c>
      <c r="I18" s="266">
        <f ca="1">INDEX(OFFSET('Adjustment scenario'!$D$1:$W$1,$D18-1,0),MATCH(I$4,'Adjustment scenario'!$D$10:$W$10,0))</f>
        <v>5.815107059902247</v>
      </c>
      <c r="J18" s="266">
        <f ca="1">INDEX(OFFSET('Adjustment scenario'!$D$1:$W$1,$D18-1,0),MATCH(J$4,'Adjustment scenario'!$D$10:$W$10,0))</f>
        <v>5.9548904398074587</v>
      </c>
      <c r="K18" s="266">
        <f ca="1">INDEX(OFFSET('Adjustment scenario'!$D$1:$W$1,$D18-1,0),MATCH(K$4,'Adjustment scenario'!$D$10:$W$10,0))</f>
        <v>5.8074699143702668</v>
      </c>
      <c r="L18" s="266">
        <f ca="1">INDEX(OFFSET('Adjustment scenario'!$D$1:$W$1,$D18-1,0),MATCH(L$4,'Adjustment scenario'!$D$10:$W$10,0))</f>
        <v>5.467291724734924</v>
      </c>
      <c r="M18" s="266">
        <f ca="1">INDEX(OFFSET('Adjustment scenario'!$D$1:$W$1,$D18-1,0),MATCH(M$4,'Adjustment scenario'!$D$10:$W$10,0))</f>
        <v>5.3177724513546076</v>
      </c>
      <c r="N18" s="266">
        <f ca="1">INDEX(OFFSET('Adjustment scenario'!$D$1:$W$1,$D18-1,0),MATCH(N$4,'Adjustment scenario'!$D$10:$W$10,0))</f>
        <v>5.1244668531641668</v>
      </c>
      <c r="O18" s="266">
        <f ca="1">INDEX(OFFSET('Adjustment scenario'!$D$1:$W$1,$D18-1,0),MATCH(O$4,'Adjustment scenario'!$D$10:$W$10,0))</f>
        <v>4.8886992840400323</v>
      </c>
      <c r="P18" s="266">
        <f ca="1">INDEX(OFFSET('Adjustment scenario'!$D$1:$W$1,$D18-1,0),MATCH(P$4,'Adjustment scenario'!$D$10:$W$10,0))</f>
        <v>4.6147509295000111</v>
      </c>
      <c r="Q18" s="266">
        <f ca="1">INDEX(OFFSET('Adjustment scenario'!$D$1:$W$1,$D18-1,0),MATCH(Q$4,'Adjustment scenario'!$D$10:$W$10,0))</f>
        <v>4.5221572778250119</v>
      </c>
      <c r="R18" s="266">
        <f ca="1">INDEX(OFFSET('Adjustment scenario'!$D$1:$W$1,$D18-1,0),MATCH(R$4,'Adjustment scenario'!$D$10:$W$10,0))</f>
        <v>4.429600299650005</v>
      </c>
      <c r="S18" s="266">
        <f ca="1">INDEX(OFFSET('Adjustment scenario'!$D$1:$W$1,$D18-1,0),MATCH(S$4,'Adjustment scenario'!$D$10:$W$10,0))</f>
        <v>4.3370676972250166</v>
      </c>
      <c r="T18" s="266">
        <f ca="1">INDEX(OFFSET('Adjustment scenario'!$D$1:$W$1,$D18-1,0),MATCH(T$4,'Adjustment scenario'!$D$10:$W$10,0))</f>
        <v>4.3077106655999842</v>
      </c>
      <c r="U18" s="266">
        <f ca="1">INDEX(OFFSET('Adjustment scenario'!$D$1:$W$1,$D18-1,0),MATCH(U$4,'Adjustment scenario'!$D$10:$W$10,0))</f>
        <v>4.2400572072499809</v>
      </c>
      <c r="V18" s="266">
        <f ca="1">INDEX(OFFSET('Adjustment scenario'!$D$1:$W$1,$D18-1,0),MATCH(V$4,'Adjustment scenario'!$D$10:$W$10,0))</f>
        <v>4.1607367721999911</v>
      </c>
      <c r="W18" s="266">
        <f ca="1">INDEX(OFFSET('Adjustment scenario'!$D$1:$W$1,$D18-1,0),MATCH(W$4,'Adjustment scenario'!$D$10:$W$10,0))</f>
        <v>4.0650421450499907</v>
      </c>
      <c r="X18" s="266">
        <f ca="1">INDEX(OFFSET('Adjustment scenario'!$D$1:$W$1,$D18-1,0),MATCH(X$4,'Adjustment scenario'!$D$10:$W$10,0))</f>
        <v>3.9377189095999965</v>
      </c>
      <c r="Y18" s="185"/>
    </row>
    <row r="19" spans="1:25" x14ac:dyDescent="0.2">
      <c r="A19" s="185"/>
      <c r="B19" s="267"/>
      <c r="C19" s="288"/>
      <c r="D19" s="288"/>
      <c r="E19" s="288"/>
      <c r="F19" s="288"/>
      <c r="G19" s="288"/>
      <c r="H19" s="288"/>
      <c r="I19" s="288"/>
      <c r="J19" s="288"/>
      <c r="K19" s="185"/>
      <c r="L19" s="185"/>
      <c r="M19" s="185"/>
      <c r="N19" s="185"/>
      <c r="O19" s="185"/>
      <c r="P19" s="185"/>
      <c r="Q19" s="185"/>
      <c r="R19" s="185"/>
      <c r="S19" s="185"/>
      <c r="T19" s="185"/>
      <c r="U19" s="185"/>
      <c r="V19" s="185"/>
      <c r="W19" s="185"/>
      <c r="X19" s="185"/>
      <c r="Y19" s="185"/>
    </row>
    <row r="20" spans="1:25" x14ac:dyDescent="0.2">
      <c r="A20" s="185"/>
      <c r="B20" s="289"/>
      <c r="C20" s="271" t="s">
        <v>162</v>
      </c>
      <c r="D20" s="272"/>
      <c r="E20" s="272"/>
      <c r="F20" s="272"/>
      <c r="G20" s="288"/>
      <c r="H20" s="288"/>
      <c r="I20" s="288"/>
      <c r="J20" s="288"/>
      <c r="K20" s="185"/>
      <c r="L20" s="185"/>
      <c r="M20" s="185"/>
      <c r="N20" s="185"/>
      <c r="O20" s="185"/>
      <c r="P20" s="185"/>
      <c r="Q20" s="185"/>
      <c r="R20" s="185"/>
      <c r="S20" s="185"/>
      <c r="T20" s="185"/>
      <c r="U20" s="185"/>
      <c r="V20" s="185"/>
      <c r="W20" s="185"/>
      <c r="X20" s="185"/>
      <c r="Y20" s="185"/>
    </row>
    <row r="21" spans="1:25" x14ac:dyDescent="0.2">
      <c r="A21" s="185"/>
      <c r="B21" s="267"/>
      <c r="C21" s="288"/>
      <c r="D21" s="288"/>
      <c r="E21" s="288"/>
      <c r="F21" s="288"/>
      <c r="G21" s="288"/>
      <c r="H21" s="288"/>
      <c r="I21" s="288"/>
      <c r="J21" s="288"/>
      <c r="K21" s="185"/>
      <c r="L21" s="185"/>
      <c r="M21" s="185"/>
      <c r="N21" s="185"/>
      <c r="O21" s="185"/>
      <c r="P21" s="185"/>
      <c r="Q21" s="185"/>
      <c r="R21" s="185"/>
      <c r="S21" s="185"/>
      <c r="T21" s="185"/>
      <c r="U21" s="185"/>
      <c r="V21" s="185"/>
      <c r="W21" s="185"/>
      <c r="X21" s="185"/>
      <c r="Y21" s="185"/>
    </row>
    <row r="22" spans="1:25" x14ac:dyDescent="0.2">
      <c r="A22" s="185"/>
      <c r="B22" s="273"/>
      <c r="C22" s="271" t="s">
        <v>12</v>
      </c>
      <c r="D22" s="271"/>
      <c r="E22" s="275">
        <f>F22-1</f>
        <v>-1</v>
      </c>
      <c r="F22" s="276"/>
      <c r="G22" s="276"/>
      <c r="H22" s="276"/>
      <c r="I22" s="276"/>
      <c r="J22" s="276"/>
      <c r="K22" s="276"/>
      <c r="L22" s="276"/>
      <c r="M22" s="276"/>
      <c r="N22" s="276"/>
      <c r="O22" s="276"/>
      <c r="P22" s="276"/>
      <c r="Q22" s="276"/>
      <c r="R22" s="276"/>
      <c r="S22" s="276"/>
      <c r="T22" s="276"/>
      <c r="U22" s="276"/>
      <c r="V22" s="276"/>
      <c r="W22" s="276"/>
      <c r="X22" s="276"/>
      <c r="Y22" s="185"/>
    </row>
    <row r="23" spans="1:25" x14ac:dyDescent="0.2">
      <c r="A23" s="185"/>
      <c r="B23" s="273">
        <v>1</v>
      </c>
      <c r="C23" s="277" t="s">
        <v>148</v>
      </c>
      <c r="D23" s="278">
        <v>56</v>
      </c>
      <c r="E23" s="279" t="s">
        <v>149</v>
      </c>
      <c r="F23" s="266"/>
      <c r="G23" s="266"/>
      <c r="H23" s="266"/>
      <c r="I23" s="266"/>
      <c r="J23" s="266"/>
      <c r="K23" s="266"/>
      <c r="L23" s="266"/>
      <c r="M23" s="266"/>
      <c r="N23" s="266"/>
      <c r="O23" s="266"/>
      <c r="P23" s="266"/>
      <c r="Q23" s="266"/>
      <c r="R23" s="266"/>
      <c r="S23" s="266"/>
      <c r="T23" s="266"/>
      <c r="U23" s="266"/>
      <c r="V23" s="266"/>
      <c r="W23" s="266"/>
      <c r="X23" s="266"/>
      <c r="Y23" s="185"/>
    </row>
    <row r="24" spans="1:25" x14ac:dyDescent="0.2">
      <c r="A24" s="185"/>
      <c r="B24" s="273">
        <v>2</v>
      </c>
      <c r="C24" s="277" t="s">
        <v>66</v>
      </c>
      <c r="D24" s="278">
        <v>36</v>
      </c>
      <c r="E24" s="279" t="s">
        <v>155</v>
      </c>
      <c r="F24" s="266"/>
      <c r="G24" s="266"/>
      <c r="H24" s="266"/>
      <c r="I24" s="266"/>
      <c r="J24" s="266"/>
      <c r="K24" s="266"/>
      <c r="L24" s="266"/>
      <c r="M24" s="266"/>
      <c r="N24" s="266"/>
      <c r="O24" s="266"/>
      <c r="P24" s="266"/>
      <c r="Q24" s="266"/>
      <c r="R24" s="266"/>
      <c r="S24" s="266"/>
      <c r="T24" s="266"/>
      <c r="U24" s="266"/>
      <c r="V24" s="266"/>
      <c r="W24" s="266"/>
      <c r="X24" s="266"/>
      <c r="Y24" s="185"/>
    </row>
    <row r="25" spans="1:25" x14ac:dyDescent="0.2">
      <c r="A25" s="185"/>
      <c r="B25" s="273">
        <v>3</v>
      </c>
      <c r="C25" s="277" t="s">
        <v>67</v>
      </c>
      <c r="D25" s="278">
        <v>37</v>
      </c>
      <c r="E25" s="279" t="s">
        <v>155</v>
      </c>
      <c r="F25" s="266"/>
      <c r="G25" s="266"/>
      <c r="H25" s="266"/>
      <c r="I25" s="266"/>
      <c r="J25" s="266"/>
      <c r="K25" s="266"/>
      <c r="L25" s="266"/>
      <c r="M25" s="266"/>
      <c r="N25" s="266"/>
      <c r="O25" s="266"/>
      <c r="P25" s="266"/>
      <c r="Q25" s="266"/>
      <c r="R25" s="266"/>
      <c r="S25" s="266"/>
      <c r="T25" s="266"/>
      <c r="U25" s="266"/>
      <c r="V25" s="266"/>
      <c r="W25" s="266"/>
      <c r="X25" s="266"/>
      <c r="Y25" s="185"/>
    </row>
    <row r="26" spans="1:25" x14ac:dyDescent="0.2">
      <c r="A26" s="185"/>
      <c r="B26" s="273"/>
      <c r="C26" s="271" t="s">
        <v>13</v>
      </c>
      <c r="D26" s="271"/>
      <c r="E26" s="275">
        <f>F26-1</f>
        <v>-1</v>
      </c>
      <c r="F26" s="276"/>
      <c r="G26" s="276"/>
      <c r="H26" s="276"/>
      <c r="I26" s="276"/>
      <c r="J26" s="276"/>
      <c r="K26" s="276"/>
      <c r="L26" s="276"/>
      <c r="M26" s="276"/>
      <c r="N26" s="276"/>
      <c r="O26" s="276"/>
      <c r="P26" s="276"/>
      <c r="Q26" s="276"/>
      <c r="R26" s="276"/>
      <c r="S26" s="276"/>
      <c r="T26" s="276"/>
      <c r="U26" s="276"/>
      <c r="V26" s="276"/>
      <c r="W26" s="276"/>
      <c r="X26" s="276"/>
      <c r="Y26" s="185"/>
    </row>
    <row r="27" spans="1:25" x14ac:dyDescent="0.2">
      <c r="A27" s="185"/>
      <c r="B27" s="273">
        <v>4</v>
      </c>
      <c r="C27" s="277" t="s">
        <v>148</v>
      </c>
      <c r="D27" s="278">
        <v>56</v>
      </c>
      <c r="E27" s="279" t="s">
        <v>149</v>
      </c>
      <c r="F27" s="266"/>
      <c r="G27" s="266"/>
      <c r="H27" s="266"/>
      <c r="I27" s="266"/>
      <c r="J27" s="266"/>
      <c r="K27" s="266"/>
      <c r="L27" s="266"/>
      <c r="M27" s="266"/>
      <c r="N27" s="266"/>
      <c r="O27" s="266"/>
      <c r="P27" s="266"/>
      <c r="Q27" s="266"/>
      <c r="R27" s="266"/>
      <c r="S27" s="266"/>
      <c r="T27" s="266"/>
      <c r="U27" s="266"/>
      <c r="V27" s="266"/>
      <c r="W27" s="266"/>
      <c r="X27" s="266"/>
      <c r="Y27" s="185"/>
    </row>
    <row r="28" spans="1:25" x14ac:dyDescent="0.2">
      <c r="A28" s="185"/>
      <c r="B28" s="273">
        <v>5</v>
      </c>
      <c r="C28" s="277" t="s">
        <v>18</v>
      </c>
      <c r="D28" s="278">
        <v>12</v>
      </c>
      <c r="E28" s="279" t="s">
        <v>151</v>
      </c>
      <c r="F28" s="266"/>
      <c r="G28" s="266"/>
      <c r="H28" s="266"/>
      <c r="I28" s="266"/>
      <c r="J28" s="266"/>
      <c r="K28" s="266"/>
      <c r="L28" s="266"/>
      <c r="M28" s="266"/>
      <c r="N28" s="266"/>
      <c r="O28" s="266"/>
      <c r="P28" s="266"/>
      <c r="Q28" s="266"/>
      <c r="R28" s="266"/>
      <c r="S28" s="266"/>
      <c r="T28" s="266"/>
      <c r="U28" s="266"/>
      <c r="V28" s="266"/>
      <c r="W28" s="266"/>
      <c r="X28" s="266"/>
      <c r="Y28" s="185"/>
    </row>
    <row r="29" spans="1:25" x14ac:dyDescent="0.2">
      <c r="A29" s="185"/>
      <c r="B29" s="273"/>
      <c r="C29" s="271" t="s">
        <v>163</v>
      </c>
      <c r="D29" s="271"/>
      <c r="E29" s="275">
        <f>F29-1</f>
        <v>-1</v>
      </c>
      <c r="F29" s="276"/>
      <c r="G29" s="276"/>
      <c r="H29" s="276"/>
      <c r="I29" s="276"/>
      <c r="J29" s="276"/>
      <c r="K29" s="276"/>
      <c r="L29" s="276"/>
      <c r="M29" s="276"/>
      <c r="N29" s="276"/>
      <c r="O29" s="276"/>
      <c r="P29" s="276"/>
      <c r="Q29" s="276"/>
      <c r="R29" s="276"/>
      <c r="S29" s="276"/>
      <c r="T29" s="276"/>
      <c r="U29" s="276"/>
      <c r="V29" s="276"/>
      <c r="W29" s="276"/>
      <c r="X29" s="276"/>
      <c r="Y29" s="185"/>
    </row>
    <row r="30" spans="1:25" x14ac:dyDescent="0.2">
      <c r="A30" s="185"/>
      <c r="B30" s="273">
        <v>6</v>
      </c>
      <c r="C30" s="277" t="s">
        <v>148</v>
      </c>
      <c r="D30" s="278">
        <v>57</v>
      </c>
      <c r="E30" s="279" t="s">
        <v>149</v>
      </c>
      <c r="F30" s="266"/>
      <c r="G30" s="266"/>
      <c r="H30" s="266"/>
      <c r="I30" s="266"/>
      <c r="J30" s="266"/>
      <c r="K30" s="266"/>
      <c r="L30" s="266"/>
      <c r="M30" s="266"/>
      <c r="N30" s="266"/>
      <c r="O30" s="266"/>
      <c r="P30" s="266"/>
      <c r="Q30" s="266"/>
      <c r="R30" s="266"/>
      <c r="S30" s="266"/>
      <c r="T30" s="266"/>
      <c r="U30" s="266"/>
      <c r="V30" s="266"/>
      <c r="W30" s="266"/>
      <c r="X30" s="266"/>
      <c r="Y30" s="185"/>
    </row>
    <row r="31" spans="1:25" x14ac:dyDescent="0.2">
      <c r="A31" s="185"/>
      <c r="B31" s="273">
        <v>7</v>
      </c>
      <c r="C31" s="277" t="s">
        <v>66</v>
      </c>
      <c r="D31" s="278">
        <v>37</v>
      </c>
      <c r="E31" s="279" t="s">
        <v>155</v>
      </c>
      <c r="F31" s="266"/>
      <c r="G31" s="266"/>
      <c r="H31" s="266"/>
      <c r="I31" s="266"/>
      <c r="J31" s="266"/>
      <c r="K31" s="266"/>
      <c r="L31" s="266"/>
      <c r="M31" s="266"/>
      <c r="N31" s="266"/>
      <c r="O31" s="266"/>
      <c r="P31" s="266"/>
      <c r="Q31" s="266"/>
      <c r="R31" s="266"/>
      <c r="S31" s="266"/>
      <c r="T31" s="266"/>
      <c r="U31" s="266"/>
      <c r="V31" s="266"/>
      <c r="W31" s="266"/>
      <c r="X31" s="266"/>
      <c r="Y31" s="185"/>
    </row>
    <row r="32" spans="1:25" x14ac:dyDescent="0.2">
      <c r="A32" s="185"/>
      <c r="B32" s="273">
        <v>8</v>
      </c>
      <c r="C32" s="277" t="s">
        <v>67</v>
      </c>
      <c r="D32" s="278">
        <v>38</v>
      </c>
      <c r="E32" s="279" t="s">
        <v>155</v>
      </c>
      <c r="F32" s="266"/>
      <c r="G32" s="266"/>
      <c r="H32" s="266"/>
      <c r="I32" s="266"/>
      <c r="J32" s="266"/>
      <c r="K32" s="266"/>
      <c r="L32" s="266"/>
      <c r="M32" s="266"/>
      <c r="N32" s="266"/>
      <c r="O32" s="266"/>
      <c r="P32" s="266"/>
      <c r="Q32" s="266"/>
      <c r="R32" s="266"/>
      <c r="S32" s="266"/>
      <c r="T32" s="266"/>
      <c r="U32" s="266"/>
      <c r="V32" s="266"/>
      <c r="W32" s="266"/>
      <c r="X32" s="266"/>
      <c r="Y32" s="185"/>
    </row>
    <row r="33" spans="1:25" x14ac:dyDescent="0.2">
      <c r="A33" s="185"/>
      <c r="B33" s="273">
        <v>9</v>
      </c>
      <c r="C33" s="269" t="s">
        <v>159</v>
      </c>
      <c r="D33" s="278">
        <v>23</v>
      </c>
      <c r="E33" s="279" t="s">
        <v>158</v>
      </c>
      <c r="F33" s="266"/>
      <c r="G33" s="266"/>
      <c r="H33" s="266"/>
      <c r="I33" s="266"/>
      <c r="J33" s="266"/>
      <c r="K33" s="266"/>
      <c r="L33" s="266"/>
      <c r="M33" s="266"/>
      <c r="N33" s="266"/>
      <c r="O33" s="266"/>
      <c r="P33" s="266"/>
      <c r="Q33" s="266"/>
      <c r="R33" s="266"/>
      <c r="S33" s="266"/>
      <c r="T33" s="266"/>
      <c r="U33" s="266"/>
      <c r="V33" s="266"/>
      <c r="W33" s="266"/>
      <c r="X33" s="266"/>
      <c r="Y33" s="185"/>
    </row>
    <row r="34" spans="1:25" x14ac:dyDescent="0.2">
      <c r="A34" s="185"/>
      <c r="B34" s="273">
        <v>10</v>
      </c>
      <c r="C34" s="281" t="s">
        <v>40</v>
      </c>
      <c r="D34" s="278">
        <v>27</v>
      </c>
      <c r="E34" s="279" t="s">
        <v>158</v>
      </c>
      <c r="F34" s="266"/>
      <c r="G34" s="266"/>
      <c r="H34" s="266"/>
      <c r="I34" s="266"/>
      <c r="J34" s="266"/>
      <c r="K34" s="266"/>
      <c r="L34" s="266"/>
      <c r="M34" s="266"/>
      <c r="N34" s="266"/>
      <c r="O34" s="266"/>
      <c r="P34" s="266"/>
      <c r="Q34" s="266"/>
      <c r="R34" s="266"/>
      <c r="S34" s="266"/>
      <c r="T34" s="266"/>
      <c r="U34" s="266"/>
      <c r="V34" s="266"/>
      <c r="W34" s="266"/>
      <c r="X34" s="266"/>
      <c r="Y34" s="185"/>
    </row>
    <row r="35" spans="1:25" x14ac:dyDescent="0.2">
      <c r="A35" s="185"/>
      <c r="B35" s="273"/>
      <c r="C35" s="271" t="s">
        <v>164</v>
      </c>
      <c r="D35" s="271"/>
      <c r="E35" s="275">
        <f>F35-1</f>
        <v>-1</v>
      </c>
      <c r="F35" s="284"/>
      <c r="G35" s="185"/>
      <c r="H35" s="185"/>
      <c r="I35" s="185"/>
      <c r="J35" s="185"/>
      <c r="K35" s="185"/>
      <c r="L35" s="185"/>
      <c r="M35" s="185"/>
      <c r="N35" s="185"/>
      <c r="O35" s="185"/>
      <c r="P35" s="185"/>
      <c r="Q35" s="185"/>
      <c r="R35" s="185"/>
      <c r="S35" s="185"/>
      <c r="T35" s="185"/>
      <c r="U35" s="185"/>
      <c r="V35" s="185"/>
      <c r="W35" s="185"/>
      <c r="X35" s="185"/>
      <c r="Y35" s="185"/>
    </row>
    <row r="36" spans="1:25" x14ac:dyDescent="0.2">
      <c r="A36" s="185"/>
      <c r="B36" s="273">
        <v>11</v>
      </c>
      <c r="C36" s="277" t="s">
        <v>165</v>
      </c>
      <c r="D36" s="290" t="s">
        <v>169</v>
      </c>
      <c r="E36" s="279" t="s">
        <v>155</v>
      </c>
      <c r="F36" s="266"/>
      <c r="G36" s="297"/>
      <c r="H36" s="286"/>
      <c r="I36" s="287"/>
      <c r="J36" s="287"/>
      <c r="K36" s="286"/>
      <c r="L36" s="287"/>
      <c r="M36" s="286"/>
      <c r="N36" s="286"/>
      <c r="O36" s="287"/>
      <c r="P36" s="287"/>
      <c r="Q36" s="286"/>
      <c r="R36" s="287"/>
      <c r="S36" s="286"/>
      <c r="T36" s="291"/>
      <c r="U36" s="87"/>
      <c r="V36" s="298"/>
      <c r="W36" s="299"/>
      <c r="X36" s="298"/>
      <c r="Y36" s="87"/>
    </row>
    <row r="37" spans="1:25" x14ac:dyDescent="0.2">
      <c r="A37" s="185"/>
      <c r="B37" s="267"/>
      <c r="C37" s="288"/>
      <c r="D37" s="288"/>
      <c r="E37" s="288"/>
      <c r="F37" s="288"/>
      <c r="G37" s="288"/>
      <c r="H37" s="288"/>
      <c r="I37" s="288"/>
      <c r="J37" s="288"/>
      <c r="K37" s="185"/>
      <c r="L37" s="185"/>
      <c r="M37" s="185"/>
      <c r="N37" s="185"/>
      <c r="O37" s="185"/>
      <c r="P37" s="185"/>
      <c r="Q37" s="297"/>
      <c r="R37" s="297"/>
      <c r="S37" s="297"/>
      <c r="T37" s="297"/>
      <c r="U37" s="297"/>
      <c r="V37" s="297"/>
      <c r="W37" s="185"/>
      <c r="X37" s="185"/>
      <c r="Y37" s="185"/>
    </row>
    <row r="38" spans="1:25" x14ac:dyDescent="0.2">
      <c r="A38" s="185"/>
      <c r="B38" s="289"/>
      <c r="C38" s="271" t="s">
        <v>166</v>
      </c>
      <c r="D38" s="272"/>
      <c r="E38" s="272"/>
      <c r="F38" s="283"/>
      <c r="G38" s="185"/>
      <c r="H38" s="185"/>
      <c r="I38" s="185"/>
      <c r="J38" s="185"/>
      <c r="K38" s="185"/>
      <c r="L38" s="185"/>
      <c r="M38" s="185"/>
      <c r="N38" s="185"/>
      <c r="O38" s="185"/>
      <c r="P38" s="185"/>
      <c r="Q38" s="185"/>
      <c r="R38" s="185"/>
      <c r="S38" s="185"/>
      <c r="T38" s="185"/>
      <c r="U38" s="185"/>
      <c r="V38" s="185"/>
      <c r="W38" s="185"/>
      <c r="X38" s="185"/>
      <c r="Y38" s="185"/>
    </row>
    <row r="39" spans="1:25" x14ac:dyDescent="0.2">
      <c r="A39" s="185"/>
      <c r="B39" s="267"/>
      <c r="C39" s="288"/>
      <c r="D39" s="288"/>
      <c r="E39" s="288"/>
      <c r="F39" s="288"/>
      <c r="G39" s="288"/>
      <c r="H39" s="288"/>
      <c r="I39" s="288"/>
      <c r="J39" s="288"/>
      <c r="K39" s="185"/>
      <c r="L39" s="185"/>
      <c r="M39" s="185"/>
      <c r="N39" s="185"/>
      <c r="O39" s="185"/>
      <c r="P39" s="185"/>
      <c r="Q39" s="185"/>
      <c r="R39" s="185"/>
      <c r="S39" s="185"/>
      <c r="T39" s="185"/>
      <c r="U39" s="185"/>
      <c r="V39" s="185"/>
      <c r="W39" s="185"/>
      <c r="X39" s="185"/>
      <c r="Y39" s="185"/>
    </row>
    <row r="40" spans="1:25" x14ac:dyDescent="0.2">
      <c r="A40" s="185"/>
      <c r="B40" s="273"/>
      <c r="C40" s="271"/>
      <c r="D40" s="271"/>
      <c r="E40" s="276"/>
      <c r="F40" s="276">
        <f>'Input data'!$C$5-1</f>
        <v>2023</v>
      </c>
      <c r="G40" s="276">
        <f>F40+1</f>
        <v>2024</v>
      </c>
      <c r="H40" s="276">
        <f t="shared" ref="H40:X40" si="1">G40+1</f>
        <v>2025</v>
      </c>
      <c r="I40" s="276">
        <f t="shared" si="1"/>
        <v>2026</v>
      </c>
      <c r="J40" s="276">
        <f t="shared" si="1"/>
        <v>2027</v>
      </c>
      <c r="K40" s="276">
        <f t="shared" si="1"/>
        <v>2028</v>
      </c>
      <c r="L40" s="276">
        <f t="shared" si="1"/>
        <v>2029</v>
      </c>
      <c r="M40" s="276">
        <f t="shared" si="1"/>
        <v>2030</v>
      </c>
      <c r="N40" s="276">
        <f t="shared" si="1"/>
        <v>2031</v>
      </c>
      <c r="O40" s="276">
        <f t="shared" si="1"/>
        <v>2032</v>
      </c>
      <c r="P40" s="276">
        <f t="shared" si="1"/>
        <v>2033</v>
      </c>
      <c r="Q40" s="276">
        <f t="shared" si="1"/>
        <v>2034</v>
      </c>
      <c r="R40" s="276">
        <f t="shared" si="1"/>
        <v>2035</v>
      </c>
      <c r="S40" s="276">
        <f t="shared" si="1"/>
        <v>2036</v>
      </c>
      <c r="T40" s="276">
        <f t="shared" si="1"/>
        <v>2037</v>
      </c>
      <c r="U40" s="276">
        <f t="shared" si="1"/>
        <v>2038</v>
      </c>
      <c r="V40" s="276">
        <f t="shared" si="1"/>
        <v>2039</v>
      </c>
      <c r="W40" s="276">
        <f t="shared" si="1"/>
        <v>2040</v>
      </c>
      <c r="X40" s="276">
        <f t="shared" si="1"/>
        <v>2041</v>
      </c>
      <c r="Y40" s="185"/>
    </row>
    <row r="41" spans="1:25" x14ac:dyDescent="0.2">
      <c r="A41" s="185"/>
      <c r="B41" s="273">
        <v>1</v>
      </c>
      <c r="C41" s="277" t="s">
        <v>148</v>
      </c>
      <c r="D41" s="278">
        <v>56</v>
      </c>
      <c r="E41" s="279" t="s">
        <v>149</v>
      </c>
      <c r="F41" s="266">
        <f ca="1">INDEX(OFFSET('Baseline NFPC'!$D$1:$W$1,$D41-1,0),MATCH(F$4,'Baseline NFPC'!$D$10:$W$10,0))</f>
        <v>43.730433720991776</v>
      </c>
      <c r="G41" s="266">
        <f ca="1">INDEX(OFFSET('Baseline NFPC'!$D$1:$W$1,$D41-1,0),MATCH(G$4,'Baseline NFPC'!$D$10:$W$10,0))</f>
        <v>42.488825337098667</v>
      </c>
      <c r="H41" s="266">
        <f ca="1">INDEX(OFFSET('Baseline NFPC'!$D$1:$W$1,$D41-1,0),MATCH(H$4,'Baseline NFPC'!$D$10:$W$10,0))</f>
        <v>41.250805555606519</v>
      </c>
      <c r="I41" s="266">
        <f ca="1">INDEX(OFFSET('Baseline NFPC'!$D$1:$W$1,$D41-1,0),MATCH(I$4,'Baseline NFPC'!$D$10:$W$10,0))</f>
        <v>37.732587804956118</v>
      </c>
      <c r="J41" s="266">
        <f ca="1">INDEX(OFFSET('Baseline NFPC'!$D$1:$W$1,$D41-1,0),MATCH(J$4,'Baseline NFPC'!$D$10:$W$10,0))</f>
        <v>34.267259309002434</v>
      </c>
      <c r="K41" s="266">
        <f ca="1">INDEX(OFFSET('Baseline NFPC'!$D$1:$W$1,$D41-1,0),MATCH(K$4,'Baseline NFPC'!$D$10:$W$10,0))</f>
        <v>31.007170527595999</v>
      </c>
      <c r="L41" s="266">
        <f ca="1">INDEX(OFFSET('Baseline NFPC'!$D$1:$W$1,$D41-1,0),MATCH(L$4,'Baseline NFPC'!$D$10:$W$10,0))</f>
        <v>28.06229102567865</v>
      </c>
      <c r="M41" s="266">
        <f ca="1">INDEX(OFFSET('Baseline NFPC'!$D$1:$W$1,$D41-1,0),MATCH(M$4,'Baseline NFPC'!$D$10:$W$10,0))</f>
        <v>25.375334424222139</v>
      </c>
      <c r="N41" s="266">
        <f ca="1">INDEX(OFFSET('Baseline NFPC'!$D$1:$W$1,$D41-1,0),MATCH(N$4,'Baseline NFPC'!$D$10:$W$10,0))</f>
        <v>22.951905965719654</v>
      </c>
      <c r="O41" s="266">
        <f ca="1">INDEX(OFFSET('Baseline NFPC'!$D$1:$W$1,$D41-1,0),MATCH(O$4,'Baseline NFPC'!$D$10:$W$10,0))</f>
        <v>20.846367531017659</v>
      </c>
      <c r="P41" s="266">
        <f ca="1">INDEX(OFFSET('Baseline NFPC'!$D$1:$W$1,$D41-1,0),MATCH(P$4,'Baseline NFPC'!$D$10:$W$10,0))</f>
        <v>18.942087282286764</v>
      </c>
      <c r="Q41" s="266">
        <f ca="1">INDEX(OFFSET('Baseline NFPC'!$D$1:$W$1,$D41-1,0),MATCH(Q$4,'Baseline NFPC'!$D$10:$W$10,0))</f>
        <v>17.236596828220435</v>
      </c>
      <c r="R41" s="266">
        <f ca="1">INDEX(OFFSET('Baseline NFPC'!$D$1:$W$1,$D41-1,0),MATCH(R$4,'Baseline NFPC'!$D$10:$W$10,0))</f>
        <v>15.704860715029163</v>
      </c>
      <c r="S41" s="266">
        <f ca="1">INDEX(OFFSET('Baseline NFPC'!$D$1:$W$1,$D41-1,0),MATCH(S$4,'Baseline NFPC'!$D$10:$W$10,0))</f>
        <v>14.35528731931441</v>
      </c>
      <c r="T41" s="266">
        <f ca="1">INDEX(OFFSET('Baseline NFPC'!$D$1:$W$1,$D41-1,0),MATCH(T$4,'Baseline NFPC'!$D$10:$W$10,0))</f>
        <v>13.18750453986471</v>
      </c>
      <c r="U41" s="266">
        <f ca="1">INDEX(OFFSET('Baseline NFPC'!$D$1:$W$1,$D41-1,0),MATCH(U$4,'Baseline NFPC'!$D$10:$W$10,0))</f>
        <v>12.117064647370229</v>
      </c>
      <c r="V41" s="266">
        <f ca="1">INDEX(OFFSET('Baseline NFPC'!$D$1:$W$1,$D41-1,0),MATCH(V$4,'Baseline NFPC'!$D$10:$W$10,0))</f>
        <v>11.193855986822118</v>
      </c>
      <c r="W41" s="266">
        <f ca="1">INDEX(OFFSET('Baseline NFPC'!$D$1:$W$1,$D41-1,0),MATCH(W$4,'Baseline NFPC'!$D$10:$W$10,0))</f>
        <v>10.4244667294801</v>
      </c>
      <c r="X41" s="266">
        <f ca="1">INDEX(OFFSET('Baseline NFPC'!$D$1:$W$1,$D41-1,0),MATCH(X$4,'Baseline NFPC'!$D$10:$W$10,0))</f>
        <v>9.8184425636018169</v>
      </c>
      <c r="Y41" s="185"/>
    </row>
    <row r="42" spans="1:25" x14ac:dyDescent="0.2">
      <c r="A42" s="185"/>
      <c r="B42" s="273">
        <v>2</v>
      </c>
      <c r="C42" s="277" t="s">
        <v>150</v>
      </c>
      <c r="D42" s="278">
        <v>76</v>
      </c>
      <c r="E42" s="279" t="s">
        <v>149</v>
      </c>
      <c r="F42" s="266">
        <f ca="1">INDEX(OFFSET('Baseline NFPC'!$D$1:$W$1,$D42-1,0),MATCH(F$4,'Baseline NFPC'!$D$10:$W$10,0))</f>
        <v>1.6504173699869298</v>
      </c>
      <c r="G42" s="266">
        <f ca="1">INDEX(OFFSET('Baseline NFPC'!$D$1:$W$1,$D42-1,0),MATCH(G$4,'Baseline NFPC'!$D$10:$W$10,0))</f>
        <v>1.2569436847990874</v>
      </c>
      <c r="H42" s="266">
        <f ca="1">INDEX(OFFSET('Baseline NFPC'!$D$1:$W$1,$D42-1,0),MATCH(H$4,'Baseline NFPC'!$D$10:$W$10,0))</f>
        <v>1.2714789281154295</v>
      </c>
      <c r="I42" s="266">
        <f ca="1">INDEX(OFFSET('Baseline NFPC'!$D$1:$W$1,$D42-1,0),MATCH(I$4,'Baseline NFPC'!$D$10:$W$10,0))</f>
        <v>1.2512649753981155</v>
      </c>
      <c r="J42" s="266">
        <f ca="1">INDEX(OFFSET('Baseline NFPC'!$D$1:$W$1,$D42-1,0),MATCH(J$4,'Baseline NFPC'!$D$10:$W$10,0))</f>
        <v>1.3446767218236824</v>
      </c>
      <c r="K42" s="266">
        <f ca="1">INDEX(OFFSET('Baseline NFPC'!$D$1:$W$1,$D42-1,0),MATCH(K$4,'Baseline NFPC'!$D$10:$W$10,0))</f>
        <v>1.379256760321242</v>
      </c>
      <c r="L42" s="266">
        <f ca="1">INDEX(OFFSET('Baseline NFPC'!$D$1:$W$1,$D42-1,0),MATCH(L$4,'Baseline NFPC'!$D$10:$W$10,0))</f>
        <v>1.3375067889114627</v>
      </c>
      <c r="M42" s="266">
        <f ca="1">INDEX(OFFSET('Baseline NFPC'!$D$1:$W$1,$D42-1,0),MATCH(M$4,'Baseline NFPC'!$D$10:$W$10,0))</f>
        <v>1.2700174214413176</v>
      </c>
      <c r="N42" s="266">
        <f ca="1">INDEX(OFFSET('Baseline NFPC'!$D$1:$W$1,$D42-1,0),MATCH(N$4,'Baseline NFPC'!$D$10:$W$10,0))</f>
        <v>1.1864656082983307</v>
      </c>
      <c r="O42" s="266">
        <f ca="1">INDEX(OFFSET('Baseline NFPC'!$D$1:$W$1,$D42-1,0),MATCH(O$4,'Baseline NFPC'!$D$10:$W$10,0))</f>
        <v>1.0357857632715322</v>
      </c>
      <c r="P42" s="266">
        <f ca="1">INDEX(OFFSET('Baseline NFPC'!$D$1:$W$1,$D42-1,0),MATCH(P$4,'Baseline NFPC'!$D$10:$W$10,0))</f>
        <v>0.98470826594911731</v>
      </c>
      <c r="Q42" s="266">
        <f ca="1">INDEX(OFFSET('Baseline NFPC'!$D$1:$W$1,$D42-1,0),MATCH(Q$4,'Baseline NFPC'!$D$10:$W$10,0))</f>
        <v>0.88595993449330168</v>
      </c>
      <c r="R42" s="266">
        <f ca="1">INDEX(OFFSET('Baseline NFPC'!$D$1:$W$1,$D42-1,0),MATCH(R$4,'Baseline NFPC'!$D$10:$W$10,0))</f>
        <v>0.80060974426762033</v>
      </c>
      <c r="S42" s="266">
        <f ca="1">INDEX(OFFSET('Baseline NFPC'!$D$1:$W$1,$D42-1,0),MATCH(S$4,'Baseline NFPC'!$D$10:$W$10,0))</f>
        <v>0.69675608351821172</v>
      </c>
      <c r="T42" s="266">
        <f ca="1">INDEX(OFFSET('Baseline NFPC'!$D$1:$W$1,$D42-1,0),MATCH(T$4,'Baseline NFPC'!$D$10:$W$10,0))</f>
        <v>0.57493663319105215</v>
      </c>
      <c r="U42" s="266">
        <f ca="1">INDEX(OFFSET('Baseline NFPC'!$D$1:$W$1,$D42-1,0),MATCH(U$4,'Baseline NFPC'!$D$10:$W$10,0))</f>
        <v>0.53402639495846471</v>
      </c>
      <c r="V42" s="266">
        <f ca="1">INDEX(OFFSET('Baseline NFPC'!$D$1:$W$1,$D42-1,0),MATCH(V$4,'Baseline NFPC'!$D$10:$W$10,0))</f>
        <v>0.43918830881329374</v>
      </c>
      <c r="W42" s="266">
        <f ca="1">INDEX(OFFSET('Baseline NFPC'!$D$1:$W$1,$D42-1,0),MATCH(W$4,'Baseline NFPC'!$D$10:$W$10,0))</f>
        <v>0.33212910336420609</v>
      </c>
      <c r="X42" s="266">
        <f ca="1">INDEX(OFFSET('Baseline NFPC'!$D$1:$W$1,$D42-1,0),MATCH(X$4,'Baseline NFPC'!$D$10:$W$10,0))</f>
        <v>0.21108938961220114</v>
      </c>
      <c r="Y42" s="185"/>
    </row>
    <row r="43" spans="1:25" x14ac:dyDescent="0.2">
      <c r="A43" s="185"/>
      <c r="B43" s="273">
        <v>3</v>
      </c>
      <c r="C43" s="277" t="s">
        <v>18</v>
      </c>
      <c r="D43" s="278">
        <v>12</v>
      </c>
      <c r="E43" s="279" t="s">
        <v>151</v>
      </c>
      <c r="F43" s="266">
        <f ca="1">INDEX(OFFSET('Baseline NFPC'!$D$1:$W$1,$D43-1,0),MATCH(F$4,'Baseline NFPC'!$D$10:$W$10,0))</f>
        <v>1.7124649999999999</v>
      </c>
      <c r="G43" s="266">
        <f ca="1">INDEX(OFFSET('Baseline NFPC'!$D$1:$W$1,$D43-1,0),MATCH(G$4,'Baseline NFPC'!$D$10:$W$10,0))</f>
        <v>2.5288010000000001</v>
      </c>
      <c r="H43" s="266">
        <f ca="1">INDEX(OFFSET('Baseline NFPC'!$D$1:$W$1,$D43-1,0),MATCH(H$4,'Baseline NFPC'!$D$10:$W$10,0))</f>
        <v>2.5288010000000001</v>
      </c>
      <c r="I43" s="266">
        <f ca="1">INDEX(OFFSET('Baseline NFPC'!$D$1:$W$1,$D43-1,0),MATCH(I$4,'Baseline NFPC'!$D$10:$W$10,0))</f>
        <v>2.5288010000000001</v>
      </c>
      <c r="J43" s="266">
        <f ca="1">INDEX(OFFSET('Baseline NFPC'!$D$1:$W$1,$D43-1,0),MATCH(J$4,'Baseline NFPC'!$D$10:$W$10,0))</f>
        <v>2.5288010000000001</v>
      </c>
      <c r="K43" s="266">
        <f ca="1">INDEX(OFFSET('Baseline NFPC'!$D$1:$W$1,$D43-1,0),MATCH(K$4,'Baseline NFPC'!$D$10:$W$10,0))</f>
        <v>2.5288010000000001</v>
      </c>
      <c r="L43" s="266">
        <f ca="1">INDEX(OFFSET('Baseline NFPC'!$D$1:$W$1,$D43-1,0),MATCH(L$4,'Baseline NFPC'!$D$10:$W$10,0))</f>
        <v>2.5288010000000001</v>
      </c>
      <c r="M43" s="266">
        <f ca="1">INDEX(OFFSET('Baseline NFPC'!$D$1:$W$1,$D43-1,0),MATCH(M$4,'Baseline NFPC'!$D$10:$W$10,0))</f>
        <v>2.5288010000000001</v>
      </c>
      <c r="N43" s="266">
        <f ca="1">INDEX(OFFSET('Baseline NFPC'!$D$1:$W$1,$D43-1,0),MATCH(N$4,'Baseline NFPC'!$D$10:$W$10,0))</f>
        <v>2.5288010000000001</v>
      </c>
      <c r="O43" s="266">
        <f ca="1">INDEX(OFFSET('Baseline NFPC'!$D$1:$W$1,$D43-1,0),MATCH(O$4,'Baseline NFPC'!$D$10:$W$10,0))</f>
        <v>2.5288010000000001</v>
      </c>
      <c r="P43" s="266">
        <f ca="1">INDEX(OFFSET('Baseline NFPC'!$D$1:$W$1,$D43-1,0),MATCH(P$4,'Baseline NFPC'!$D$10:$W$10,0))</f>
        <v>2.5288010000000001</v>
      </c>
      <c r="Q43" s="266">
        <f ca="1">INDEX(OFFSET('Baseline NFPC'!$D$1:$W$1,$D43-1,0),MATCH(Q$4,'Baseline NFPC'!$D$10:$W$10,0))</f>
        <v>2.5288010000000001</v>
      </c>
      <c r="R43" s="266">
        <f ca="1">INDEX(OFFSET('Baseline NFPC'!$D$1:$W$1,$D43-1,0),MATCH(R$4,'Baseline NFPC'!$D$10:$W$10,0))</f>
        <v>2.5288010000000001</v>
      </c>
      <c r="S43" s="266">
        <f ca="1">INDEX(OFFSET('Baseline NFPC'!$D$1:$W$1,$D43-1,0),MATCH(S$4,'Baseline NFPC'!$D$10:$W$10,0))</f>
        <v>2.5288010000000001</v>
      </c>
      <c r="T43" s="266">
        <f ca="1">INDEX(OFFSET('Baseline NFPC'!$D$1:$W$1,$D43-1,0),MATCH(T$4,'Baseline NFPC'!$D$10:$W$10,0))</f>
        <v>2.5288010000000001</v>
      </c>
      <c r="U43" s="266">
        <f ca="1">INDEX(OFFSET('Baseline NFPC'!$D$1:$W$1,$D43-1,0),MATCH(U$4,'Baseline NFPC'!$D$10:$W$10,0))</f>
        <v>2.5288010000000001</v>
      </c>
      <c r="V43" s="266">
        <f ca="1">INDEX(OFFSET('Baseline NFPC'!$D$1:$W$1,$D43-1,0),MATCH(V$4,'Baseline NFPC'!$D$10:$W$10,0))</f>
        <v>2.5288010000000001</v>
      </c>
      <c r="W43" s="266">
        <f ca="1">INDEX(OFFSET('Baseline NFPC'!$D$1:$W$1,$D43-1,0),MATCH(W$4,'Baseline NFPC'!$D$10:$W$10,0))</f>
        <v>2.5288010000000001</v>
      </c>
      <c r="X43" s="266">
        <f ca="1">INDEX(OFFSET('Baseline NFPC'!$D$1:$W$1,$D43-1,0),MATCH(X$4,'Baseline NFPC'!$D$10:$W$10,0))</f>
        <v>2.5288010000000001</v>
      </c>
      <c r="Y43" s="185"/>
    </row>
    <row r="44" spans="1:25" x14ac:dyDescent="0.2">
      <c r="A44" s="185"/>
      <c r="B44" s="273">
        <v>4</v>
      </c>
      <c r="C44" s="277" t="s">
        <v>152</v>
      </c>
      <c r="D44" s="278">
        <v>61</v>
      </c>
      <c r="E44" s="279" t="s">
        <v>151</v>
      </c>
      <c r="F44" s="266">
        <f ca="1">INDEX(OFFSET('Baseline NFPC'!$D$1:$W$1,$D44-1,0),MATCH(F$4,'Baseline NFPC'!$D$10:$W$10,0))</f>
        <v>-0.62869022653289608</v>
      </c>
      <c r="G44" s="266">
        <f ca="1">INDEX(OFFSET('Baseline NFPC'!$D$1:$W$1,$D44-1,0),MATCH(G$4,'Baseline NFPC'!$D$10:$W$10,0))</f>
        <v>0.58062381610688996</v>
      </c>
      <c r="H44" s="266">
        <f ca="1">INDEX(OFFSET('Baseline NFPC'!$D$1:$W$1,$D44-1,0),MATCH(H$4,'Baseline NFPC'!$D$10:$W$10,0))</f>
        <v>0.52665141850784858</v>
      </c>
      <c r="I44" s="266">
        <f ca="1">INDEX(OFFSET('Baseline NFPC'!$D$1:$W$1,$D44-1,0),MATCH(I$4,'Baseline NFPC'!$D$10:$W$10,0))</f>
        <v>0.35109820469169056</v>
      </c>
      <c r="J44" s="266">
        <f ca="1">INDEX(OFFSET('Baseline NFPC'!$D$1:$W$1,$D44-1,0),MATCH(J$4,'Baseline NFPC'!$D$10:$W$10,0))</f>
        <v>0.11703124496534133</v>
      </c>
      <c r="K44" s="266">
        <f ca="1">INDEX(OFFSET('Baseline NFPC'!$D$1:$W$1,$D44-1,0),MATCH(K$4,'Baseline NFPC'!$D$10:$W$10,0))</f>
        <v>-3.4308927479020923E-6</v>
      </c>
      <c r="L44" s="266">
        <f ca="1">INDEX(OFFSET('Baseline NFPC'!$D$1:$W$1,$D44-1,0),MATCH(L$4,'Baseline NFPC'!$D$10:$W$10,0))</f>
        <v>-2.9249032559963697E-6</v>
      </c>
      <c r="M44" s="266">
        <f ca="1">INDEX(OFFSET('Baseline NFPC'!$D$1:$W$1,$D44-1,0),MATCH(M$4,'Baseline NFPC'!$D$10:$W$10,0))</f>
        <v>-2.9249032675870978E-6</v>
      </c>
      <c r="N44" s="266">
        <f ca="1">INDEX(OFFSET('Baseline NFPC'!$D$1:$W$1,$D44-1,0),MATCH(N$4,'Baseline NFPC'!$D$10:$W$10,0))</f>
        <v>-3.9417592821777706E-6</v>
      </c>
      <c r="O44" s="266">
        <f ca="1">INDEX(OFFSET('Baseline NFPC'!$D$1:$W$1,$D44-1,0),MATCH(O$4,'Baseline NFPC'!$D$10:$W$10,0))</f>
        <v>-4.9616911631300557E-6</v>
      </c>
      <c r="P44" s="266">
        <f ca="1">INDEX(OFFSET('Baseline NFPC'!$D$1:$W$1,$D44-1,0),MATCH(P$4,'Baseline NFPC'!$D$10:$W$10,0))</f>
        <v>-4.449993689537024E-6</v>
      </c>
      <c r="Q44" s="266">
        <f ca="1">INDEX(OFFSET('Baseline NFPC'!$D$1:$W$1,$D44-1,0),MATCH(Q$4,'Baseline NFPC'!$D$10:$W$10,0))</f>
        <v>-4.9620071495670713E-6</v>
      </c>
      <c r="R44" s="266">
        <f ca="1">INDEX(OFFSET('Baseline NFPC'!$D$1:$W$1,$D44-1,0),MATCH(R$4,'Baseline NFPC'!$D$10:$W$10,0))</f>
        <v>-7.0113263726856449E-6</v>
      </c>
      <c r="S44" s="266">
        <f ca="1">INDEX(OFFSET('Baseline NFPC'!$D$1:$W$1,$D44-1,0),MATCH(S$4,'Baseline NFPC'!$D$10:$W$10,0))</f>
        <v>-5.9860332119132669E-6</v>
      </c>
      <c r="T44" s="266">
        <f ca="1">INDEX(OFFSET('Baseline NFPC'!$D$1:$W$1,$D44-1,0),MATCH(T$4,'Baseline NFPC'!$D$10:$W$10,0))</f>
        <v>-4.9607267449847116E-6</v>
      </c>
      <c r="U44" s="266">
        <f ca="1">INDEX(OFFSET('Baseline NFPC'!$D$1:$W$1,$D44-1,0),MATCH(U$4,'Baseline NFPC'!$D$10:$W$10,0))</f>
        <v>-5.9864232399231559E-6</v>
      </c>
      <c r="V44" s="266">
        <f ca="1">INDEX(OFFSET('Baseline NFPC'!$D$1:$W$1,$D44-1,0),MATCH(V$4,'Baseline NFPC'!$D$10:$W$10,0))</f>
        <v>-8.0388272426734627E-6</v>
      </c>
      <c r="W44" s="266">
        <f ca="1">INDEX(OFFSET('Baseline NFPC'!$D$1:$W$1,$D44-1,0),MATCH(W$4,'Baseline NFPC'!$D$10:$W$10,0))</f>
        <v>-9.5791319328686345E-6</v>
      </c>
      <c r="X44" s="266">
        <f ca="1">INDEX(OFFSET('Baseline NFPC'!$D$1:$W$1,$D44-1,0),MATCH(X$4,'Baseline NFPC'!$D$10:$W$10,0))</f>
        <v>-1.1634835004636912E-5</v>
      </c>
      <c r="Y44" s="185"/>
    </row>
    <row r="45" spans="1:25" x14ac:dyDescent="0.2">
      <c r="A45" s="185"/>
      <c r="B45" s="273">
        <v>5</v>
      </c>
      <c r="C45" s="277" t="s">
        <v>154</v>
      </c>
      <c r="D45" s="278">
        <v>67</v>
      </c>
      <c r="E45" s="279" t="s">
        <v>149</v>
      </c>
      <c r="F45" s="266">
        <f ca="1">INDEX(OFFSET('Baseline NFPC'!$D$1:$W$1,$D45-1,0),MATCH(F$4,'Baseline NFPC'!$D$10:$W$10,0))</f>
        <v>0.69073785654596631</v>
      </c>
      <c r="G45" s="266">
        <f ca="1">INDEX(OFFSET('Baseline NFPC'!$D$1:$W$1,$D45-1,0),MATCH(G$4,'Baseline NFPC'!$D$10:$W$10,0))</f>
        <v>0.69123349909402287</v>
      </c>
      <c r="H45" s="266">
        <f ca="1">INDEX(OFFSET('Baseline NFPC'!$D$1:$W$1,$D45-1,0),MATCH(H$4,'Baseline NFPC'!$D$10:$W$10,0))</f>
        <v>0.67917885337672257</v>
      </c>
      <c r="I45" s="266">
        <f ca="1">INDEX(OFFSET('Baseline NFPC'!$D$1:$W$1,$D45-1,0),MATCH(I$4,'Baseline NFPC'!$D$10:$W$10,0))</f>
        <v>0.70154421991019333</v>
      </c>
      <c r="J45" s="266">
        <f ca="1">INDEX(OFFSET('Baseline NFPC'!$D$1:$W$1,$D45-1,0),MATCH(J$4,'Baseline NFPC'!$D$10:$W$10,0))</f>
        <v>0.66142763321097497</v>
      </c>
      <c r="K45" s="266">
        <f ca="1">INDEX(OFFSET('Baseline NFPC'!$D$1:$W$1,$D45-1,0),MATCH(K$4,'Baseline NFPC'!$D$10:$W$10,0))</f>
        <v>0.61515047057150696</v>
      </c>
      <c r="L45" s="266">
        <f ca="1">INDEX(OFFSET('Baseline NFPC'!$D$1:$W$1,$D45-1,0),MATCH(L$4,'Baseline NFPC'!$D$10:$W$10,0))</f>
        <v>0.5731881359917923</v>
      </c>
      <c r="M45" s="266">
        <f ca="1">INDEX(OFFSET('Baseline NFPC'!$D$1:$W$1,$D45-1,0),MATCH(M$4,'Baseline NFPC'!$D$10:$W$10,0))</f>
        <v>0.53453570346195067</v>
      </c>
      <c r="N45" s="266">
        <f ca="1">INDEX(OFFSET('Baseline NFPC'!$D$1:$W$1,$D45-1,0),MATCH(N$4,'Baseline NFPC'!$D$10:$W$10,0))</f>
        <v>0.49582673346095119</v>
      </c>
      <c r="O45" s="266">
        <f ca="1">INDEX(OFFSET('Baseline NFPC'!$D$1:$W$1,$D45-1,0),MATCH(O$4,'Baseline NFPC'!$D$10:$W$10,0))</f>
        <v>0.46567579841963053</v>
      </c>
      <c r="P45" s="266">
        <f ca="1">INDEX(OFFSET('Baseline NFPC'!$D$1:$W$1,$D45-1,0),MATCH(P$4,'Baseline NFPC'!$D$10:$W$10,0))</f>
        <v>0.44071098404457215</v>
      </c>
      <c r="Q45" s="266">
        <f ca="1">INDEX(OFFSET('Baseline NFPC'!$D$1:$W$1,$D45-1,0),MATCH(Q$4,'Baseline NFPC'!$D$10:$W$10,0))</f>
        <v>0.4164581275138467</v>
      </c>
      <c r="R45" s="266">
        <f ca="1">INDEX(OFFSET('Baseline NFPC'!$D$1:$W$1,$D45-1,0),MATCH(R$4,'Baseline NFPC'!$D$10:$W$10,0))</f>
        <v>0.3865285670587526</v>
      </c>
      <c r="S45" s="266">
        <f ca="1">INDEX(OFFSET('Baseline NFPC'!$D$1:$W$1,$D45-1,0),MATCH(S$4,'Baseline NFPC'!$D$10:$W$10,0))</f>
        <v>0.35982940251499873</v>
      </c>
      <c r="T45" s="266">
        <f ca="1">INDEX(OFFSET('Baseline NFPC'!$D$1:$W$1,$D45-1,0),MATCH(T$4,'Baseline NFPC'!$D$10:$W$10,0))</f>
        <v>0.33406602753569337</v>
      </c>
      <c r="U45" s="266">
        <f ca="1">INDEX(OFFSET('Baseline NFPC'!$D$1:$W$1,$D45-1,0),MATCH(U$4,'Baseline NFPC'!$D$10:$W$10,0))</f>
        <v>0.31245549146477264</v>
      </c>
      <c r="V45" s="266">
        <f ca="1">INDEX(OFFSET('Baseline NFPC'!$D$1:$W$1,$D45-1,0),MATCH(V$4,'Baseline NFPC'!$D$10:$W$10,0))</f>
        <v>0.29211383001394919</v>
      </c>
      <c r="W45" s="266">
        <f ca="1">INDEX(OFFSET('Baseline NFPC'!$D$1:$W$1,$D45-1,0),MATCH(W$4,'Baseline NFPC'!$D$10:$W$10,0))</f>
        <v>0.27510277576772746</v>
      </c>
      <c r="X45" s="266">
        <f ca="1">INDEX(OFFSET('Baseline NFPC'!$D$1:$W$1,$D45-1,0),MATCH(X$4,'Baseline NFPC'!$D$10:$W$10,0))</f>
        <v>0.26193274522280446</v>
      </c>
      <c r="Y45" s="185"/>
    </row>
    <row r="46" spans="1:25" x14ac:dyDescent="0.2">
      <c r="A46" s="185"/>
      <c r="B46" s="273">
        <v>6</v>
      </c>
      <c r="C46" s="280" t="s">
        <v>66</v>
      </c>
      <c r="D46" s="278">
        <v>36</v>
      </c>
      <c r="E46" s="279" t="s">
        <v>155</v>
      </c>
      <c r="F46" s="266">
        <f ca="1">INDEX(OFFSET('Baseline NFPC'!$D$1:$W$1,$D46-1,0),MATCH(F$4,'Baseline NFPC'!$D$10:$W$10,0))</f>
        <v>2.87</v>
      </c>
      <c r="G46" s="266">
        <f ca="1">INDEX(OFFSET('Baseline NFPC'!$D$1:$W$1,$D46-1,0),MATCH(G$4,'Baseline NFPC'!$D$10:$W$10,0))</f>
        <v>2.837221</v>
      </c>
      <c r="H46" s="266">
        <f ca="1">INDEX(OFFSET('Baseline NFPC'!$D$1:$W$1,$D46-1,0),MATCH(H$4,'Baseline NFPC'!$D$10:$W$10,0))</f>
        <v>2.9036849999999998</v>
      </c>
      <c r="I46" s="266">
        <f ca="1">INDEX(OFFSET('Baseline NFPC'!$D$1:$W$1,$D46-1,0),MATCH(I$4,'Baseline NFPC'!$D$10:$W$10,0))</f>
        <v>2.9987318749999998</v>
      </c>
      <c r="J46" s="266">
        <f ca="1">INDEX(OFFSET('Baseline NFPC'!$D$1:$W$1,$D46-1,0),MATCH(J$4,'Baseline NFPC'!$D$10:$W$10,0))</f>
        <v>3.0937787499999998</v>
      </c>
      <c r="K46" s="266">
        <f ca="1">INDEX(OFFSET('Baseline NFPC'!$D$1:$W$1,$D46-1,0),MATCH(K$4,'Baseline NFPC'!$D$10:$W$10,0))</f>
        <v>3.1888256249999998</v>
      </c>
      <c r="L46" s="266">
        <f ca="1">INDEX(OFFSET('Baseline NFPC'!$D$1:$W$1,$D46-1,0),MATCH(L$4,'Baseline NFPC'!$D$10:$W$10,0))</f>
        <v>3.2838724999999998</v>
      </c>
      <c r="M46" s="266">
        <f ca="1">INDEX(OFFSET('Baseline NFPC'!$D$1:$W$1,$D46-1,0),MATCH(M$4,'Baseline NFPC'!$D$10:$W$10,0))</f>
        <v>3.3789193749999997</v>
      </c>
      <c r="N46" s="266">
        <f ca="1">INDEX(OFFSET('Baseline NFPC'!$D$1:$W$1,$D46-1,0),MATCH(N$4,'Baseline NFPC'!$D$10:$W$10,0))</f>
        <v>3.4739662499999997</v>
      </c>
      <c r="O46" s="266">
        <f ca="1">INDEX(OFFSET('Baseline NFPC'!$D$1:$W$1,$D46-1,0),MATCH(O$4,'Baseline NFPC'!$D$10:$W$10,0))</f>
        <v>3.5690131249999997</v>
      </c>
      <c r="P46" s="266">
        <f ca="1">INDEX(OFFSET('Baseline NFPC'!$D$1:$W$1,$D46-1,0),MATCH(P$4,'Baseline NFPC'!$D$10:$W$10,0))</f>
        <v>3.6640600000000001</v>
      </c>
      <c r="Q46" s="266">
        <f ca="1">INDEX(OFFSET('Baseline NFPC'!$D$1:$W$1,$D46-1,0),MATCH(Q$4,'Baseline NFPC'!$D$10:$W$10,0))</f>
        <v>3.680857</v>
      </c>
      <c r="R46" s="266">
        <f ca="1">INDEX(OFFSET('Baseline NFPC'!$D$1:$W$1,$D46-1,0),MATCH(R$4,'Baseline NFPC'!$D$10:$W$10,0))</f>
        <v>3.697654</v>
      </c>
      <c r="S46" s="266">
        <f ca="1">INDEX(OFFSET('Baseline NFPC'!$D$1:$W$1,$D46-1,0),MATCH(S$4,'Baseline NFPC'!$D$10:$W$10,0))</f>
        <v>3.7144509999999999</v>
      </c>
      <c r="T46" s="266">
        <f ca="1">INDEX(OFFSET('Baseline NFPC'!$D$1:$W$1,$D46-1,0),MATCH(T$4,'Baseline NFPC'!$D$10:$W$10,0))</f>
        <v>3.7312479999999999</v>
      </c>
      <c r="U46" s="266">
        <f ca="1">INDEX(OFFSET('Baseline NFPC'!$D$1:$W$1,$D46-1,0),MATCH(U$4,'Baseline NFPC'!$D$10:$W$10,0))</f>
        <v>3.7480450000000003</v>
      </c>
      <c r="V46" s="266">
        <f ca="1">INDEX(OFFSET('Baseline NFPC'!$D$1:$W$1,$D46-1,0),MATCH(V$4,'Baseline NFPC'!$D$10:$W$10,0))</f>
        <v>3.7648420000000002</v>
      </c>
      <c r="W46" s="266">
        <f ca="1">INDEX(OFFSET('Baseline NFPC'!$D$1:$W$1,$D46-1,0),MATCH(W$4,'Baseline NFPC'!$D$10:$W$10,0))</f>
        <v>3.7816390000000002</v>
      </c>
      <c r="X46" s="266">
        <f ca="1">INDEX(OFFSET('Baseline NFPC'!$D$1:$W$1,$D46-1,0),MATCH(X$4,'Baseline NFPC'!$D$10:$W$10,0))</f>
        <v>3.7984360000000001</v>
      </c>
      <c r="Y46" s="185"/>
    </row>
    <row r="47" spans="1:25" x14ac:dyDescent="0.2">
      <c r="A47" s="185"/>
      <c r="B47" s="273">
        <v>7</v>
      </c>
      <c r="C47" s="280" t="s">
        <v>67</v>
      </c>
      <c r="D47" s="278">
        <v>37</v>
      </c>
      <c r="E47" s="279" t="s">
        <v>155</v>
      </c>
      <c r="F47" s="266">
        <f ca="1">INDEX(OFFSET('Baseline NFPC'!$D$1:$W$1,$D47-1,0),MATCH(F$4,'Baseline NFPC'!$D$10:$W$10,0))</f>
        <v>3.43</v>
      </c>
      <c r="G47" s="266">
        <f ca="1">INDEX(OFFSET('Baseline NFPC'!$D$1:$W$1,$D47-1,0),MATCH(G$4,'Baseline NFPC'!$D$10:$W$10,0))</f>
        <v>3.5642079999999998</v>
      </c>
      <c r="H47" s="266">
        <f ca="1">INDEX(OFFSET('Baseline NFPC'!$D$1:$W$1,$D47-1,0),MATCH(H$4,'Baseline NFPC'!$D$10:$W$10,0))</f>
        <v>2.8163749999999999</v>
      </c>
      <c r="I47" s="266">
        <f ca="1">INDEX(OFFSET('Baseline NFPC'!$D$1:$W$1,$D47-1,0),MATCH(I$4,'Baseline NFPC'!$D$10:$W$10,0))</f>
        <v>2.8050893749999997</v>
      </c>
      <c r="J47" s="266">
        <f ca="1">INDEX(OFFSET('Baseline NFPC'!$D$1:$W$1,$D47-1,0),MATCH(J$4,'Baseline NFPC'!$D$10:$W$10,0))</f>
        <v>2.7938037499999995</v>
      </c>
      <c r="K47" s="266">
        <f ca="1">INDEX(OFFSET('Baseline NFPC'!$D$1:$W$1,$D47-1,0),MATCH(K$4,'Baseline NFPC'!$D$10:$W$10,0))</f>
        <v>2.7825181249999993</v>
      </c>
      <c r="L47" s="266">
        <f ca="1">INDEX(OFFSET('Baseline NFPC'!$D$1:$W$1,$D47-1,0),MATCH(L$4,'Baseline NFPC'!$D$10:$W$10,0))</f>
        <v>2.7712324999999991</v>
      </c>
      <c r="M47" s="266">
        <f ca="1">INDEX(OFFSET('Baseline NFPC'!$D$1:$W$1,$D47-1,0),MATCH(M$4,'Baseline NFPC'!$D$10:$W$10,0))</f>
        <v>2.7599468749999989</v>
      </c>
      <c r="N47" s="266">
        <f ca="1">INDEX(OFFSET('Baseline NFPC'!$D$1:$W$1,$D47-1,0),MATCH(N$4,'Baseline NFPC'!$D$10:$W$10,0))</f>
        <v>2.7486612499999987</v>
      </c>
      <c r="O47" s="266">
        <f ca="1">INDEX(OFFSET('Baseline NFPC'!$D$1:$W$1,$D47-1,0),MATCH(O$4,'Baseline NFPC'!$D$10:$W$10,0))</f>
        <v>2.7373756249999985</v>
      </c>
      <c r="P47" s="266">
        <f ca="1">INDEX(OFFSET('Baseline NFPC'!$D$1:$W$1,$D47-1,0),MATCH(P$4,'Baseline NFPC'!$D$10:$W$10,0))</f>
        <v>2.7260900000000001</v>
      </c>
      <c r="Q47" s="266">
        <f ca="1">INDEX(OFFSET('Baseline NFPC'!$D$1:$W$1,$D47-1,0),MATCH(Q$4,'Baseline NFPC'!$D$10:$W$10,0))</f>
        <v>2.6897855000000002</v>
      </c>
      <c r="R47" s="266">
        <f ca="1">INDEX(OFFSET('Baseline NFPC'!$D$1:$W$1,$D47-1,0),MATCH(R$4,'Baseline NFPC'!$D$10:$W$10,0))</f>
        <v>2.6534810000000002</v>
      </c>
      <c r="S47" s="266">
        <f ca="1">INDEX(OFFSET('Baseline NFPC'!$D$1:$W$1,$D47-1,0),MATCH(S$4,'Baseline NFPC'!$D$10:$W$10,0))</f>
        <v>2.6171765000000002</v>
      </c>
      <c r="T47" s="266">
        <f ca="1">INDEX(OFFSET('Baseline NFPC'!$D$1:$W$1,$D47-1,0),MATCH(T$4,'Baseline NFPC'!$D$10:$W$10,0))</f>
        <v>2.5808720000000003</v>
      </c>
      <c r="U47" s="266">
        <f ca="1">INDEX(OFFSET('Baseline NFPC'!$D$1:$W$1,$D47-1,0),MATCH(U$4,'Baseline NFPC'!$D$10:$W$10,0))</f>
        <v>2.5445675000000003</v>
      </c>
      <c r="V47" s="266">
        <f ca="1">INDEX(OFFSET('Baseline NFPC'!$D$1:$W$1,$D47-1,0),MATCH(V$4,'Baseline NFPC'!$D$10:$W$10,0))</f>
        <v>2.5082629999999999</v>
      </c>
      <c r="W47" s="266">
        <f ca="1">INDEX(OFFSET('Baseline NFPC'!$D$1:$W$1,$D47-1,0),MATCH(W$4,'Baseline NFPC'!$D$10:$W$10,0))</f>
        <v>2.4719584999999999</v>
      </c>
      <c r="X47" s="266">
        <f ca="1">INDEX(OFFSET('Baseline NFPC'!$D$1:$W$1,$D47-1,0),MATCH(X$4,'Baseline NFPC'!$D$10:$W$10,0))</f>
        <v>2.435654</v>
      </c>
      <c r="Y47" s="185"/>
    </row>
    <row r="48" spans="1:25" x14ac:dyDescent="0.2">
      <c r="A48" s="185"/>
      <c r="B48" s="273">
        <v>8</v>
      </c>
      <c r="C48" s="277" t="s">
        <v>156</v>
      </c>
      <c r="D48" s="278">
        <v>35</v>
      </c>
      <c r="E48" s="279" t="s">
        <v>155</v>
      </c>
      <c r="F48" s="266">
        <f ca="1">INDEX(OFFSET('Baseline NFPC'!$D$1:$W$1,$D48-1,0),MATCH(F$4,'Baseline NFPC'!$D$10:$W$10,0))</f>
        <v>1.550894</v>
      </c>
      <c r="G48" s="266">
        <f ca="1">INDEX(OFFSET('Baseline NFPC'!$D$1:$W$1,$D48-1,0),MATCH(G$4,'Baseline NFPC'!$D$10:$W$10,0))</f>
        <v>1.641526</v>
      </c>
      <c r="H48" s="266">
        <f ca="1">INDEX(OFFSET('Baseline NFPC'!$D$1:$W$1,$D48-1,0),MATCH(H$4,'Baseline NFPC'!$D$10:$W$10,0))</f>
        <v>1.6843859999999999</v>
      </c>
      <c r="I48" s="266">
        <f ca="1">INDEX(OFFSET('Baseline NFPC'!$D$1:$W$1,$D48-1,0),MATCH(I$4,'Baseline NFPC'!$D$10:$W$10,0))</f>
        <v>1.7995764140165587</v>
      </c>
      <c r="J48" s="266">
        <f ca="1">INDEX(OFFSET('Baseline NFPC'!$D$1:$W$1,$D48-1,0),MATCH(J$4,'Baseline NFPC'!$D$10:$W$10,0))</f>
        <v>1.8573200643695291</v>
      </c>
      <c r="K48" s="266">
        <f ca="1">INDEX(OFFSET('Baseline NFPC'!$D$1:$W$1,$D48-1,0),MATCH(K$4,'Baseline NFPC'!$D$10:$W$10,0))</f>
        <v>1.8994082462470563</v>
      </c>
      <c r="L48" s="266">
        <f ca="1">INDEX(OFFSET('Baseline NFPC'!$D$1:$W$1,$D48-1,0),MATCH(L$4,'Baseline NFPC'!$D$10:$W$10,0))</f>
        <v>1.9496329179084986</v>
      </c>
      <c r="M48" s="266">
        <f ca="1">INDEX(OFFSET('Baseline NFPC'!$D$1:$W$1,$D48-1,0),MATCH(M$4,'Baseline NFPC'!$D$10:$W$10,0))</f>
        <v>2.0061123852224405</v>
      </c>
      <c r="N48" s="266">
        <f ca="1">INDEX(OFFSET('Baseline NFPC'!$D$1:$W$1,$D48-1,0),MATCH(N$4,'Baseline NFPC'!$D$10:$W$10,0))</f>
        <v>2.0541018350825628</v>
      </c>
      <c r="O48" s="266">
        <f ca="1">INDEX(OFFSET('Baseline NFPC'!$D$1:$W$1,$D48-1,0),MATCH(O$4,'Baseline NFPC'!$D$10:$W$10,0))</f>
        <v>2.1281077422173191</v>
      </c>
      <c r="P48" s="266">
        <f ca="1">INDEX(OFFSET('Baseline NFPC'!$D$1:$W$1,$D48-1,0),MATCH(P$4,'Baseline NFPC'!$D$10:$W$10,0))</f>
        <v>2.2116500516992974</v>
      </c>
      <c r="Q48" s="266">
        <f ca="1">INDEX(OFFSET('Baseline NFPC'!$D$1:$W$1,$D48-1,0),MATCH(Q$4,'Baseline NFPC'!$D$10:$W$10,0))</f>
        <v>2.298009783976446</v>
      </c>
      <c r="R48" s="266">
        <f ca="1">INDEX(OFFSET('Baseline NFPC'!$D$1:$W$1,$D48-1,0),MATCH(R$4,'Baseline NFPC'!$D$10:$W$10,0))</f>
        <v>2.3418209617953583</v>
      </c>
      <c r="S48" s="266">
        <f ca="1">INDEX(OFFSET('Baseline NFPC'!$D$1:$W$1,$D48-1,0),MATCH(S$4,'Baseline NFPC'!$D$10:$W$10,0))</f>
        <v>2.3905684622679404</v>
      </c>
      <c r="T48" s="266">
        <f ca="1">INDEX(OFFSET('Baseline NFPC'!$D$1:$W$1,$D48-1,0),MATCH(T$4,'Baseline NFPC'!$D$10:$W$10,0))</f>
        <v>2.4273747900897908</v>
      </c>
      <c r="U48" s="266">
        <f ca="1">INDEX(OFFSET('Baseline NFPC'!$D$1:$W$1,$D48-1,0),MATCH(U$4,'Baseline NFPC'!$D$10:$W$10,0))</f>
        <v>2.4697908695727695</v>
      </c>
      <c r="V48" s="266">
        <f ca="1">INDEX(OFFSET('Baseline NFPC'!$D$1:$W$1,$D48-1,0),MATCH(V$4,'Baseline NFPC'!$D$10:$W$10,0))</f>
        <v>2.5110695239383469</v>
      </c>
      <c r="W48" s="266">
        <f ca="1">INDEX(OFFSET('Baseline NFPC'!$D$1:$W$1,$D48-1,0),MATCH(W$4,'Baseline NFPC'!$D$10:$W$10,0))</f>
        <v>2.5575263777014441</v>
      </c>
      <c r="X48" s="266">
        <f ca="1">INDEX(OFFSET('Baseline NFPC'!$D$1:$W$1,$D48-1,0),MATCH(X$4,'Baseline NFPC'!$D$10:$W$10,0))</f>
        <v>2.6116148434909436</v>
      </c>
      <c r="Y48" s="185"/>
    </row>
    <row r="49" spans="1:25" x14ac:dyDescent="0.2">
      <c r="A49" s="185"/>
      <c r="B49" s="273">
        <v>9</v>
      </c>
      <c r="C49" s="281" t="s">
        <v>40</v>
      </c>
      <c r="D49" s="278">
        <v>26</v>
      </c>
      <c r="E49" s="279" t="s">
        <v>158</v>
      </c>
      <c r="F49" s="266">
        <f ca="1">(INDEX(OFFSET('Baseline NFPC'!$D$1:$W$1,$D49-1,0),MATCH(F$4,'Baseline NFPC'!$D$10:$W$10,0))/INDEX(OFFSET('Baseline NFPC'!$D$1:$W$1,$D49-1,0),MATCH(E$4,'Baseline NFPC'!$D$10:$W$10,0))-1)*100</f>
        <v>4.3335239999999997</v>
      </c>
      <c r="G49" s="266">
        <f ca="1">(INDEX(OFFSET('Baseline NFPC'!$D$1:$W$1,$D49-1,0),MATCH(G$4,'Baseline NFPC'!$D$10:$W$10,0))/INDEX(OFFSET('Baseline NFPC'!$D$1:$W$1,$D49-1,0),MATCH(F$4,'Baseline NFPC'!$D$10:$W$10,0))-1)*100</f>
        <v>3.6155909999999958</v>
      </c>
      <c r="H49" s="266">
        <f ca="1">(INDEX(OFFSET('Baseline NFPC'!$D$1:$W$1,$D49-1,0),MATCH(H$4,'Baseline NFPC'!$D$10:$W$10,0))/INDEX(OFFSET('Baseline NFPC'!$D$1:$W$1,$D49-1,0),MATCH(G$4,'Baseline NFPC'!$D$10:$W$10,0))-1)*100</f>
        <v>3.2858119999999991</v>
      </c>
      <c r="I49" s="266">
        <f ca="1">(INDEX(OFFSET('Baseline NFPC'!$D$1:$W$1,$D49-1,0),MATCH(I$4,'Baseline NFPC'!$D$10:$W$10,0))/INDEX(OFFSET('Baseline NFPC'!$D$1:$W$1,$D49-1,0),MATCH(H$4,'Baseline NFPC'!$D$10:$W$10,0))-1)*100</f>
        <v>3.394844000000008</v>
      </c>
      <c r="J49" s="266">
        <f ca="1">(INDEX(OFFSET('Baseline NFPC'!$D$1:$W$1,$D49-1,0),MATCH(J$4,'Baseline NFPC'!$D$10:$W$10,0))/INDEX(OFFSET('Baseline NFPC'!$D$1:$W$1,$D49-1,0),MATCH(I$4,'Baseline NFPC'!$D$10:$W$10,0))-1)*100</f>
        <v>3.3358690000000024</v>
      </c>
      <c r="K49" s="266">
        <f ca="1">(INDEX(OFFSET('Baseline NFPC'!$D$1:$W$1,$D49-1,0),MATCH(K$4,'Baseline NFPC'!$D$10:$W$10,0))/INDEX(OFFSET('Baseline NFPC'!$D$1:$W$1,$D49-1,0),MATCH(J$4,'Baseline NFPC'!$D$10:$W$10,0))-1)*100</f>
        <v>3.3451609999999965</v>
      </c>
      <c r="L49" s="266">
        <f ca="1">(INDEX(OFFSET('Baseline NFPC'!$D$1:$W$1,$D49-1,0),MATCH(L$4,'Baseline NFPC'!$D$10:$W$10,0))/INDEX(OFFSET('Baseline NFPC'!$D$1:$W$1,$D49-1,0),MATCH(K$4,'Baseline NFPC'!$D$10:$W$10,0))-1)*100</f>
        <v>3.1642050000000088</v>
      </c>
      <c r="M49" s="266">
        <f ca="1">(INDEX(OFFSET('Baseline NFPC'!$D$1:$W$1,$D49-1,0),MATCH(M$4,'Baseline NFPC'!$D$10:$W$10,0))/INDEX(OFFSET('Baseline NFPC'!$D$1:$W$1,$D49-1,0),MATCH(L$4,'Baseline NFPC'!$D$10:$W$10,0))-1)*100</f>
        <v>2.9380139999999999</v>
      </c>
      <c r="N49" s="266">
        <f ca="1">(INDEX(OFFSET('Baseline NFPC'!$D$1:$W$1,$D49-1,0),MATCH(N$4,'Baseline NFPC'!$D$10:$W$10,0))/INDEX(OFFSET('Baseline NFPC'!$D$1:$W$1,$D49-1,0),MATCH(M$4,'Baseline NFPC'!$D$10:$W$10,0))-1)*100</f>
        <v>2.6694089999999893</v>
      </c>
      <c r="O49" s="266">
        <f ca="1">(INDEX(OFFSET('Baseline NFPC'!$D$1:$W$1,$D49-1,0),MATCH(O$4,'Baseline NFPC'!$D$10:$W$10,0))/INDEX(OFFSET('Baseline NFPC'!$D$1:$W$1,$D49-1,0),MATCH(N$4,'Baseline NFPC'!$D$10:$W$10,0))-1)*100</f>
        <v>2.3597840000000092</v>
      </c>
      <c r="P49" s="266">
        <f ca="1">(INDEX(OFFSET('Baseline NFPC'!$D$1:$W$1,$D49-1,0),MATCH(P$4,'Baseline NFPC'!$D$10:$W$10,0))/INDEX(OFFSET('Baseline NFPC'!$D$1:$W$1,$D49-1,0),MATCH(O$4,'Baseline NFPC'!$D$10:$W$10,0))-1)*100</f>
        <v>2.0134099999999933</v>
      </c>
      <c r="Q49" s="266">
        <f ca="1">(INDEX(OFFSET('Baseline NFPC'!$D$1:$W$1,$D49-1,0),MATCH(Q$4,'Baseline NFPC'!$D$10:$W$10,0))/INDEX(OFFSET('Baseline NFPC'!$D$1:$W$1,$D49-1,0),MATCH(P$4,'Baseline NFPC'!$D$10:$W$10,0))-1)*100</f>
        <v>1.9504559999999893</v>
      </c>
      <c r="R49" s="266">
        <f ca="1">(INDEX(OFFSET('Baseline NFPC'!$D$1:$W$1,$D49-1,0),MATCH(R$4,'Baseline NFPC'!$D$10:$W$10,0))/INDEX(OFFSET('Baseline NFPC'!$D$1:$W$1,$D49-1,0),MATCH(Q$4,'Baseline NFPC'!$D$10:$W$10,0))-1)*100</f>
        <v>1.8875030000000015</v>
      </c>
      <c r="S49" s="266">
        <f ca="1">(INDEX(OFFSET('Baseline NFPC'!$D$1:$W$1,$D49-1,0),MATCH(S$4,'Baseline NFPC'!$D$10:$W$10,0))/INDEX(OFFSET('Baseline NFPC'!$D$1:$W$1,$D49-1,0),MATCH(R$4,'Baseline NFPC'!$D$10:$W$10,0))-1)*100</f>
        <v>1.8245489999999975</v>
      </c>
      <c r="T49" s="266">
        <f ca="1">(INDEX(OFFSET('Baseline NFPC'!$D$1:$W$1,$D49-1,0),MATCH(T$4,'Baseline NFPC'!$D$10:$W$10,0))/INDEX(OFFSET('Baseline NFPC'!$D$1:$W$1,$D49-1,0),MATCH(S$4,'Baseline NFPC'!$D$10:$W$10,0))-1)*100</f>
        <v>1.823226</v>
      </c>
      <c r="U49" s="266">
        <f ca="1">(INDEX(OFFSET('Baseline NFPC'!$D$1:$W$1,$D49-1,0),MATCH(U$4,'Baseline NFPC'!$D$10:$W$10,0))/INDEX(OFFSET('Baseline NFPC'!$D$1:$W$1,$D49-1,0),MATCH(T$4,'Baseline NFPC'!$D$10:$W$10,0))-1)*100</f>
        <v>1.784504000000009</v>
      </c>
      <c r="V49" s="266">
        <f ca="1">(INDEX(OFFSET('Baseline NFPC'!$D$1:$W$1,$D49-1,0),MATCH(V$4,'Baseline NFPC'!$D$10:$W$10,0))/INDEX(OFFSET('Baseline NFPC'!$D$1:$W$1,$D49-1,0),MATCH(U$4,'Baseline NFPC'!$D$10:$W$10,0))-1)*100</f>
        <v>1.7343679999999972</v>
      </c>
      <c r="W49" s="266">
        <f ca="1">(INDEX(OFFSET('Baseline NFPC'!$D$1:$W$1,$D49-1,0),MATCH(W$4,'Baseline NFPC'!$D$10:$W$10,0))/INDEX(OFFSET('Baseline NFPC'!$D$1:$W$1,$D49-1,0),MATCH(V$4,'Baseline NFPC'!$D$10:$W$10,0))-1)*100</f>
        <v>1.6682110000000083</v>
      </c>
      <c r="X49" s="266">
        <f ca="1">(INDEX(OFFSET('Baseline NFPC'!$D$1:$W$1,$D49-1,0),MATCH(X$4,'Baseline NFPC'!$D$10:$W$10,0))/INDEX(OFFSET('Baseline NFPC'!$D$1:$W$1,$D49-1,0),MATCH(W$4,'Baseline NFPC'!$D$10:$W$10,0))-1)*100</f>
        <v>1.5711079999999988</v>
      </c>
      <c r="Y49" s="185"/>
    </row>
    <row r="50" spans="1:25" x14ac:dyDescent="0.2">
      <c r="A50" s="185"/>
      <c r="B50" s="273">
        <v>10</v>
      </c>
      <c r="C50" s="269" t="s">
        <v>159</v>
      </c>
      <c r="D50" s="278">
        <v>23</v>
      </c>
      <c r="E50" s="279" t="s">
        <v>158</v>
      </c>
      <c r="F50" s="266">
        <f ca="1">INDEX(OFFSET('Baseline NFPC'!$D$1:$W$1,$D50-1,0),MATCH(F$4,'Baseline NFPC'!$D$10:$W$10,0))</f>
        <v>-3.198788</v>
      </c>
      <c r="G50" s="266">
        <f ca="1">INDEX(OFFSET('Baseline NFPC'!$D$1:$W$1,$D50-1,0),MATCH(G$4,'Baseline NFPC'!$D$10:$W$10,0))</f>
        <v>1.2437020000000001</v>
      </c>
      <c r="H50" s="266">
        <f ca="1">INDEX(OFFSET('Baseline NFPC'!$D$1:$W$1,$D50-1,0),MATCH(H$4,'Baseline NFPC'!$D$10:$W$10,0))</f>
        <v>3.3938060000000001</v>
      </c>
      <c r="I50" s="266">
        <f ca="1">INDEX(OFFSET('Baseline NFPC'!$D$1:$W$1,$D50-1,0),MATCH(I$4,'Baseline NFPC'!$D$10:$W$10,0))</f>
        <v>3.7461140000000004</v>
      </c>
      <c r="J50" s="266">
        <f ca="1">INDEX(OFFSET('Baseline NFPC'!$D$1:$W$1,$D50-1,0),MATCH(J$4,'Baseline NFPC'!$D$10:$W$10,0))</f>
        <v>3.8023689999999943</v>
      </c>
      <c r="K50" s="266">
        <f ca="1">INDEX(OFFSET('Baseline NFPC'!$D$1:$W$1,$D50-1,0),MATCH(K$4,'Baseline NFPC'!$D$10:$W$10,0))</f>
        <v>3.5773859999999935</v>
      </c>
      <c r="L50" s="266">
        <f ca="1">INDEX(OFFSET('Baseline NFPC'!$D$1:$W$1,$D50-1,0),MATCH(L$4,'Baseline NFPC'!$D$10:$W$10,0))</f>
        <v>3.1642039999999927</v>
      </c>
      <c r="M50" s="266">
        <f ca="1">INDEX(OFFSET('Baseline NFPC'!$D$1:$W$1,$D50-1,0),MATCH(M$4,'Baseline NFPC'!$D$10:$W$10,0))</f>
        <v>2.9380139999999999</v>
      </c>
      <c r="N50" s="266">
        <f ca="1">INDEX(OFFSET('Baseline NFPC'!$D$1:$W$1,$D50-1,0),MATCH(N$4,'Baseline NFPC'!$D$10:$W$10,0))</f>
        <v>2.6694109999999993</v>
      </c>
      <c r="O50" s="266">
        <f ca="1">INDEX(OFFSET('Baseline NFPC'!$D$1:$W$1,$D50-1,0),MATCH(O$4,'Baseline NFPC'!$D$10:$W$10,0))</f>
        <v>2.3597859999999971</v>
      </c>
      <c r="P50" s="266">
        <f ca="1">INDEX(OFFSET('Baseline NFPC'!$D$1:$W$1,$D50-1,0),MATCH(P$4,'Baseline NFPC'!$D$10:$W$10,0))</f>
        <v>2.0134089999999993</v>
      </c>
      <c r="Q50" s="266">
        <f ca="1">INDEX(OFFSET('Baseline NFPC'!$D$1:$W$1,$D50-1,0),MATCH(Q$4,'Baseline NFPC'!$D$10:$W$10,0))</f>
        <v>1.9504570000000054</v>
      </c>
      <c r="R50" s="266">
        <f ca="1">INDEX(OFFSET('Baseline NFPC'!$D$1:$W$1,$D50-1,0),MATCH(R$4,'Baseline NFPC'!$D$10:$W$10,0))</f>
        <v>1.8875069999999994</v>
      </c>
      <c r="S50" s="266">
        <f ca="1">INDEX(OFFSET('Baseline NFPC'!$D$1:$W$1,$D50-1,0),MATCH(S$4,'Baseline NFPC'!$D$10:$W$10,0))</f>
        <v>1.8245470000000097</v>
      </c>
      <c r="T50" s="266">
        <f ca="1">INDEX(OFFSET('Baseline NFPC'!$D$1:$W$1,$D50-1,0),MATCH(T$4,'Baseline NFPC'!$D$10:$W$10,0))</f>
        <v>1.82322399999999</v>
      </c>
      <c r="U50" s="266">
        <f ca="1">INDEX(OFFSET('Baseline NFPC'!$D$1:$W$1,$D50-1,0),MATCH(U$4,'Baseline NFPC'!$D$10:$W$10,0))</f>
        <v>1.7845059999999968</v>
      </c>
      <c r="V50" s="266">
        <f ca="1">INDEX(OFFSET('Baseline NFPC'!$D$1:$W$1,$D50-1,0),MATCH(V$4,'Baseline NFPC'!$D$10:$W$10,0))</f>
        <v>1.7343719999999951</v>
      </c>
      <c r="W50" s="266">
        <f ca="1">INDEX(OFFSET('Baseline NFPC'!$D$1:$W$1,$D50-1,0),MATCH(W$4,'Baseline NFPC'!$D$10:$W$10,0))</f>
        <v>1.6682139999999901</v>
      </c>
      <c r="X50" s="266">
        <f ca="1">INDEX(OFFSET('Baseline NFPC'!$D$1:$W$1,$D50-1,0),MATCH(X$4,'Baseline NFPC'!$D$10:$W$10,0))</f>
        <v>1.5711119999999967</v>
      </c>
      <c r="Y50" s="185"/>
    </row>
    <row r="51" spans="1:25" x14ac:dyDescent="0.2">
      <c r="A51" s="185"/>
      <c r="B51" s="273">
        <v>11</v>
      </c>
      <c r="C51" s="282" t="s">
        <v>160</v>
      </c>
      <c r="D51" s="278">
        <v>41</v>
      </c>
      <c r="E51" s="279" t="s">
        <v>158</v>
      </c>
      <c r="F51" s="266">
        <f ca="1">INDEX(OFFSET('Baseline NFPC'!$D$1:$W$1,$D51-1,0),MATCH(F$4,'Baseline NFPC'!$D$10:$W$10,0))</f>
        <v>2.965217</v>
      </c>
      <c r="G51" s="266">
        <f ca="1">INDEX(OFFSET('Baseline NFPC'!$D$1:$W$1,$D51-1,0),MATCH(G$4,'Baseline NFPC'!$D$10:$W$10,0))</f>
        <v>2.5743459999999998</v>
      </c>
      <c r="H51" s="266">
        <f ca="1">INDEX(OFFSET('Baseline NFPC'!$D$1:$W$1,$D51-1,0),MATCH(H$4,'Baseline NFPC'!$D$10:$W$10,0))</f>
        <v>1.9148970000000001</v>
      </c>
      <c r="I51" s="266">
        <f ca="1">INDEX(OFFSET('Baseline NFPC'!$D$1:$W$1,$D51-1,0),MATCH(I$4,'Baseline NFPC'!$D$10:$W$10,0))</f>
        <v>1.994284875</v>
      </c>
      <c r="J51" s="266">
        <f ca="1">INDEX(OFFSET('Baseline NFPC'!$D$1:$W$1,$D51-1,0),MATCH(J$4,'Baseline NFPC'!$D$10:$W$10,0))</f>
        <v>2.0736727500000001</v>
      </c>
      <c r="K51" s="266">
        <f ca="1">INDEX(OFFSET('Baseline NFPC'!$D$1:$W$1,$D51-1,0),MATCH(K$4,'Baseline NFPC'!$D$10:$W$10,0))</f>
        <v>2.1530606250000002</v>
      </c>
      <c r="L51" s="266">
        <f ca="1">INDEX(OFFSET('Baseline NFPC'!$D$1:$W$1,$D51-1,0),MATCH(L$4,'Baseline NFPC'!$D$10:$W$10,0))</f>
        <v>2.2324484999999998</v>
      </c>
      <c r="M51" s="266">
        <f ca="1">INDEX(OFFSET('Baseline NFPC'!$D$1:$W$1,$D51-1,0),MATCH(M$4,'Baseline NFPC'!$D$10:$W$10,0))</f>
        <v>2.3118363749999999</v>
      </c>
      <c r="N51" s="266">
        <f ca="1">INDEX(OFFSET('Baseline NFPC'!$D$1:$W$1,$D51-1,0),MATCH(N$4,'Baseline NFPC'!$D$10:$W$10,0))</f>
        <v>2.3912242500000001</v>
      </c>
      <c r="O51" s="266">
        <f ca="1">INDEX(OFFSET('Baseline NFPC'!$D$1:$W$1,$D51-1,0),MATCH(O$4,'Baseline NFPC'!$D$10:$W$10,0))</f>
        <v>2.4706121249999997</v>
      </c>
      <c r="P51" s="266">
        <f ca="1">INDEX(OFFSET('Baseline NFPC'!$D$1:$W$1,$D51-1,0),MATCH(P$4,'Baseline NFPC'!$D$10:$W$10,0))</f>
        <v>2.5499999999999998</v>
      </c>
      <c r="Q51" s="266">
        <f ca="1">INDEX(OFFSET('Baseline NFPC'!$D$1:$W$1,$D51-1,0),MATCH(Q$4,'Baseline NFPC'!$D$10:$W$10,0))</f>
        <v>2.5225</v>
      </c>
      <c r="R51" s="266">
        <f ca="1">INDEX(OFFSET('Baseline NFPC'!$D$1:$W$1,$D51-1,0),MATCH(R$4,'Baseline NFPC'!$D$10:$W$10,0))</f>
        <v>2.4949999999999997</v>
      </c>
      <c r="S51" s="266">
        <f ca="1">INDEX(OFFSET('Baseline NFPC'!$D$1:$W$1,$D51-1,0),MATCH(S$4,'Baseline NFPC'!$D$10:$W$10,0))</f>
        <v>2.4674999999999998</v>
      </c>
      <c r="T51" s="266">
        <f ca="1">INDEX(OFFSET('Baseline NFPC'!$D$1:$W$1,$D51-1,0),MATCH(T$4,'Baseline NFPC'!$D$10:$W$10,0))</f>
        <v>2.44</v>
      </c>
      <c r="U51" s="266">
        <f ca="1">INDEX(OFFSET('Baseline NFPC'!$D$1:$W$1,$D51-1,0),MATCH(U$4,'Baseline NFPC'!$D$10:$W$10,0))</f>
        <v>2.4124999999999996</v>
      </c>
      <c r="V51" s="266">
        <f ca="1">INDEX(OFFSET('Baseline NFPC'!$D$1:$W$1,$D51-1,0),MATCH(V$4,'Baseline NFPC'!$D$10:$W$10,0))</f>
        <v>2.3849999999999998</v>
      </c>
      <c r="W51" s="266">
        <f ca="1">INDEX(OFFSET('Baseline NFPC'!$D$1:$W$1,$D51-1,0),MATCH(W$4,'Baseline NFPC'!$D$10:$W$10,0))</f>
        <v>2.3574999999999999</v>
      </c>
      <c r="X51" s="266">
        <f ca="1">INDEX(OFFSET('Baseline NFPC'!$D$1:$W$1,$D51-1,0),MATCH(X$4,'Baseline NFPC'!$D$10:$W$10,0))</f>
        <v>2.33</v>
      </c>
      <c r="Y51" s="185"/>
    </row>
    <row r="52" spans="1:25" x14ac:dyDescent="0.2">
      <c r="A52" s="185"/>
      <c r="B52" s="273">
        <v>12</v>
      </c>
      <c r="C52" s="269" t="s">
        <v>161</v>
      </c>
      <c r="D52" s="278">
        <v>32</v>
      </c>
      <c r="E52" s="279" t="s">
        <v>158</v>
      </c>
      <c r="F52" s="266">
        <f ca="1">INDEX(OFFSET('Baseline NFPC'!$D$1:$W$1,$D52-1,0),MATCH(F$4,'Baseline NFPC'!$D$10:$W$10,0))</f>
        <v>-0.32842200556995049</v>
      </c>
      <c r="G52" s="266">
        <f ca="1">INDEX(OFFSET('Baseline NFPC'!$D$1:$W$1,$D52-1,0),MATCH(G$4,'Baseline NFPC'!$D$10:$W$10,0))</f>
        <v>3.8500651926889118</v>
      </c>
      <c r="H52" s="266">
        <f ca="1">INDEX(OFFSET('Baseline NFPC'!$D$1:$W$1,$D52-1,0),MATCH(H$4,'Baseline NFPC'!$D$10:$W$10,0))</f>
        <v>5.3736908892798363</v>
      </c>
      <c r="I52" s="266">
        <f ca="1">INDEX(OFFSET('Baseline NFPC'!$D$1:$W$1,$D52-1,0),MATCH(I$4,'Baseline NFPC'!$D$10:$W$10,0))</f>
        <v>5.815107059902247</v>
      </c>
      <c r="J52" s="266">
        <f ca="1">INDEX(OFFSET('Baseline NFPC'!$D$1:$W$1,$D52-1,0),MATCH(J$4,'Baseline NFPC'!$D$10:$W$10,0))</f>
        <v>5.9548904398074587</v>
      </c>
      <c r="K52" s="266">
        <f ca="1">INDEX(OFFSET('Baseline NFPC'!$D$1:$W$1,$D52-1,0),MATCH(K$4,'Baseline NFPC'!$D$10:$W$10,0))</f>
        <v>5.8074699143702668</v>
      </c>
      <c r="L52" s="266">
        <f ca="1">INDEX(OFFSET('Baseline NFPC'!$D$1:$W$1,$D52-1,0),MATCH(L$4,'Baseline NFPC'!$D$10:$W$10,0))</f>
        <v>5.467291724734924</v>
      </c>
      <c r="M52" s="266">
        <f ca="1">INDEX(OFFSET('Baseline NFPC'!$D$1:$W$1,$D52-1,0),MATCH(M$4,'Baseline NFPC'!$D$10:$W$10,0))</f>
        <v>5.3177724513546076</v>
      </c>
      <c r="N52" s="266">
        <f ca="1">INDEX(OFFSET('Baseline NFPC'!$D$1:$W$1,$D52-1,0),MATCH(N$4,'Baseline NFPC'!$D$10:$W$10,0))</f>
        <v>5.1244668531641668</v>
      </c>
      <c r="O52" s="266">
        <f ca="1">INDEX(OFFSET('Baseline NFPC'!$D$1:$W$1,$D52-1,0),MATCH(O$4,'Baseline NFPC'!$D$10:$W$10,0))</f>
        <v>4.8886992840400323</v>
      </c>
      <c r="P52" s="266">
        <f ca="1">INDEX(OFFSET('Baseline NFPC'!$D$1:$W$1,$D52-1,0),MATCH(P$4,'Baseline NFPC'!$D$10:$W$10,0))</f>
        <v>4.6147509295000111</v>
      </c>
      <c r="Q52" s="266">
        <f ca="1">INDEX(OFFSET('Baseline NFPC'!$D$1:$W$1,$D52-1,0),MATCH(Q$4,'Baseline NFPC'!$D$10:$W$10,0))</f>
        <v>4.5221572778250119</v>
      </c>
      <c r="R52" s="266">
        <f ca="1">INDEX(OFFSET('Baseline NFPC'!$D$1:$W$1,$D52-1,0),MATCH(R$4,'Baseline NFPC'!$D$10:$W$10,0))</f>
        <v>4.429600299650005</v>
      </c>
      <c r="S52" s="266">
        <f ca="1">INDEX(OFFSET('Baseline NFPC'!$D$1:$W$1,$D52-1,0),MATCH(S$4,'Baseline NFPC'!$D$10:$W$10,0))</f>
        <v>4.3370676972250166</v>
      </c>
      <c r="T52" s="266">
        <f ca="1">INDEX(OFFSET('Baseline NFPC'!$D$1:$W$1,$D52-1,0),MATCH(T$4,'Baseline NFPC'!$D$10:$W$10,0))</f>
        <v>4.3077106655999842</v>
      </c>
      <c r="U52" s="266">
        <f ca="1">INDEX(OFFSET('Baseline NFPC'!$D$1:$W$1,$D52-1,0),MATCH(U$4,'Baseline NFPC'!$D$10:$W$10,0))</f>
        <v>4.2400572072499809</v>
      </c>
      <c r="V52" s="266">
        <f ca="1">INDEX(OFFSET('Baseline NFPC'!$D$1:$W$1,$D52-1,0),MATCH(V$4,'Baseline NFPC'!$D$10:$W$10,0))</f>
        <v>4.1607367721999911</v>
      </c>
      <c r="W52" s="266">
        <f ca="1">INDEX(OFFSET('Baseline NFPC'!$D$1:$W$1,$D52-1,0),MATCH(W$4,'Baseline NFPC'!$D$10:$W$10,0))</f>
        <v>4.0650421450499907</v>
      </c>
      <c r="X52" s="266">
        <f ca="1">INDEX(OFFSET('Baseline NFPC'!$D$1:$W$1,$D52-1,0),MATCH(X$4,'Baseline NFPC'!$D$10:$W$10,0))</f>
        <v>3.9377189095999965</v>
      </c>
      <c r="Y52" s="185"/>
    </row>
    <row r="53" spans="1:25" x14ac:dyDescent="0.2">
      <c r="A53" s="185"/>
      <c r="B53" s="273">
        <v>13</v>
      </c>
      <c r="C53" s="269" t="s">
        <v>46</v>
      </c>
      <c r="D53" s="268"/>
      <c r="E53" s="279" t="s">
        <v>155</v>
      </c>
      <c r="F53" s="285">
        <f>'Input data'!$C$49</f>
        <v>0.75</v>
      </c>
      <c r="G53" s="185"/>
      <c r="H53" s="185"/>
      <c r="I53" s="185"/>
      <c r="J53" s="185"/>
      <c r="K53" s="185"/>
      <c r="L53" s="185"/>
      <c r="M53" s="185"/>
      <c r="N53" s="185"/>
      <c r="O53" s="185"/>
      <c r="P53" s="185"/>
      <c r="Q53" s="185"/>
      <c r="R53" s="185"/>
      <c r="S53" s="185"/>
      <c r="T53" s="185"/>
      <c r="U53" s="185"/>
      <c r="V53" s="185"/>
      <c r="W53" s="185"/>
      <c r="X53" s="185"/>
      <c r="Y53" s="185"/>
    </row>
    <row r="54" spans="1:25" x14ac:dyDescent="0.2">
      <c r="A54" s="185"/>
      <c r="B54" s="267"/>
      <c r="C54" s="288"/>
      <c r="D54" s="288"/>
      <c r="E54" s="288"/>
      <c r="F54" s="288"/>
      <c r="G54" s="288"/>
      <c r="H54" s="288"/>
      <c r="I54" s="288"/>
      <c r="J54" s="288"/>
      <c r="K54" s="185"/>
      <c r="L54" s="185"/>
      <c r="M54" s="185"/>
      <c r="N54" s="185"/>
      <c r="O54" s="185"/>
      <c r="P54" s="185"/>
      <c r="Q54" s="185"/>
      <c r="R54" s="185"/>
      <c r="S54" s="185"/>
      <c r="T54" s="185"/>
      <c r="U54" s="185"/>
      <c r="V54" s="185"/>
      <c r="W54" s="185"/>
      <c r="X54" s="185"/>
      <c r="Y54" s="185"/>
    </row>
    <row r="55" spans="1:25" x14ac:dyDescent="0.2">
      <c r="A55" s="185"/>
      <c r="B55" s="289"/>
      <c r="C55" s="271" t="s">
        <v>167</v>
      </c>
      <c r="D55" s="272"/>
      <c r="E55" s="272"/>
      <c r="F55" s="272"/>
      <c r="G55" s="288"/>
      <c r="H55" s="288"/>
      <c r="I55" s="288"/>
      <c r="J55" s="288"/>
      <c r="K55" s="185"/>
      <c r="L55" s="185"/>
      <c r="M55" s="185"/>
      <c r="N55" s="185"/>
      <c r="O55" s="185"/>
      <c r="P55" s="185"/>
      <c r="Q55" s="185"/>
      <c r="R55" s="185"/>
      <c r="S55" s="185"/>
      <c r="T55" s="185"/>
      <c r="U55" s="185"/>
      <c r="V55" s="185"/>
      <c r="W55" s="185"/>
      <c r="X55" s="185"/>
      <c r="Y55" s="185"/>
    </row>
    <row r="56" spans="1:25" x14ac:dyDescent="0.2">
      <c r="A56" s="185"/>
      <c r="B56" s="267"/>
      <c r="C56" s="288"/>
      <c r="D56" s="288"/>
      <c r="E56" s="288"/>
      <c r="F56" s="288"/>
      <c r="G56" s="288"/>
      <c r="H56" s="288"/>
      <c r="I56" s="288"/>
      <c r="J56" s="288"/>
      <c r="K56" s="185"/>
      <c r="L56" s="185"/>
      <c r="M56" s="185"/>
      <c r="N56" s="185"/>
      <c r="O56" s="185"/>
      <c r="P56" s="185"/>
      <c r="Q56" s="185"/>
      <c r="R56" s="185"/>
      <c r="S56" s="185"/>
      <c r="T56" s="185"/>
      <c r="U56" s="185"/>
      <c r="V56" s="185"/>
      <c r="W56" s="185"/>
      <c r="X56" s="185"/>
      <c r="Y56" s="185"/>
    </row>
    <row r="57" spans="1:25" x14ac:dyDescent="0.2">
      <c r="A57" s="185"/>
      <c r="B57" s="273"/>
      <c r="C57" s="271"/>
      <c r="D57" s="271"/>
      <c r="E57" s="276"/>
      <c r="F57" s="276">
        <f>'Input data'!$C$5-1</f>
        <v>2023</v>
      </c>
      <c r="G57" s="276">
        <f>F57+1</f>
        <v>2024</v>
      </c>
      <c r="H57" s="276">
        <f t="shared" ref="H57:X57" si="2">G57+1</f>
        <v>2025</v>
      </c>
      <c r="I57" s="276">
        <f t="shared" si="2"/>
        <v>2026</v>
      </c>
      <c r="J57" s="276">
        <f t="shared" si="2"/>
        <v>2027</v>
      </c>
      <c r="K57" s="276">
        <f t="shared" si="2"/>
        <v>2028</v>
      </c>
      <c r="L57" s="276">
        <f t="shared" si="2"/>
        <v>2029</v>
      </c>
      <c r="M57" s="276">
        <f t="shared" si="2"/>
        <v>2030</v>
      </c>
      <c r="N57" s="276">
        <f t="shared" si="2"/>
        <v>2031</v>
      </c>
      <c r="O57" s="276">
        <f t="shared" si="2"/>
        <v>2032</v>
      </c>
      <c r="P57" s="276">
        <f t="shared" si="2"/>
        <v>2033</v>
      </c>
      <c r="Q57" s="276">
        <f t="shared" si="2"/>
        <v>2034</v>
      </c>
      <c r="R57" s="276">
        <f t="shared" si="2"/>
        <v>2035</v>
      </c>
      <c r="S57" s="276">
        <f t="shared" si="2"/>
        <v>2036</v>
      </c>
      <c r="T57" s="276">
        <f t="shared" si="2"/>
        <v>2037</v>
      </c>
      <c r="U57" s="276">
        <f t="shared" si="2"/>
        <v>2038</v>
      </c>
      <c r="V57" s="276">
        <f t="shared" si="2"/>
        <v>2039</v>
      </c>
      <c r="W57" s="276">
        <f t="shared" si="2"/>
        <v>2040</v>
      </c>
      <c r="X57" s="276">
        <f t="shared" si="2"/>
        <v>2041</v>
      </c>
      <c r="Y57" s="185"/>
    </row>
    <row r="58" spans="1:25" x14ac:dyDescent="0.2">
      <c r="A58" s="185"/>
      <c r="B58" s="273">
        <v>1</v>
      </c>
      <c r="C58" s="277" t="s">
        <v>148</v>
      </c>
      <c r="D58" s="278">
        <v>90</v>
      </c>
      <c r="E58" s="279" t="s">
        <v>149</v>
      </c>
      <c r="F58" s="266">
        <f ca="1">INDEX(OFFSET('Adjustment scenario'!$D$1:$W$1,$D58-1,0),MATCH(F$4,'Adjustment scenario'!$D$10:$W$10,0))</f>
        <v>43.730433720991776</v>
      </c>
      <c r="G58" s="266">
        <f ca="1">INDEX(OFFSET('Adjustment scenario'!$D$1:$W$1,$D58-1,0),MATCH(G$4,'Adjustment scenario'!$D$10:$W$10,0))</f>
        <v>42.488825337098667</v>
      </c>
      <c r="H58" s="266">
        <f ca="1">INDEX(OFFSET('Adjustment scenario'!$D$1:$W$1,$D58-1,0),MATCH(H$4,'Adjustment scenario'!$D$10:$W$10,0))</f>
        <v>41.199313755606511</v>
      </c>
      <c r="I58" s="266">
        <f ca="1">INDEX(OFFSET('Adjustment scenario'!$D$1:$W$1,$D58-1,0),MATCH(I$4,'Adjustment scenario'!$D$10:$W$10,0))</f>
        <v>37.456894889337619</v>
      </c>
      <c r="J58" s="266">
        <f ca="1">INDEX(OFFSET('Adjustment scenario'!$D$1:$W$1,$D58-1,0),MATCH(J$4,'Adjustment scenario'!$D$10:$W$10,0))</f>
        <v>33.593172392013621</v>
      </c>
      <c r="K58" s="266">
        <f ca="1">INDEX(OFFSET('Adjustment scenario'!$D$1:$W$1,$D58-1,0),MATCH(K$4,'Adjustment scenario'!$D$10:$W$10,0))</f>
        <v>29.81631520992169</v>
      </c>
      <c r="L58" s="266">
        <f ca="1">INDEX(OFFSET('Adjustment scenario'!$D$1:$W$1,$D58-1,0),MATCH(L$4,'Adjustment scenario'!$D$10:$W$10,0))</f>
        <v>26.364042554448972</v>
      </c>
      <c r="M58" s="266">
        <f ca="1">INDEX(OFFSET('Adjustment scenario'!$D$1:$W$1,$D58-1,0),MATCH(M$4,'Adjustment scenario'!$D$10:$W$10,0))</f>
        <v>23.177269442948784</v>
      </c>
      <c r="N58" s="266">
        <f ca="1">INDEX(OFFSET('Adjustment scenario'!$D$1:$W$1,$D58-1,0),MATCH(N$4,'Adjustment scenario'!$D$10:$W$10,0))</f>
        <v>20.25762028840618</v>
      </c>
      <c r="O58" s="266">
        <f ca="1">INDEX(OFFSET('Adjustment scenario'!$D$1:$W$1,$D58-1,0),MATCH(O$4,'Adjustment scenario'!$D$10:$W$10,0))</f>
        <v>17.655639058329722</v>
      </c>
      <c r="P58" s="266">
        <f ca="1">INDEX(OFFSET('Adjustment scenario'!$D$1:$W$1,$D58-1,0),MATCH(P$4,'Adjustment scenario'!$D$10:$W$10,0))</f>
        <v>15.251050832314142</v>
      </c>
      <c r="Q58" s="266">
        <f ca="1">INDEX(OFFSET('Adjustment scenario'!$D$1:$W$1,$D58-1,0),MATCH(Q$4,'Adjustment scenario'!$D$10:$W$10,0))</f>
        <v>13.045406277985567</v>
      </c>
      <c r="R58" s="266">
        <f ca="1">INDEX(OFFSET('Adjustment scenario'!$D$1:$W$1,$D58-1,0),MATCH(R$4,'Adjustment scenario'!$D$10:$W$10,0))</f>
        <v>11.019664985888092</v>
      </c>
      <c r="S58" s="266">
        <f ca="1">INDEX(OFFSET('Adjustment scenario'!$D$1:$W$1,$D58-1,0),MATCH(S$4,'Adjustment scenario'!$D$10:$W$10,0))</f>
        <v>9.1812598024376406</v>
      </c>
      <c r="T58" s="266">
        <f ca="1">INDEX(OFFSET('Adjustment scenario'!$D$1:$W$1,$D58-1,0),MATCH(T$4,'Adjustment scenario'!$D$10:$W$10,0))</f>
        <v>7.5342408293446166</v>
      </c>
      <c r="U58" s="266">
        <f ca="1">INDEX(OFFSET('Adjustment scenario'!$D$1:$W$1,$D58-1,0),MATCH(U$4,'Adjustment scenario'!$D$10:$W$10,0))</f>
        <v>5.991051099906934</v>
      </c>
      <c r="V58" s="266">
        <f ca="1">INDEX(OFFSET('Adjustment scenario'!$D$1:$W$1,$D58-1,0),MATCH(V$4,'Adjustment scenario'!$D$10:$W$10,0))</f>
        <v>4.6007501717729529</v>
      </c>
      <c r="W58" s="266">
        <f ca="1">INDEX(OFFSET('Adjustment scenario'!$D$1:$W$1,$D58-1,0),MATCH(W$4,'Adjustment scenario'!$D$10:$W$10,0))</f>
        <v>3.3675776160229285</v>
      </c>
      <c r="X58" s="266">
        <f ca="1">INDEX(OFFSET('Adjustment scenario'!$D$1:$W$1,$D58-1,0),MATCH(X$4,'Adjustment scenario'!$D$10:$W$10,0))</f>
        <v>2.2971950537127137</v>
      </c>
      <c r="Y58" s="185"/>
    </row>
    <row r="59" spans="1:25" x14ac:dyDescent="0.2">
      <c r="A59" s="185"/>
      <c r="B59" s="273">
        <f>B58+1</f>
        <v>2</v>
      </c>
      <c r="C59" s="280" t="s">
        <v>100</v>
      </c>
      <c r="D59" s="278">
        <v>92</v>
      </c>
      <c r="E59" s="279" t="s">
        <v>149</v>
      </c>
      <c r="F59" s="266">
        <f ca="1">INDEX(OFFSET('Adjustment scenario'!$D$1:$W$1,$D59-1,0),MATCH(F$4,'Adjustment scenario'!$D$10:$W$10,0))</f>
        <v>1.6381495421537531</v>
      </c>
      <c r="G59" s="266">
        <f ca="1">INDEX(OFFSET('Adjustment scenario'!$D$1:$W$1,$D59-1,0),MATCH(G$4,'Adjustment scenario'!$D$10:$W$10,0))</f>
        <v>2.0686309093403406</v>
      </c>
      <c r="H59" s="266">
        <f ca="1">INDEX(OFFSET('Adjustment scenario'!$D$1:$W$1,$D59-1,0),MATCH(H$4,'Adjustment scenario'!$D$10:$W$10,0))</f>
        <v>2.4597944168704964</v>
      </c>
      <c r="I59" s="266">
        <f ca="1">INDEX(OFFSET('Adjustment scenario'!$D$1:$W$1,$D59-1,0),MATCH(I$4,'Adjustment scenario'!$D$10:$W$10,0))</f>
        <v>1.9739953419365093</v>
      </c>
      <c r="J59" s="266">
        <f ca="1">INDEX(OFFSET('Adjustment scenario'!$D$1:$W$1,$D59-1,0),MATCH(J$4,'Adjustment scenario'!$D$10:$W$10,0))</f>
        <v>1.3110357371512908</v>
      </c>
      <c r="K59" s="266">
        <f ca="1">INDEX(OFFSET('Adjustment scenario'!$D$1:$W$1,$D59-1,0),MATCH(K$4,'Adjustment scenario'!$D$10:$W$10,0))</f>
        <v>1.0533569151384412</v>
      </c>
      <c r="L59" s="266">
        <f ca="1">INDEX(OFFSET('Adjustment scenario'!$D$1:$W$1,$D59-1,0),MATCH(L$4,'Adjustment scenario'!$D$10:$W$10,0))</f>
        <v>0.7219868453043965</v>
      </c>
      <c r="M59" s="266">
        <f ca="1">INDEX(OFFSET('Adjustment scenario'!$D$1:$W$1,$D59-1,0),MATCH(M$4,'Adjustment scenario'!$D$10:$W$10,0))</f>
        <v>0.18062462530714754</v>
      </c>
      <c r="N59" s="266">
        <f ca="1">INDEX(OFFSET('Adjustment scenario'!$D$1:$W$1,$D59-1,0),MATCH(N$4,'Adjustment scenario'!$D$10:$W$10,0))</f>
        <v>0.27378822248610074</v>
      </c>
      <c r="O59" s="266">
        <f ca="1">INDEX(OFFSET('Adjustment scenario'!$D$1:$W$1,$D59-1,0),MATCH(O$4,'Adjustment scenario'!$D$10:$W$10,0))</f>
        <v>0.22741880905753448</v>
      </c>
      <c r="P59" s="266">
        <f ca="1">INDEX(OFFSET('Adjustment scenario'!$D$1:$W$1,$D59-1,0),MATCH(P$4,'Adjustment scenario'!$D$10:$W$10,0))</f>
        <v>0.13508515379041167</v>
      </c>
      <c r="Q59" s="266">
        <f ca="1">INDEX(OFFSET('Adjustment scenario'!$D$1:$W$1,$D59-1,0),MATCH(Q$4,'Adjustment scenario'!$D$10:$W$10,0))</f>
        <v>0</v>
      </c>
      <c r="R59" s="266">
        <f ca="1">INDEX(OFFSET('Adjustment scenario'!$D$1:$W$1,$D59-1,0),MATCH(R$4,'Adjustment scenario'!$D$10:$W$10,0))</f>
        <v>0</v>
      </c>
      <c r="S59" s="266">
        <f ca="1">INDEX(OFFSET('Adjustment scenario'!$D$1:$W$1,$D59-1,0),MATCH(S$4,'Adjustment scenario'!$D$10:$W$10,0))</f>
        <v>0</v>
      </c>
      <c r="T59" s="266">
        <f ca="1">INDEX(OFFSET('Adjustment scenario'!$D$1:$W$1,$D59-1,0),MATCH(T$4,'Adjustment scenario'!$D$10:$W$10,0))</f>
        <v>0</v>
      </c>
      <c r="U59" s="266">
        <f ca="1">INDEX(OFFSET('Adjustment scenario'!$D$1:$W$1,$D59-1,0),MATCH(U$4,'Adjustment scenario'!$D$10:$W$10,0))</f>
        <v>0</v>
      </c>
      <c r="V59" s="266">
        <f ca="1">INDEX(OFFSET('Adjustment scenario'!$D$1:$W$1,$D59-1,0),MATCH(V$4,'Adjustment scenario'!$D$10:$W$10,0))</f>
        <v>0</v>
      </c>
      <c r="W59" s="266">
        <f ca="1">INDEX(OFFSET('Adjustment scenario'!$D$1:$W$1,$D59-1,0),MATCH(W$4,'Adjustment scenario'!$D$10:$W$10,0))</f>
        <v>0</v>
      </c>
      <c r="X59" s="266">
        <f ca="1">INDEX(OFFSET('Adjustment scenario'!$D$1:$W$1,$D59-1,0),MATCH(X$4,'Adjustment scenario'!$D$10:$W$10,0))</f>
        <v>0</v>
      </c>
      <c r="Y59" s="185"/>
    </row>
    <row r="60" spans="1:25" x14ac:dyDescent="0.2">
      <c r="A60" s="185"/>
      <c r="B60" s="273">
        <f t="shared" ref="B60:B62" si="3">B59+1</f>
        <v>3</v>
      </c>
      <c r="C60" s="280" t="s">
        <v>101</v>
      </c>
      <c r="D60" s="278">
        <v>93</v>
      </c>
      <c r="E60" s="279" t="s">
        <v>149</v>
      </c>
      <c r="F60" s="266">
        <f ca="1">INDEX(OFFSET('Adjustment scenario'!$D$1:$W$1,$D60-1,0),MATCH(F$4,'Adjustment scenario'!$D$10:$W$10,0))</f>
        <v>4.106595393146474</v>
      </c>
      <c r="G60" s="266">
        <f ca="1">INDEX(OFFSET('Adjustment scenario'!$D$1:$W$1,$D60-1,0),MATCH(G$4,'Adjustment scenario'!$D$10:$W$10,0))</f>
        <v>3.9543503275870662</v>
      </c>
      <c r="H60" s="266">
        <f ca="1">INDEX(OFFSET('Adjustment scenario'!$D$1:$W$1,$D60-1,0),MATCH(H$4,'Adjustment scenario'!$D$10:$W$10,0))</f>
        <v>3.7957466617499467</v>
      </c>
      <c r="I60" s="266">
        <f ca="1">INDEX(OFFSET('Adjustment scenario'!$D$1:$W$1,$D60-1,0),MATCH(I$4,'Adjustment scenario'!$D$10:$W$10,0))</f>
        <v>2.8170211465177677</v>
      </c>
      <c r="J60" s="266">
        <f ca="1">INDEX(OFFSET('Adjustment scenario'!$D$1:$W$1,$D60-1,0),MATCH(J$4,'Adjustment scenario'!$D$10:$W$10,0))</f>
        <v>1.6728083597018708</v>
      </c>
      <c r="K60" s="266">
        <f ca="1">INDEX(OFFSET('Adjustment scenario'!$D$1:$W$1,$D60-1,0),MATCH(K$4,'Adjustment scenario'!$D$10:$W$10,0))</f>
        <v>0.76670327808624827</v>
      </c>
      <c r="L60" s="266">
        <f ca="1">INDEX(OFFSET('Adjustment scenario'!$D$1:$W$1,$D60-1,0),MATCH(L$4,'Adjustment scenario'!$D$10:$W$10,0))</f>
        <v>0.24454936843790703</v>
      </c>
      <c r="M60" s="266">
        <f ca="1">INDEX(OFFSET('Adjustment scenario'!$D$1:$W$1,$D60-1,0),MATCH(M$4,'Adjustment scenario'!$D$10:$W$10,0))</f>
        <v>2.2956838710505904E-2</v>
      </c>
      <c r="N60" s="266">
        <f ca="1">INDEX(OFFSET('Adjustment scenario'!$D$1:$W$1,$D60-1,0),MATCH(N$4,'Adjustment scenario'!$D$10:$W$10,0))</f>
        <v>2.9240950894072813E-3</v>
      </c>
      <c r="O60" s="266">
        <f ca="1">INDEX(OFFSET('Adjustment scenario'!$D$1:$W$1,$D60-1,0),MATCH(O$4,'Adjustment scenario'!$D$10:$W$10,0))</f>
        <v>3.367373306151031E-4</v>
      </c>
      <c r="P60" s="266">
        <f ca="1">INDEX(OFFSET('Adjustment scenario'!$D$1:$W$1,$D60-1,0),MATCH(P$4,'Adjustment scenario'!$D$10:$W$10,0))</f>
        <v>2.4697717315284358E-5</v>
      </c>
      <c r="Q60" s="266">
        <f ca="1">INDEX(OFFSET('Adjustment scenario'!$D$1:$W$1,$D60-1,0),MATCH(Q$4,'Adjustment scenario'!$D$10:$W$10,0))</f>
        <v>0</v>
      </c>
      <c r="R60" s="266">
        <f ca="1">INDEX(OFFSET('Adjustment scenario'!$D$1:$W$1,$D60-1,0),MATCH(R$4,'Adjustment scenario'!$D$10:$W$10,0))</f>
        <v>0</v>
      </c>
      <c r="S60" s="266">
        <f ca="1">INDEX(OFFSET('Adjustment scenario'!$D$1:$W$1,$D60-1,0),MATCH(S$4,'Adjustment scenario'!$D$10:$W$10,0))</f>
        <v>0</v>
      </c>
      <c r="T60" s="266">
        <f ca="1">INDEX(OFFSET('Adjustment scenario'!$D$1:$W$1,$D60-1,0),MATCH(T$4,'Adjustment scenario'!$D$10:$W$10,0))</f>
        <v>0</v>
      </c>
      <c r="U60" s="266">
        <f ca="1">INDEX(OFFSET('Adjustment scenario'!$D$1:$W$1,$D60-1,0),MATCH(U$4,'Adjustment scenario'!$D$10:$W$10,0))</f>
        <v>0</v>
      </c>
      <c r="V60" s="266">
        <f ca="1">INDEX(OFFSET('Adjustment scenario'!$D$1:$W$1,$D60-1,0),MATCH(V$4,'Adjustment scenario'!$D$10:$W$10,0))</f>
        <v>0</v>
      </c>
      <c r="W60" s="266">
        <f ca="1">INDEX(OFFSET('Adjustment scenario'!$D$1:$W$1,$D60-1,0),MATCH(W$4,'Adjustment scenario'!$D$10:$W$10,0))</f>
        <v>0</v>
      </c>
      <c r="X60" s="266">
        <f ca="1">INDEX(OFFSET('Adjustment scenario'!$D$1:$W$1,$D60-1,0),MATCH(X$4,'Adjustment scenario'!$D$10:$W$10,0))</f>
        <v>0</v>
      </c>
      <c r="Y60" s="185"/>
    </row>
    <row r="61" spans="1:25" x14ac:dyDescent="0.2">
      <c r="A61" s="185"/>
      <c r="B61" s="273">
        <f t="shared" si="3"/>
        <v>4</v>
      </c>
      <c r="C61" s="280" t="s">
        <v>102</v>
      </c>
      <c r="D61" s="278">
        <v>94</v>
      </c>
      <c r="E61" s="279" t="s">
        <v>149</v>
      </c>
      <c r="F61" s="266">
        <f ca="1">INDEX(OFFSET('Adjustment scenario'!$D$1:$W$1,$D61-1,0),MATCH(F$4,'Adjustment scenario'!$D$10:$W$10,0))</f>
        <v>0</v>
      </c>
      <c r="G61" s="266">
        <f ca="1">INDEX(OFFSET('Adjustment scenario'!$D$1:$W$1,$D61-1,0),MATCH(G$4,'Adjustment scenario'!$D$10:$W$10,0))</f>
        <v>0.33425531822108667</v>
      </c>
      <c r="H61" s="266">
        <f ca="1">INDEX(OFFSET('Adjustment scenario'!$D$1:$W$1,$D61-1,0),MATCH(H$4,'Adjustment scenario'!$D$10:$W$10,0))</f>
        <v>0.77242955957753623</v>
      </c>
      <c r="I61" s="266">
        <f ca="1">INDEX(OFFSET('Adjustment scenario'!$D$1:$W$1,$D61-1,0),MATCH(I$4,'Adjustment scenario'!$D$10:$W$10,0))</f>
        <v>0</v>
      </c>
      <c r="J61" s="266">
        <f ca="1">INDEX(OFFSET('Adjustment scenario'!$D$1:$W$1,$D61-1,0),MATCH(J$4,'Adjustment scenario'!$D$10:$W$10,0))</f>
        <v>0</v>
      </c>
      <c r="K61" s="266">
        <f ca="1">INDEX(OFFSET('Adjustment scenario'!$D$1:$W$1,$D61-1,0),MATCH(K$4,'Adjustment scenario'!$D$10:$W$10,0))</f>
        <v>0</v>
      </c>
      <c r="L61" s="266">
        <f ca="1">INDEX(OFFSET('Adjustment scenario'!$D$1:$W$1,$D61-1,0),MATCH(L$4,'Adjustment scenario'!$D$10:$W$10,0))</f>
        <v>0</v>
      </c>
      <c r="M61" s="266">
        <f ca="1">INDEX(OFFSET('Adjustment scenario'!$D$1:$W$1,$D61-1,0),MATCH(M$4,'Adjustment scenario'!$D$10:$W$10,0))</f>
        <v>0</v>
      </c>
      <c r="N61" s="266">
        <f ca="1">INDEX(OFFSET('Adjustment scenario'!$D$1:$W$1,$D61-1,0),MATCH(N$4,'Adjustment scenario'!$D$10:$W$10,0))</f>
        <v>0</v>
      </c>
      <c r="O61" s="266">
        <f ca="1">INDEX(OFFSET('Adjustment scenario'!$D$1:$W$1,$D61-1,0),MATCH(O$4,'Adjustment scenario'!$D$10:$W$10,0))</f>
        <v>0</v>
      </c>
      <c r="P61" s="266">
        <f ca="1">INDEX(OFFSET('Adjustment scenario'!$D$1:$W$1,$D61-1,0),MATCH(P$4,'Adjustment scenario'!$D$10:$W$10,0))</f>
        <v>0</v>
      </c>
      <c r="Q61" s="266">
        <f ca="1">INDEX(OFFSET('Adjustment scenario'!$D$1:$W$1,$D61-1,0),MATCH(Q$4,'Adjustment scenario'!$D$10:$W$10,0))</f>
        <v>0</v>
      </c>
      <c r="R61" s="266">
        <f ca="1">INDEX(OFFSET('Adjustment scenario'!$D$1:$W$1,$D61-1,0),MATCH(R$4,'Adjustment scenario'!$D$10:$W$10,0))</f>
        <v>0</v>
      </c>
      <c r="S61" s="266">
        <f ca="1">INDEX(OFFSET('Adjustment scenario'!$D$1:$W$1,$D61-1,0),MATCH(S$4,'Adjustment scenario'!$D$10:$W$10,0))</f>
        <v>0</v>
      </c>
      <c r="T61" s="266">
        <f ca="1">INDEX(OFFSET('Adjustment scenario'!$D$1:$W$1,$D61-1,0),MATCH(T$4,'Adjustment scenario'!$D$10:$W$10,0))</f>
        <v>0</v>
      </c>
      <c r="U61" s="266">
        <f ca="1">INDEX(OFFSET('Adjustment scenario'!$D$1:$W$1,$D61-1,0),MATCH(U$4,'Adjustment scenario'!$D$10:$W$10,0))</f>
        <v>0</v>
      </c>
      <c r="V61" s="266">
        <f ca="1">INDEX(OFFSET('Adjustment scenario'!$D$1:$W$1,$D61-1,0),MATCH(V$4,'Adjustment scenario'!$D$10:$W$10,0))</f>
        <v>0</v>
      </c>
      <c r="W61" s="266">
        <f ca="1">INDEX(OFFSET('Adjustment scenario'!$D$1:$W$1,$D61-1,0),MATCH(W$4,'Adjustment scenario'!$D$10:$W$10,0))</f>
        <v>0</v>
      </c>
      <c r="X61" s="266">
        <f ca="1">INDEX(OFFSET('Adjustment scenario'!$D$1:$W$1,$D61-1,0),MATCH(X$4,'Adjustment scenario'!$D$10:$W$10,0))</f>
        <v>0</v>
      </c>
      <c r="Y61" s="185"/>
    </row>
    <row r="62" spans="1:25" x14ac:dyDescent="0.2">
      <c r="A62" s="185"/>
      <c r="B62" s="273">
        <f t="shared" si="3"/>
        <v>5</v>
      </c>
      <c r="C62" s="280" t="s">
        <v>103</v>
      </c>
      <c r="D62" s="278">
        <v>95</v>
      </c>
      <c r="E62" s="279" t="s">
        <v>149</v>
      </c>
      <c r="F62" s="266">
        <f ca="1">INDEX(OFFSET('Adjustment scenario'!$D$1:$W$1,$D62-1,0),MATCH(F$4,'Adjustment scenario'!$D$10:$W$10,0))</f>
        <v>0</v>
      </c>
      <c r="G62" s="266">
        <f ca="1">INDEX(OFFSET('Adjustment scenario'!$D$1:$W$1,$D62-1,0),MATCH(G$4,'Adjustment scenario'!$D$10:$W$10,0))</f>
        <v>4.536802670548469E-2</v>
      </c>
      <c r="H62" s="266">
        <f ca="1">INDEX(OFFSET('Adjustment scenario'!$D$1:$W$1,$D62-1,0),MATCH(H$4,'Adjustment scenario'!$D$10:$W$10,0))</f>
        <v>0.10484082967930679</v>
      </c>
      <c r="I62" s="266">
        <f ca="1">INDEX(OFFSET('Adjustment scenario'!$D$1:$W$1,$D62-1,0),MATCH(I$4,'Adjustment scenario'!$D$10:$W$10,0))</f>
        <v>0</v>
      </c>
      <c r="J62" s="266">
        <f ca="1">INDEX(OFFSET('Adjustment scenario'!$D$1:$W$1,$D62-1,0),MATCH(J$4,'Adjustment scenario'!$D$10:$W$10,0))</f>
        <v>0</v>
      </c>
      <c r="K62" s="266">
        <f ca="1">INDEX(OFFSET('Adjustment scenario'!$D$1:$W$1,$D62-1,0),MATCH(K$4,'Adjustment scenario'!$D$10:$W$10,0))</f>
        <v>0</v>
      </c>
      <c r="L62" s="266">
        <f ca="1">INDEX(OFFSET('Adjustment scenario'!$D$1:$W$1,$D62-1,0),MATCH(L$4,'Adjustment scenario'!$D$10:$W$10,0))</f>
        <v>0</v>
      </c>
      <c r="M62" s="266">
        <f ca="1">INDEX(OFFSET('Adjustment scenario'!$D$1:$W$1,$D62-1,0),MATCH(M$4,'Adjustment scenario'!$D$10:$W$10,0))</f>
        <v>0</v>
      </c>
      <c r="N62" s="266">
        <f ca="1">INDEX(OFFSET('Adjustment scenario'!$D$1:$W$1,$D62-1,0),MATCH(N$4,'Adjustment scenario'!$D$10:$W$10,0))</f>
        <v>0</v>
      </c>
      <c r="O62" s="266">
        <f ca="1">INDEX(OFFSET('Adjustment scenario'!$D$1:$W$1,$D62-1,0),MATCH(O$4,'Adjustment scenario'!$D$10:$W$10,0))</f>
        <v>0</v>
      </c>
      <c r="P62" s="266">
        <f ca="1">INDEX(OFFSET('Adjustment scenario'!$D$1:$W$1,$D62-1,0),MATCH(P$4,'Adjustment scenario'!$D$10:$W$10,0))</f>
        <v>0</v>
      </c>
      <c r="Q62" s="266">
        <f ca="1">INDEX(OFFSET('Adjustment scenario'!$D$1:$W$1,$D62-1,0),MATCH(Q$4,'Adjustment scenario'!$D$10:$W$10,0))</f>
        <v>0</v>
      </c>
      <c r="R62" s="266">
        <f ca="1">INDEX(OFFSET('Adjustment scenario'!$D$1:$W$1,$D62-1,0),MATCH(R$4,'Adjustment scenario'!$D$10:$W$10,0))</f>
        <v>0</v>
      </c>
      <c r="S62" s="266">
        <f ca="1">INDEX(OFFSET('Adjustment scenario'!$D$1:$W$1,$D62-1,0),MATCH(S$4,'Adjustment scenario'!$D$10:$W$10,0))</f>
        <v>0</v>
      </c>
      <c r="T62" s="266">
        <f ca="1">INDEX(OFFSET('Adjustment scenario'!$D$1:$W$1,$D62-1,0),MATCH(T$4,'Adjustment scenario'!$D$10:$W$10,0))</f>
        <v>0</v>
      </c>
      <c r="U62" s="266">
        <f ca="1">INDEX(OFFSET('Adjustment scenario'!$D$1:$W$1,$D62-1,0),MATCH(U$4,'Adjustment scenario'!$D$10:$W$10,0))</f>
        <v>0</v>
      </c>
      <c r="V62" s="266">
        <f ca="1">INDEX(OFFSET('Adjustment scenario'!$D$1:$W$1,$D62-1,0),MATCH(V$4,'Adjustment scenario'!$D$10:$W$10,0))</f>
        <v>0</v>
      </c>
      <c r="W62" s="266">
        <f ca="1">INDEX(OFFSET('Adjustment scenario'!$D$1:$W$1,$D62-1,0),MATCH(W$4,'Adjustment scenario'!$D$10:$W$10,0))</f>
        <v>0</v>
      </c>
      <c r="X62" s="266">
        <f ca="1">INDEX(OFFSET('Adjustment scenario'!$D$1:$W$1,$D62-1,0),MATCH(X$4,'Adjustment scenario'!$D$10:$W$10,0))</f>
        <v>0</v>
      </c>
      <c r="Y62" s="185"/>
    </row>
    <row r="63" spans="1:25" x14ac:dyDescent="0.2">
      <c r="A63" s="185"/>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row>
  </sheetData>
  <conditionalFormatting sqref="V4:X63">
    <cfRule type="expression" dxfId="1" priority="1">
      <formula>#REF!=4</formula>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expression" priority="2" id="{1794A10D-CEDE-4DE7-974F-7E50033A335B}">
            <xm:f>'Criteria results'!$F$5=4</xm:f>
            <x14:dxf>
              <font>
                <color theme="0"/>
              </font>
              <fill>
                <patternFill>
                  <bgColor theme="0"/>
                </patternFill>
              </fill>
            </x14:dxf>
          </x14:cfRule>
          <xm:sqref>V4:X63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8" ma:contentTypeDescription="Create a new document." ma:contentTypeScope="" ma:versionID="6659297bf1036fa7eae64cf0e7c2fac9">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9a4b96746bcdbed031cdc5f86c6e749b"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9BE971-F562-4B09-A9E1-668BAAF54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5379F7-D4E7-4A0C-87B7-761C7833B493}">
  <ds:schemaRefs>
    <ds:schemaRef ds:uri="http://schemas.microsoft.com/sharepoint/v3/contenttype/forms"/>
  </ds:schemaRefs>
</ds:datastoreItem>
</file>

<file path=customXml/itemProps3.xml><?xml version="1.0" encoding="utf-8"?>
<ds:datastoreItem xmlns:ds="http://schemas.openxmlformats.org/officeDocument/2006/customXml" ds:itemID="{DDE1AD19-26CE-486A-AEF9-44A7210D2685}">
  <ds:schemaRefs>
    <ds:schemaRef ds:uri="http://schemas.microsoft.com/office/2006/metadata/properties"/>
    <ds:schemaRef ds:uri="b29b9b01-a41b-4cdd-ba34-21bb9c415350"/>
    <ds:schemaRef ds:uri="http://purl.org/dc/terms/"/>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150bf796-665d-42d8-bec5-8541ade975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Criteria results</vt:lpstr>
      <vt:lpstr>Input data</vt:lpstr>
      <vt:lpstr>Baseline NFPC</vt:lpstr>
      <vt:lpstr>Adjustment scenario</vt:lpstr>
      <vt:lpstr>Adjust. no safeguard</vt:lpstr>
      <vt:lpstr>FASTOP reporting</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SAIL Etienne (ECFIN)</dc:creator>
  <cp:keywords/>
  <dc:description/>
  <cp:lastModifiedBy>ERDEI Miklos (ECFIN)</cp:lastModifiedBy>
  <cp:revision/>
  <dcterms:created xsi:type="dcterms:W3CDTF">2013-04-12T08:50:12Z</dcterms:created>
  <dcterms:modified xsi:type="dcterms:W3CDTF">2024-06-20T11:18:53Z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2023-01-31T12:59:42Z</vt:lpwstr>
  </property>
  <property fmtid="{D5CDD505-2E9C-101B-9397-08002B2CF9AE}" pid="4" name="MSIP_Label_6bd9ddd1-4d20-43f6-abfa-fc3c07406f94_Method">
    <vt:lpwstr>Privileged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b0fa60c5-7b78-4404-9a0b-188770adde17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ies>
</file>